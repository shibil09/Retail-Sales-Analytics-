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isha\Downloads\Final project\"/>
    </mc:Choice>
  </mc:AlternateContent>
  <xr:revisionPtr revIDLastSave="0" documentId="8_{22674A78-7B94-4903-A834-F9212A8ADEE9}" xr6:coauthVersionLast="47" xr6:coauthVersionMax="47" xr10:uidLastSave="{00000000-0000-0000-0000-000000000000}"/>
  <bookViews>
    <workbookView xWindow="-108" yWindow="-108" windowWidth="23256" windowHeight="12456" firstSheet="1" activeTab="3" xr2:uid="{9840C230-D398-4E5E-9219-D6A5DB445DB6}"/>
  </bookViews>
  <sheets>
    <sheet name="brands" sheetId="7" r:id="rId1"/>
    <sheet name="stocks" sheetId="14" r:id="rId2"/>
    <sheet name="staffs" sheetId="4" r:id="rId3"/>
    <sheet name="orders" sheetId="3" r:id="rId4"/>
    <sheet name="order_items" sheetId="9" r:id="rId5"/>
    <sheet name="categories" sheetId="10" r:id="rId6"/>
    <sheet name="pivot table" sheetId="26" r:id="rId7"/>
    <sheet name="Sheet1" sheetId="24" r:id="rId8"/>
    <sheet name="products" sheetId="8" r:id="rId9"/>
    <sheet name="stores" sheetId="12" r:id="rId10"/>
    <sheet name="customers" sheetId="2" r:id="rId11"/>
    <sheet name="pivottable" sheetId="23" r:id="rId12"/>
    <sheet name="Sheet2" sheetId="25" r:id="rId13"/>
  </sheets>
  <definedNames>
    <definedName name="_xlcn.WorksheetConnection_Book2.xlsxcategories" hidden="1">categories[]</definedName>
    <definedName name="_xlcn.WorksheetConnection_Book2.xlsxorder_items" hidden="1">order_items[]</definedName>
    <definedName name="_xlcn.WorksheetConnection_Book2.xlsxproducts" hidden="1">products[]</definedName>
    <definedName name="ExternalData_1" localSheetId="10" hidden="1">'customers'!$A$1:$I$1446</definedName>
    <definedName name="ExternalData_1" localSheetId="1" hidden="1">stocks!$A$1:$C$940</definedName>
    <definedName name="ExternalData_2" localSheetId="3" hidden="1">orders!$A$1:$H$1616</definedName>
    <definedName name="ExternalData_2" localSheetId="8" hidden="1">products!$A$1:$F$322</definedName>
    <definedName name="ExternalData_2" localSheetId="9" hidden="1">stores!$A$1:$H$4</definedName>
    <definedName name="ExternalData_3" localSheetId="4" hidden="1">order_items!$A$1:$F$1616</definedName>
    <definedName name="ExternalData_3" localSheetId="2" hidden="1">staffs!$A$1:$H$11</definedName>
    <definedName name="ExternalData_4" localSheetId="5" hidden="1">'categories'!$A$1:$B$8</definedName>
    <definedName name="ExternalData_5" localSheetId="0" hidden="1">brands!$A$1:$B$10</definedName>
  </definedNames>
  <calcPr calcId="191029"/>
  <pivotCaches>
    <pivotCache cacheId="0" r:id="rId14"/>
    <pivotCache cacheId="1" r:id="rId15"/>
    <pivotCache cacheId="2" r:id="rId16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products" name="products" connection="WorksheetConnection_Book2.xlsx!products"/>
          <x15:modelTable id="order_items" name="order_items" connection="WorksheetConnection_Book2.xlsx!order_items"/>
          <x15:modelTable id="categories" name="categories" connection="WorksheetConnection_Book2.xlsx!categories"/>
        </x15:modelTables>
        <x15:modelRelationships>
          <x15:modelRelationship fromTable="order_items" fromColumn="Product_ID" toTable="products" toColumn="Product_ID"/>
          <x15:modelRelationship fromTable="products" fromColumn="Category_ID" toTable="categories" toColumn="Category_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2" i="9" l="1"/>
  <c r="I3" i="9"/>
  <c r="I4" i="9"/>
  <c r="I5" i="9"/>
  <c r="I6" i="9"/>
  <c r="I7" i="9"/>
  <c r="I8" i="9"/>
  <c r="I9" i="9"/>
  <c r="I10" i="9"/>
  <c r="I11" i="9"/>
  <c r="I12" i="9"/>
  <c r="I13" i="9"/>
  <c r="I14" i="9"/>
  <c r="I15" i="9"/>
  <c r="I16" i="9"/>
  <c r="I17" i="9"/>
  <c r="I18" i="9"/>
  <c r="I19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I33" i="9"/>
  <c r="I34" i="9"/>
  <c r="I35" i="9"/>
  <c r="I36" i="9"/>
  <c r="I37" i="9"/>
  <c r="I38" i="9"/>
  <c r="I39" i="9"/>
  <c r="I40" i="9"/>
  <c r="I41" i="9"/>
  <c r="I42" i="9"/>
  <c r="I43" i="9"/>
  <c r="I44" i="9"/>
  <c r="I45" i="9"/>
  <c r="I46" i="9"/>
  <c r="I47" i="9"/>
  <c r="I48" i="9"/>
  <c r="I49" i="9"/>
  <c r="I50" i="9"/>
  <c r="I51" i="9"/>
  <c r="I52" i="9"/>
  <c r="I53" i="9"/>
  <c r="I54" i="9"/>
  <c r="I55" i="9"/>
  <c r="I56" i="9"/>
  <c r="I57" i="9"/>
  <c r="I58" i="9"/>
  <c r="I59" i="9"/>
  <c r="I60" i="9"/>
  <c r="I61" i="9"/>
  <c r="I62" i="9"/>
  <c r="I63" i="9"/>
  <c r="I64" i="9"/>
  <c r="I65" i="9"/>
  <c r="I66" i="9"/>
  <c r="I67" i="9"/>
  <c r="I68" i="9"/>
  <c r="I69" i="9"/>
  <c r="I70" i="9"/>
  <c r="I71" i="9"/>
  <c r="I72" i="9"/>
  <c r="I73" i="9"/>
  <c r="I74" i="9"/>
  <c r="I75" i="9"/>
  <c r="I76" i="9"/>
  <c r="I77" i="9"/>
  <c r="I78" i="9"/>
  <c r="I79" i="9"/>
  <c r="I80" i="9"/>
  <c r="I81" i="9"/>
  <c r="I82" i="9"/>
  <c r="I83" i="9"/>
  <c r="I84" i="9"/>
  <c r="I85" i="9"/>
  <c r="I86" i="9"/>
  <c r="I87" i="9"/>
  <c r="I88" i="9"/>
  <c r="I89" i="9"/>
  <c r="I90" i="9"/>
  <c r="I91" i="9"/>
  <c r="I92" i="9"/>
  <c r="I93" i="9"/>
  <c r="I94" i="9"/>
  <c r="I95" i="9"/>
  <c r="I96" i="9"/>
  <c r="I97" i="9"/>
  <c r="I98" i="9"/>
  <c r="I99" i="9"/>
  <c r="I100" i="9"/>
  <c r="I101" i="9"/>
  <c r="I102" i="9"/>
  <c r="I103" i="9"/>
  <c r="I104" i="9"/>
  <c r="I105" i="9"/>
  <c r="I106" i="9"/>
  <c r="I107" i="9"/>
  <c r="I108" i="9"/>
  <c r="I109" i="9"/>
  <c r="I110" i="9"/>
  <c r="I111" i="9"/>
  <c r="I112" i="9"/>
  <c r="I113" i="9"/>
  <c r="I114" i="9"/>
  <c r="I115" i="9"/>
  <c r="I116" i="9"/>
  <c r="I117" i="9"/>
  <c r="I118" i="9"/>
  <c r="I119" i="9"/>
  <c r="I120" i="9"/>
  <c r="I121" i="9"/>
  <c r="I122" i="9"/>
  <c r="I123" i="9"/>
  <c r="I124" i="9"/>
  <c r="I125" i="9"/>
  <c r="I126" i="9"/>
  <c r="I127" i="9"/>
  <c r="I128" i="9"/>
  <c r="I129" i="9"/>
  <c r="I130" i="9"/>
  <c r="I131" i="9"/>
  <c r="I132" i="9"/>
  <c r="I133" i="9"/>
  <c r="I134" i="9"/>
  <c r="I135" i="9"/>
  <c r="I136" i="9"/>
  <c r="I137" i="9"/>
  <c r="I138" i="9"/>
  <c r="I139" i="9"/>
  <c r="I140" i="9"/>
  <c r="I141" i="9"/>
  <c r="I142" i="9"/>
  <c r="I143" i="9"/>
  <c r="I144" i="9"/>
  <c r="I145" i="9"/>
  <c r="I146" i="9"/>
  <c r="I147" i="9"/>
  <c r="I148" i="9"/>
  <c r="I149" i="9"/>
  <c r="I150" i="9"/>
  <c r="I151" i="9"/>
  <c r="I152" i="9"/>
  <c r="I153" i="9"/>
  <c r="I154" i="9"/>
  <c r="I155" i="9"/>
  <c r="I156" i="9"/>
  <c r="I157" i="9"/>
  <c r="I158" i="9"/>
  <c r="I159" i="9"/>
  <c r="I160" i="9"/>
  <c r="I161" i="9"/>
  <c r="I162" i="9"/>
  <c r="I163" i="9"/>
  <c r="I164" i="9"/>
  <c r="I165" i="9"/>
  <c r="I166" i="9"/>
  <c r="I167" i="9"/>
  <c r="I168" i="9"/>
  <c r="I169" i="9"/>
  <c r="I170" i="9"/>
  <c r="I171" i="9"/>
  <c r="I172" i="9"/>
  <c r="I173" i="9"/>
  <c r="I174" i="9"/>
  <c r="I175" i="9"/>
  <c r="I176" i="9"/>
  <c r="I177" i="9"/>
  <c r="I178" i="9"/>
  <c r="I179" i="9"/>
  <c r="I180" i="9"/>
  <c r="I181" i="9"/>
  <c r="I182" i="9"/>
  <c r="I183" i="9"/>
  <c r="I184" i="9"/>
  <c r="I185" i="9"/>
  <c r="I186" i="9"/>
  <c r="I187" i="9"/>
  <c r="I188" i="9"/>
  <c r="I189" i="9"/>
  <c r="I190" i="9"/>
  <c r="I191" i="9"/>
  <c r="I192" i="9"/>
  <c r="I193" i="9"/>
  <c r="I194" i="9"/>
  <c r="I195" i="9"/>
  <c r="I196" i="9"/>
  <c r="I197" i="9"/>
  <c r="I198" i="9"/>
  <c r="I199" i="9"/>
  <c r="I200" i="9"/>
  <c r="I201" i="9"/>
  <c r="I202" i="9"/>
  <c r="I203" i="9"/>
  <c r="I204" i="9"/>
  <c r="I205" i="9"/>
  <c r="I206" i="9"/>
  <c r="I207" i="9"/>
  <c r="I208" i="9"/>
  <c r="I209" i="9"/>
  <c r="I210" i="9"/>
  <c r="I211" i="9"/>
  <c r="I212" i="9"/>
  <c r="I213" i="9"/>
  <c r="I214" i="9"/>
  <c r="I215" i="9"/>
  <c r="I216" i="9"/>
  <c r="I217" i="9"/>
  <c r="I218" i="9"/>
  <c r="I219" i="9"/>
  <c r="I220" i="9"/>
  <c r="I221" i="9"/>
  <c r="I222" i="9"/>
  <c r="I223" i="9"/>
  <c r="I224" i="9"/>
  <c r="I225" i="9"/>
  <c r="I226" i="9"/>
  <c r="I227" i="9"/>
  <c r="I228" i="9"/>
  <c r="I229" i="9"/>
  <c r="I230" i="9"/>
  <c r="I231" i="9"/>
  <c r="I232" i="9"/>
  <c r="I233" i="9"/>
  <c r="I234" i="9"/>
  <c r="I235" i="9"/>
  <c r="I236" i="9"/>
  <c r="I237" i="9"/>
  <c r="I238" i="9"/>
  <c r="I239" i="9"/>
  <c r="I240" i="9"/>
  <c r="I241" i="9"/>
  <c r="I242" i="9"/>
  <c r="I243" i="9"/>
  <c r="I244" i="9"/>
  <c r="I245" i="9"/>
  <c r="I246" i="9"/>
  <c r="I247" i="9"/>
  <c r="I248" i="9"/>
  <c r="I249" i="9"/>
  <c r="I250" i="9"/>
  <c r="I251" i="9"/>
  <c r="I252" i="9"/>
  <c r="I253" i="9"/>
  <c r="I254" i="9"/>
  <c r="I255" i="9"/>
  <c r="I256" i="9"/>
  <c r="I257" i="9"/>
  <c r="I258" i="9"/>
  <c r="I259" i="9"/>
  <c r="I260" i="9"/>
  <c r="I261" i="9"/>
  <c r="I262" i="9"/>
  <c r="I263" i="9"/>
  <c r="I264" i="9"/>
  <c r="I265" i="9"/>
  <c r="I266" i="9"/>
  <c r="I267" i="9"/>
  <c r="I268" i="9"/>
  <c r="I269" i="9"/>
  <c r="I270" i="9"/>
  <c r="I271" i="9"/>
  <c r="I272" i="9"/>
  <c r="I273" i="9"/>
  <c r="I274" i="9"/>
  <c r="I275" i="9"/>
  <c r="I276" i="9"/>
  <c r="I277" i="9"/>
  <c r="I278" i="9"/>
  <c r="I279" i="9"/>
  <c r="I280" i="9"/>
  <c r="I281" i="9"/>
  <c r="I282" i="9"/>
  <c r="I283" i="9"/>
  <c r="I284" i="9"/>
  <c r="I285" i="9"/>
  <c r="I286" i="9"/>
  <c r="I287" i="9"/>
  <c r="I288" i="9"/>
  <c r="I289" i="9"/>
  <c r="I290" i="9"/>
  <c r="I291" i="9"/>
  <c r="I292" i="9"/>
  <c r="I293" i="9"/>
  <c r="I294" i="9"/>
  <c r="I295" i="9"/>
  <c r="I296" i="9"/>
  <c r="I297" i="9"/>
  <c r="I298" i="9"/>
  <c r="I299" i="9"/>
  <c r="I300" i="9"/>
  <c r="I301" i="9"/>
  <c r="I302" i="9"/>
  <c r="I303" i="9"/>
  <c r="I304" i="9"/>
  <c r="I305" i="9"/>
  <c r="I306" i="9"/>
  <c r="I307" i="9"/>
  <c r="I308" i="9"/>
  <c r="I309" i="9"/>
  <c r="I310" i="9"/>
  <c r="I311" i="9"/>
  <c r="I312" i="9"/>
  <c r="I313" i="9"/>
  <c r="I314" i="9"/>
  <c r="I315" i="9"/>
  <c r="I316" i="9"/>
  <c r="I317" i="9"/>
  <c r="I318" i="9"/>
  <c r="I319" i="9"/>
  <c r="I320" i="9"/>
  <c r="I321" i="9"/>
  <c r="I322" i="9"/>
  <c r="I323" i="9"/>
  <c r="I324" i="9"/>
  <c r="I325" i="9"/>
  <c r="I326" i="9"/>
  <c r="I327" i="9"/>
  <c r="I328" i="9"/>
  <c r="I329" i="9"/>
  <c r="I330" i="9"/>
  <c r="I331" i="9"/>
  <c r="I332" i="9"/>
  <c r="I333" i="9"/>
  <c r="I334" i="9"/>
  <c r="I335" i="9"/>
  <c r="I336" i="9"/>
  <c r="I337" i="9"/>
  <c r="I338" i="9"/>
  <c r="I339" i="9"/>
  <c r="I340" i="9"/>
  <c r="I341" i="9"/>
  <c r="I342" i="9"/>
  <c r="I343" i="9"/>
  <c r="I344" i="9"/>
  <c r="I345" i="9"/>
  <c r="I346" i="9"/>
  <c r="I347" i="9"/>
  <c r="I348" i="9"/>
  <c r="I349" i="9"/>
  <c r="I350" i="9"/>
  <c r="I351" i="9"/>
  <c r="I352" i="9"/>
  <c r="I353" i="9"/>
  <c r="I354" i="9"/>
  <c r="I355" i="9"/>
  <c r="I356" i="9"/>
  <c r="I357" i="9"/>
  <c r="I358" i="9"/>
  <c r="I359" i="9"/>
  <c r="I360" i="9"/>
  <c r="I361" i="9"/>
  <c r="I362" i="9"/>
  <c r="I363" i="9"/>
  <c r="I364" i="9"/>
  <c r="I365" i="9"/>
  <c r="I366" i="9"/>
  <c r="I367" i="9"/>
  <c r="I368" i="9"/>
  <c r="I369" i="9"/>
  <c r="I370" i="9"/>
  <c r="I371" i="9"/>
  <c r="I372" i="9"/>
  <c r="I373" i="9"/>
  <c r="I374" i="9"/>
  <c r="I375" i="9"/>
  <c r="I376" i="9"/>
  <c r="I377" i="9"/>
  <c r="I378" i="9"/>
  <c r="I379" i="9"/>
  <c r="I380" i="9"/>
  <c r="I381" i="9"/>
  <c r="I382" i="9"/>
  <c r="I383" i="9"/>
  <c r="I384" i="9"/>
  <c r="I385" i="9"/>
  <c r="I386" i="9"/>
  <c r="I387" i="9"/>
  <c r="I388" i="9"/>
  <c r="I389" i="9"/>
  <c r="I390" i="9"/>
  <c r="I391" i="9"/>
  <c r="I392" i="9"/>
  <c r="I393" i="9"/>
  <c r="I394" i="9"/>
  <c r="I395" i="9"/>
  <c r="I396" i="9"/>
  <c r="I397" i="9"/>
  <c r="I398" i="9"/>
  <c r="I399" i="9"/>
  <c r="I400" i="9"/>
  <c r="I401" i="9"/>
  <c r="I402" i="9"/>
  <c r="I403" i="9"/>
  <c r="I404" i="9"/>
  <c r="I405" i="9"/>
  <c r="I406" i="9"/>
  <c r="I407" i="9"/>
  <c r="I408" i="9"/>
  <c r="I409" i="9"/>
  <c r="I410" i="9"/>
  <c r="I411" i="9"/>
  <c r="I412" i="9"/>
  <c r="I413" i="9"/>
  <c r="I414" i="9"/>
  <c r="I415" i="9"/>
  <c r="I416" i="9"/>
  <c r="I417" i="9"/>
  <c r="I418" i="9"/>
  <c r="I419" i="9"/>
  <c r="I420" i="9"/>
  <c r="I421" i="9"/>
  <c r="I422" i="9"/>
  <c r="I423" i="9"/>
  <c r="I424" i="9"/>
  <c r="I425" i="9"/>
  <c r="I426" i="9"/>
  <c r="I427" i="9"/>
  <c r="I428" i="9"/>
  <c r="I429" i="9"/>
  <c r="I430" i="9"/>
  <c r="I431" i="9"/>
  <c r="I432" i="9"/>
  <c r="I433" i="9"/>
  <c r="I434" i="9"/>
  <c r="I435" i="9"/>
  <c r="I436" i="9"/>
  <c r="I437" i="9"/>
  <c r="I438" i="9"/>
  <c r="I439" i="9"/>
  <c r="I440" i="9"/>
  <c r="I441" i="9"/>
  <c r="I442" i="9"/>
  <c r="I443" i="9"/>
  <c r="I444" i="9"/>
  <c r="I445" i="9"/>
  <c r="I446" i="9"/>
  <c r="I447" i="9"/>
  <c r="I448" i="9"/>
  <c r="I449" i="9"/>
  <c r="I450" i="9"/>
  <c r="I451" i="9"/>
  <c r="I452" i="9"/>
  <c r="I453" i="9"/>
  <c r="I454" i="9"/>
  <c r="I455" i="9"/>
  <c r="I456" i="9"/>
  <c r="I457" i="9"/>
  <c r="I458" i="9"/>
  <c r="I459" i="9"/>
  <c r="I460" i="9"/>
  <c r="I461" i="9"/>
  <c r="I462" i="9"/>
  <c r="I463" i="9"/>
  <c r="I464" i="9"/>
  <c r="I465" i="9"/>
  <c r="I466" i="9"/>
  <c r="I467" i="9"/>
  <c r="I468" i="9"/>
  <c r="I469" i="9"/>
  <c r="I470" i="9"/>
  <c r="I471" i="9"/>
  <c r="I472" i="9"/>
  <c r="I473" i="9"/>
  <c r="I474" i="9"/>
  <c r="I475" i="9"/>
  <c r="I476" i="9"/>
  <c r="I477" i="9"/>
  <c r="I478" i="9"/>
  <c r="I479" i="9"/>
  <c r="I480" i="9"/>
  <c r="I481" i="9"/>
  <c r="I482" i="9"/>
  <c r="I483" i="9"/>
  <c r="I484" i="9"/>
  <c r="I485" i="9"/>
  <c r="I486" i="9"/>
  <c r="I487" i="9"/>
  <c r="I488" i="9"/>
  <c r="I489" i="9"/>
  <c r="I490" i="9"/>
  <c r="I491" i="9"/>
  <c r="I492" i="9"/>
  <c r="I493" i="9"/>
  <c r="I494" i="9"/>
  <c r="I495" i="9"/>
  <c r="I496" i="9"/>
  <c r="I497" i="9"/>
  <c r="I498" i="9"/>
  <c r="I499" i="9"/>
  <c r="I500" i="9"/>
  <c r="I501" i="9"/>
  <c r="I502" i="9"/>
  <c r="I503" i="9"/>
  <c r="I504" i="9"/>
  <c r="I505" i="9"/>
  <c r="I506" i="9"/>
  <c r="I507" i="9"/>
  <c r="I508" i="9"/>
  <c r="I509" i="9"/>
  <c r="I510" i="9"/>
  <c r="I511" i="9"/>
  <c r="I512" i="9"/>
  <c r="I513" i="9"/>
  <c r="I514" i="9"/>
  <c r="I515" i="9"/>
  <c r="I516" i="9"/>
  <c r="I517" i="9"/>
  <c r="I518" i="9"/>
  <c r="I519" i="9"/>
  <c r="I520" i="9"/>
  <c r="I521" i="9"/>
  <c r="I522" i="9"/>
  <c r="I523" i="9"/>
  <c r="I524" i="9"/>
  <c r="I525" i="9"/>
  <c r="I526" i="9"/>
  <c r="I527" i="9"/>
  <c r="I528" i="9"/>
  <c r="I529" i="9"/>
  <c r="I530" i="9"/>
  <c r="I531" i="9"/>
  <c r="I532" i="9"/>
  <c r="I533" i="9"/>
  <c r="I534" i="9"/>
  <c r="I535" i="9"/>
  <c r="I536" i="9"/>
  <c r="I537" i="9"/>
  <c r="I538" i="9"/>
  <c r="I539" i="9"/>
  <c r="I540" i="9"/>
  <c r="I541" i="9"/>
  <c r="I542" i="9"/>
  <c r="I543" i="9"/>
  <c r="I544" i="9"/>
  <c r="I545" i="9"/>
  <c r="I546" i="9"/>
  <c r="I547" i="9"/>
  <c r="I548" i="9"/>
  <c r="I549" i="9"/>
  <c r="I550" i="9"/>
  <c r="I551" i="9"/>
  <c r="I552" i="9"/>
  <c r="I553" i="9"/>
  <c r="I554" i="9"/>
  <c r="I555" i="9"/>
  <c r="I556" i="9"/>
  <c r="I557" i="9"/>
  <c r="I558" i="9"/>
  <c r="I559" i="9"/>
  <c r="I560" i="9"/>
  <c r="I561" i="9"/>
  <c r="I562" i="9"/>
  <c r="I563" i="9"/>
  <c r="I564" i="9"/>
  <c r="I565" i="9"/>
  <c r="I566" i="9"/>
  <c r="I567" i="9"/>
  <c r="I568" i="9"/>
  <c r="I569" i="9"/>
  <c r="I570" i="9"/>
  <c r="I571" i="9"/>
  <c r="I572" i="9"/>
  <c r="I573" i="9"/>
  <c r="I574" i="9"/>
  <c r="I575" i="9"/>
  <c r="I576" i="9"/>
  <c r="I577" i="9"/>
  <c r="I578" i="9"/>
  <c r="I579" i="9"/>
  <c r="I580" i="9"/>
  <c r="I581" i="9"/>
  <c r="I582" i="9"/>
  <c r="I583" i="9"/>
  <c r="I584" i="9"/>
  <c r="I585" i="9"/>
  <c r="I586" i="9"/>
  <c r="I587" i="9"/>
  <c r="I588" i="9"/>
  <c r="I589" i="9"/>
  <c r="I590" i="9"/>
  <c r="I591" i="9"/>
  <c r="I592" i="9"/>
  <c r="I593" i="9"/>
  <c r="I594" i="9"/>
  <c r="I595" i="9"/>
  <c r="I596" i="9"/>
  <c r="I597" i="9"/>
  <c r="I598" i="9"/>
  <c r="I599" i="9"/>
  <c r="I600" i="9"/>
  <c r="I601" i="9"/>
  <c r="I602" i="9"/>
  <c r="I603" i="9"/>
  <c r="I604" i="9"/>
  <c r="I605" i="9"/>
  <c r="I606" i="9"/>
  <c r="I607" i="9"/>
  <c r="I608" i="9"/>
  <c r="I609" i="9"/>
  <c r="I610" i="9"/>
  <c r="I611" i="9"/>
  <c r="I612" i="9"/>
  <c r="I613" i="9"/>
  <c r="I614" i="9"/>
  <c r="I615" i="9"/>
  <c r="I616" i="9"/>
  <c r="I617" i="9"/>
  <c r="I618" i="9"/>
  <c r="I619" i="9"/>
  <c r="I620" i="9"/>
  <c r="I621" i="9"/>
  <c r="I622" i="9"/>
  <c r="I623" i="9"/>
  <c r="I624" i="9"/>
  <c r="I625" i="9"/>
  <c r="I626" i="9"/>
  <c r="I627" i="9"/>
  <c r="I628" i="9"/>
  <c r="I629" i="9"/>
  <c r="I630" i="9"/>
  <c r="I631" i="9"/>
  <c r="I632" i="9"/>
  <c r="I633" i="9"/>
  <c r="I634" i="9"/>
  <c r="I635" i="9"/>
  <c r="I636" i="9"/>
  <c r="I637" i="9"/>
  <c r="I638" i="9"/>
  <c r="I639" i="9"/>
  <c r="I640" i="9"/>
  <c r="I641" i="9"/>
  <c r="I642" i="9"/>
  <c r="I643" i="9"/>
  <c r="I644" i="9"/>
  <c r="I645" i="9"/>
  <c r="I646" i="9"/>
  <c r="I647" i="9"/>
  <c r="I648" i="9"/>
  <c r="I649" i="9"/>
  <c r="I650" i="9"/>
  <c r="I651" i="9"/>
  <c r="I652" i="9"/>
  <c r="I653" i="9"/>
  <c r="I654" i="9"/>
  <c r="I655" i="9"/>
  <c r="I656" i="9"/>
  <c r="I657" i="9"/>
  <c r="I658" i="9"/>
  <c r="I659" i="9"/>
  <c r="I660" i="9"/>
  <c r="I661" i="9"/>
  <c r="I662" i="9"/>
  <c r="I663" i="9"/>
  <c r="I664" i="9"/>
  <c r="I665" i="9"/>
  <c r="I666" i="9"/>
  <c r="I667" i="9"/>
  <c r="I668" i="9"/>
  <c r="I669" i="9"/>
  <c r="I670" i="9"/>
  <c r="I671" i="9"/>
  <c r="I672" i="9"/>
  <c r="I673" i="9"/>
  <c r="I674" i="9"/>
  <c r="I675" i="9"/>
  <c r="I676" i="9"/>
  <c r="I677" i="9"/>
  <c r="I678" i="9"/>
  <c r="I679" i="9"/>
  <c r="I680" i="9"/>
  <c r="I681" i="9"/>
  <c r="I682" i="9"/>
  <c r="I683" i="9"/>
  <c r="I684" i="9"/>
  <c r="I685" i="9"/>
  <c r="I686" i="9"/>
  <c r="I687" i="9"/>
  <c r="I688" i="9"/>
  <c r="I689" i="9"/>
  <c r="I690" i="9"/>
  <c r="I691" i="9"/>
  <c r="I692" i="9"/>
  <c r="I693" i="9"/>
  <c r="I694" i="9"/>
  <c r="I695" i="9"/>
  <c r="I696" i="9"/>
  <c r="I697" i="9"/>
  <c r="I698" i="9"/>
  <c r="I699" i="9"/>
  <c r="I700" i="9"/>
  <c r="I701" i="9"/>
  <c r="I702" i="9"/>
  <c r="I703" i="9"/>
  <c r="I704" i="9"/>
  <c r="I705" i="9"/>
  <c r="I706" i="9"/>
  <c r="I707" i="9"/>
  <c r="I708" i="9"/>
  <c r="I709" i="9"/>
  <c r="I710" i="9"/>
  <c r="I711" i="9"/>
  <c r="I712" i="9"/>
  <c r="I713" i="9"/>
  <c r="I714" i="9"/>
  <c r="I715" i="9"/>
  <c r="I716" i="9"/>
  <c r="I717" i="9"/>
  <c r="I718" i="9"/>
  <c r="I719" i="9"/>
  <c r="I720" i="9"/>
  <c r="I721" i="9"/>
  <c r="I722" i="9"/>
  <c r="I723" i="9"/>
  <c r="I724" i="9"/>
  <c r="I725" i="9"/>
  <c r="I726" i="9"/>
  <c r="I727" i="9"/>
  <c r="I728" i="9"/>
  <c r="I729" i="9"/>
  <c r="I730" i="9"/>
  <c r="I731" i="9"/>
  <c r="I732" i="9"/>
  <c r="I733" i="9"/>
  <c r="I734" i="9"/>
  <c r="I735" i="9"/>
  <c r="I736" i="9"/>
  <c r="I737" i="9"/>
  <c r="I738" i="9"/>
  <c r="I739" i="9"/>
  <c r="I740" i="9"/>
  <c r="I741" i="9"/>
  <c r="I742" i="9"/>
  <c r="I743" i="9"/>
  <c r="I744" i="9"/>
  <c r="I745" i="9"/>
  <c r="I746" i="9"/>
  <c r="I747" i="9"/>
  <c r="I748" i="9"/>
  <c r="I749" i="9"/>
  <c r="I750" i="9"/>
  <c r="I751" i="9"/>
  <c r="I752" i="9"/>
  <c r="I753" i="9"/>
  <c r="I754" i="9"/>
  <c r="I755" i="9"/>
  <c r="I756" i="9"/>
  <c r="I757" i="9"/>
  <c r="I758" i="9"/>
  <c r="I759" i="9"/>
  <c r="I760" i="9"/>
  <c r="I761" i="9"/>
  <c r="I762" i="9"/>
  <c r="I763" i="9"/>
  <c r="I764" i="9"/>
  <c r="I765" i="9"/>
  <c r="I766" i="9"/>
  <c r="I767" i="9"/>
  <c r="I768" i="9"/>
  <c r="I769" i="9"/>
  <c r="I770" i="9"/>
  <c r="I771" i="9"/>
  <c r="I772" i="9"/>
  <c r="I773" i="9"/>
  <c r="I774" i="9"/>
  <c r="I775" i="9"/>
  <c r="I776" i="9"/>
  <c r="I777" i="9"/>
  <c r="I778" i="9"/>
  <c r="I779" i="9"/>
  <c r="I780" i="9"/>
  <c r="I781" i="9"/>
  <c r="I782" i="9"/>
  <c r="I783" i="9"/>
  <c r="I784" i="9"/>
  <c r="I785" i="9"/>
  <c r="I786" i="9"/>
  <c r="I787" i="9"/>
  <c r="I788" i="9"/>
  <c r="I789" i="9"/>
  <c r="I790" i="9"/>
  <c r="I791" i="9"/>
  <c r="I792" i="9"/>
  <c r="I793" i="9"/>
  <c r="I794" i="9"/>
  <c r="I795" i="9"/>
  <c r="I796" i="9"/>
  <c r="I797" i="9"/>
  <c r="I798" i="9"/>
  <c r="I799" i="9"/>
  <c r="I800" i="9"/>
  <c r="I801" i="9"/>
  <c r="I802" i="9"/>
  <c r="I803" i="9"/>
  <c r="I804" i="9"/>
  <c r="I805" i="9"/>
  <c r="I806" i="9"/>
  <c r="I807" i="9"/>
  <c r="I808" i="9"/>
  <c r="I809" i="9"/>
  <c r="I810" i="9"/>
  <c r="I811" i="9"/>
  <c r="I812" i="9"/>
  <c r="I813" i="9"/>
  <c r="I814" i="9"/>
  <c r="I815" i="9"/>
  <c r="I816" i="9"/>
  <c r="I817" i="9"/>
  <c r="I818" i="9"/>
  <c r="I819" i="9"/>
  <c r="I820" i="9"/>
  <c r="I821" i="9"/>
  <c r="I822" i="9"/>
  <c r="I823" i="9"/>
  <c r="I824" i="9"/>
  <c r="I825" i="9"/>
  <c r="I826" i="9"/>
  <c r="I827" i="9"/>
  <c r="I828" i="9"/>
  <c r="I829" i="9"/>
  <c r="I830" i="9"/>
  <c r="I831" i="9"/>
  <c r="I832" i="9"/>
  <c r="I833" i="9"/>
  <c r="I834" i="9"/>
  <c r="I835" i="9"/>
  <c r="I836" i="9"/>
  <c r="I837" i="9"/>
  <c r="I838" i="9"/>
  <c r="I839" i="9"/>
  <c r="I840" i="9"/>
  <c r="I841" i="9"/>
  <c r="I842" i="9"/>
  <c r="I843" i="9"/>
  <c r="I844" i="9"/>
  <c r="I845" i="9"/>
  <c r="I846" i="9"/>
  <c r="I847" i="9"/>
  <c r="I848" i="9"/>
  <c r="I849" i="9"/>
  <c r="I850" i="9"/>
  <c r="I851" i="9"/>
  <c r="I852" i="9"/>
  <c r="I853" i="9"/>
  <c r="I854" i="9"/>
  <c r="I855" i="9"/>
  <c r="I856" i="9"/>
  <c r="I857" i="9"/>
  <c r="I858" i="9"/>
  <c r="I859" i="9"/>
  <c r="I860" i="9"/>
  <c r="I861" i="9"/>
  <c r="I862" i="9"/>
  <c r="I863" i="9"/>
  <c r="I864" i="9"/>
  <c r="I865" i="9"/>
  <c r="I866" i="9"/>
  <c r="I867" i="9"/>
  <c r="I868" i="9"/>
  <c r="I869" i="9"/>
  <c r="I870" i="9"/>
  <c r="I871" i="9"/>
  <c r="I872" i="9"/>
  <c r="I873" i="9"/>
  <c r="I874" i="9"/>
  <c r="I875" i="9"/>
  <c r="I876" i="9"/>
  <c r="I877" i="9"/>
  <c r="I878" i="9"/>
  <c r="I879" i="9"/>
  <c r="I880" i="9"/>
  <c r="I881" i="9"/>
  <c r="I882" i="9"/>
  <c r="I883" i="9"/>
  <c r="I884" i="9"/>
  <c r="I885" i="9"/>
  <c r="I886" i="9"/>
  <c r="I887" i="9"/>
  <c r="I888" i="9"/>
  <c r="I889" i="9"/>
  <c r="I890" i="9"/>
  <c r="I891" i="9"/>
  <c r="I892" i="9"/>
  <c r="I893" i="9"/>
  <c r="I894" i="9"/>
  <c r="I895" i="9"/>
  <c r="I896" i="9"/>
  <c r="I897" i="9"/>
  <c r="I898" i="9"/>
  <c r="I899" i="9"/>
  <c r="I900" i="9"/>
  <c r="I901" i="9"/>
  <c r="I902" i="9"/>
  <c r="I903" i="9"/>
  <c r="I904" i="9"/>
  <c r="I905" i="9"/>
  <c r="I906" i="9"/>
  <c r="I907" i="9"/>
  <c r="I908" i="9"/>
  <c r="I909" i="9"/>
  <c r="I910" i="9"/>
  <c r="I911" i="9"/>
  <c r="I912" i="9"/>
  <c r="I913" i="9"/>
  <c r="I914" i="9"/>
  <c r="I915" i="9"/>
  <c r="I916" i="9"/>
  <c r="I917" i="9"/>
  <c r="I918" i="9"/>
  <c r="I919" i="9"/>
  <c r="I920" i="9"/>
  <c r="I921" i="9"/>
  <c r="I922" i="9"/>
  <c r="I923" i="9"/>
  <c r="I924" i="9"/>
  <c r="I925" i="9"/>
  <c r="I926" i="9"/>
  <c r="I927" i="9"/>
  <c r="I928" i="9"/>
  <c r="I929" i="9"/>
  <c r="I930" i="9"/>
  <c r="I931" i="9"/>
  <c r="I932" i="9"/>
  <c r="I933" i="9"/>
  <c r="I934" i="9"/>
  <c r="I935" i="9"/>
  <c r="I936" i="9"/>
  <c r="I937" i="9"/>
  <c r="I938" i="9"/>
  <c r="I939" i="9"/>
  <c r="I940" i="9"/>
  <c r="I941" i="9"/>
  <c r="I942" i="9"/>
  <c r="I943" i="9"/>
  <c r="I944" i="9"/>
  <c r="I945" i="9"/>
  <c r="I946" i="9"/>
  <c r="I947" i="9"/>
  <c r="I948" i="9"/>
  <c r="I949" i="9"/>
  <c r="I950" i="9"/>
  <c r="I951" i="9"/>
  <c r="I952" i="9"/>
  <c r="I953" i="9"/>
  <c r="I954" i="9"/>
  <c r="I955" i="9"/>
  <c r="I956" i="9"/>
  <c r="I957" i="9"/>
  <c r="I958" i="9"/>
  <c r="I959" i="9"/>
  <c r="I960" i="9"/>
  <c r="I961" i="9"/>
  <c r="I962" i="9"/>
  <c r="I963" i="9"/>
  <c r="I964" i="9"/>
  <c r="I965" i="9"/>
  <c r="I966" i="9"/>
  <c r="I967" i="9"/>
  <c r="I968" i="9"/>
  <c r="I969" i="9"/>
  <c r="I970" i="9"/>
  <c r="I971" i="9"/>
  <c r="I972" i="9"/>
  <c r="I973" i="9"/>
  <c r="I974" i="9"/>
  <c r="I975" i="9"/>
  <c r="I976" i="9"/>
  <c r="I977" i="9"/>
  <c r="I978" i="9"/>
  <c r="I979" i="9"/>
  <c r="I980" i="9"/>
  <c r="I981" i="9"/>
  <c r="I982" i="9"/>
  <c r="I983" i="9"/>
  <c r="I984" i="9"/>
  <c r="I985" i="9"/>
  <c r="I986" i="9"/>
  <c r="I987" i="9"/>
  <c r="I988" i="9"/>
  <c r="I989" i="9"/>
  <c r="I990" i="9"/>
  <c r="I991" i="9"/>
  <c r="I992" i="9"/>
  <c r="I993" i="9"/>
  <c r="I994" i="9"/>
  <c r="I995" i="9"/>
  <c r="I996" i="9"/>
  <c r="I997" i="9"/>
  <c r="I998" i="9"/>
  <c r="I999" i="9"/>
  <c r="I1000" i="9"/>
  <c r="I1001" i="9"/>
  <c r="I1002" i="9"/>
  <c r="I1003" i="9"/>
  <c r="I1004" i="9"/>
  <c r="I1005" i="9"/>
  <c r="I1006" i="9"/>
  <c r="I1007" i="9"/>
  <c r="I1008" i="9"/>
  <c r="I1009" i="9"/>
  <c r="I1010" i="9"/>
  <c r="I1011" i="9"/>
  <c r="I1012" i="9"/>
  <c r="I1013" i="9"/>
  <c r="I1014" i="9"/>
  <c r="I1015" i="9"/>
  <c r="I1016" i="9"/>
  <c r="I1017" i="9"/>
  <c r="I1018" i="9"/>
  <c r="I1019" i="9"/>
  <c r="I1020" i="9"/>
  <c r="I1021" i="9"/>
  <c r="I1022" i="9"/>
  <c r="I1023" i="9"/>
  <c r="I1024" i="9"/>
  <c r="I1025" i="9"/>
  <c r="I1026" i="9"/>
  <c r="I1027" i="9"/>
  <c r="I1028" i="9"/>
  <c r="I1029" i="9"/>
  <c r="I1030" i="9"/>
  <c r="I1031" i="9"/>
  <c r="I1032" i="9"/>
  <c r="I1033" i="9"/>
  <c r="I1034" i="9"/>
  <c r="I1035" i="9"/>
  <c r="I1036" i="9"/>
  <c r="I1037" i="9"/>
  <c r="I1038" i="9"/>
  <c r="I1039" i="9"/>
  <c r="I1040" i="9"/>
  <c r="I1041" i="9"/>
  <c r="I1042" i="9"/>
  <c r="I1043" i="9"/>
  <c r="I1044" i="9"/>
  <c r="I1045" i="9"/>
  <c r="I1046" i="9"/>
  <c r="I1047" i="9"/>
  <c r="I1048" i="9"/>
  <c r="I1049" i="9"/>
  <c r="I1050" i="9"/>
  <c r="I1051" i="9"/>
  <c r="I1052" i="9"/>
  <c r="I1053" i="9"/>
  <c r="I1054" i="9"/>
  <c r="I1055" i="9"/>
  <c r="I1056" i="9"/>
  <c r="I1057" i="9"/>
  <c r="I1058" i="9"/>
  <c r="I1059" i="9"/>
  <c r="I1060" i="9"/>
  <c r="I1061" i="9"/>
  <c r="I1062" i="9"/>
  <c r="I1063" i="9"/>
  <c r="I1064" i="9"/>
  <c r="I1065" i="9"/>
  <c r="I1066" i="9"/>
  <c r="I1067" i="9"/>
  <c r="I1068" i="9"/>
  <c r="I1069" i="9"/>
  <c r="I1070" i="9"/>
  <c r="I1071" i="9"/>
  <c r="I1072" i="9"/>
  <c r="I1073" i="9"/>
  <c r="I1074" i="9"/>
  <c r="I1075" i="9"/>
  <c r="I1076" i="9"/>
  <c r="I1077" i="9"/>
  <c r="I1078" i="9"/>
  <c r="I1079" i="9"/>
  <c r="I1080" i="9"/>
  <c r="I1081" i="9"/>
  <c r="I1082" i="9"/>
  <c r="I1083" i="9"/>
  <c r="I1084" i="9"/>
  <c r="I1085" i="9"/>
  <c r="I1086" i="9"/>
  <c r="I1087" i="9"/>
  <c r="I1088" i="9"/>
  <c r="I1089" i="9"/>
  <c r="I1090" i="9"/>
  <c r="I1091" i="9"/>
  <c r="I1092" i="9"/>
  <c r="I1093" i="9"/>
  <c r="I1094" i="9"/>
  <c r="I1095" i="9"/>
  <c r="I1096" i="9"/>
  <c r="I1097" i="9"/>
  <c r="I1098" i="9"/>
  <c r="I1099" i="9"/>
  <c r="I1100" i="9"/>
  <c r="I1101" i="9"/>
  <c r="I1102" i="9"/>
  <c r="I1103" i="9"/>
  <c r="I1104" i="9"/>
  <c r="I1105" i="9"/>
  <c r="I1106" i="9"/>
  <c r="I1107" i="9"/>
  <c r="I1108" i="9"/>
  <c r="I1109" i="9"/>
  <c r="I1110" i="9"/>
  <c r="I1111" i="9"/>
  <c r="I1112" i="9"/>
  <c r="I1113" i="9"/>
  <c r="I1114" i="9"/>
  <c r="I1115" i="9"/>
  <c r="I1116" i="9"/>
  <c r="I1117" i="9"/>
  <c r="I1118" i="9"/>
  <c r="I1119" i="9"/>
  <c r="I1120" i="9"/>
  <c r="I1121" i="9"/>
  <c r="I1122" i="9"/>
  <c r="I1123" i="9"/>
  <c r="I1124" i="9"/>
  <c r="I1125" i="9"/>
  <c r="I1126" i="9"/>
  <c r="I1127" i="9"/>
  <c r="I1128" i="9"/>
  <c r="I1129" i="9"/>
  <c r="I1130" i="9"/>
  <c r="I1131" i="9"/>
  <c r="I1132" i="9"/>
  <c r="I1133" i="9"/>
  <c r="I1134" i="9"/>
  <c r="I1135" i="9"/>
  <c r="I1136" i="9"/>
  <c r="I1137" i="9"/>
  <c r="I1138" i="9"/>
  <c r="I1139" i="9"/>
  <c r="I1140" i="9"/>
  <c r="I1141" i="9"/>
  <c r="I1142" i="9"/>
  <c r="I1143" i="9"/>
  <c r="I1144" i="9"/>
  <c r="I1145" i="9"/>
  <c r="I1146" i="9"/>
  <c r="I1147" i="9"/>
  <c r="I1148" i="9"/>
  <c r="I1149" i="9"/>
  <c r="I1150" i="9"/>
  <c r="I1151" i="9"/>
  <c r="I1152" i="9"/>
  <c r="I1153" i="9"/>
  <c r="I1154" i="9"/>
  <c r="I1155" i="9"/>
  <c r="I1156" i="9"/>
  <c r="I1157" i="9"/>
  <c r="I1158" i="9"/>
  <c r="I1159" i="9"/>
  <c r="I1160" i="9"/>
  <c r="I1161" i="9"/>
  <c r="I1162" i="9"/>
  <c r="I1163" i="9"/>
  <c r="I1164" i="9"/>
  <c r="I1165" i="9"/>
  <c r="I1166" i="9"/>
  <c r="I1167" i="9"/>
  <c r="I1168" i="9"/>
  <c r="I1169" i="9"/>
  <c r="I1170" i="9"/>
  <c r="I1171" i="9"/>
  <c r="I1172" i="9"/>
  <c r="I1173" i="9"/>
  <c r="I1174" i="9"/>
  <c r="I1175" i="9"/>
  <c r="I1176" i="9"/>
  <c r="I1177" i="9"/>
  <c r="I1178" i="9"/>
  <c r="I1179" i="9"/>
  <c r="I1180" i="9"/>
  <c r="I1181" i="9"/>
  <c r="I1182" i="9"/>
  <c r="I1183" i="9"/>
  <c r="I1184" i="9"/>
  <c r="I1185" i="9"/>
  <c r="I1186" i="9"/>
  <c r="I1187" i="9"/>
  <c r="I1188" i="9"/>
  <c r="I1189" i="9"/>
  <c r="I1190" i="9"/>
  <c r="I1191" i="9"/>
  <c r="I1192" i="9"/>
  <c r="I1193" i="9"/>
  <c r="I1194" i="9"/>
  <c r="I1195" i="9"/>
  <c r="I1196" i="9"/>
  <c r="I1197" i="9"/>
  <c r="I1198" i="9"/>
  <c r="I1199" i="9"/>
  <c r="I1200" i="9"/>
  <c r="I1201" i="9"/>
  <c r="I1202" i="9"/>
  <c r="I1203" i="9"/>
  <c r="I1204" i="9"/>
  <c r="I1205" i="9"/>
  <c r="I1206" i="9"/>
  <c r="I1207" i="9"/>
  <c r="I1208" i="9"/>
  <c r="I1209" i="9"/>
  <c r="I1210" i="9"/>
  <c r="I1211" i="9"/>
  <c r="I1212" i="9"/>
  <c r="I1213" i="9"/>
  <c r="I1214" i="9"/>
  <c r="I1215" i="9"/>
  <c r="I1216" i="9"/>
  <c r="I1217" i="9"/>
  <c r="I1218" i="9"/>
  <c r="I1219" i="9"/>
  <c r="I1220" i="9"/>
  <c r="I1221" i="9"/>
  <c r="I1222" i="9"/>
  <c r="I1223" i="9"/>
  <c r="I1224" i="9"/>
  <c r="I1225" i="9"/>
  <c r="I1226" i="9"/>
  <c r="I1227" i="9"/>
  <c r="I1228" i="9"/>
  <c r="I1229" i="9"/>
  <c r="I1230" i="9"/>
  <c r="I1231" i="9"/>
  <c r="I1232" i="9"/>
  <c r="I1233" i="9"/>
  <c r="I1234" i="9"/>
  <c r="I1235" i="9"/>
  <c r="I1236" i="9"/>
  <c r="I1237" i="9"/>
  <c r="I1238" i="9"/>
  <c r="I1239" i="9"/>
  <c r="I1240" i="9"/>
  <c r="I1241" i="9"/>
  <c r="I1242" i="9"/>
  <c r="I1243" i="9"/>
  <c r="I1244" i="9"/>
  <c r="I1245" i="9"/>
  <c r="I1246" i="9"/>
  <c r="I1247" i="9"/>
  <c r="I1248" i="9"/>
  <c r="I1249" i="9"/>
  <c r="I1250" i="9"/>
  <c r="I1251" i="9"/>
  <c r="I1252" i="9"/>
  <c r="I1253" i="9"/>
  <c r="I1254" i="9"/>
  <c r="I1255" i="9"/>
  <c r="I1256" i="9"/>
  <c r="I1257" i="9"/>
  <c r="I1258" i="9"/>
  <c r="I1259" i="9"/>
  <c r="I1260" i="9"/>
  <c r="I1261" i="9"/>
  <c r="I1262" i="9"/>
  <c r="I1263" i="9"/>
  <c r="I1264" i="9"/>
  <c r="I1265" i="9"/>
  <c r="I1266" i="9"/>
  <c r="I1267" i="9"/>
  <c r="I1268" i="9"/>
  <c r="I1269" i="9"/>
  <c r="I1270" i="9"/>
  <c r="I1271" i="9"/>
  <c r="I1272" i="9"/>
  <c r="I1273" i="9"/>
  <c r="I1274" i="9"/>
  <c r="I1275" i="9"/>
  <c r="I1276" i="9"/>
  <c r="I1277" i="9"/>
  <c r="I1278" i="9"/>
  <c r="I1279" i="9"/>
  <c r="I1280" i="9"/>
  <c r="I1281" i="9"/>
  <c r="I1282" i="9"/>
  <c r="I1283" i="9"/>
  <c r="I1284" i="9"/>
  <c r="I1285" i="9"/>
  <c r="I1286" i="9"/>
  <c r="I1287" i="9"/>
  <c r="I1288" i="9"/>
  <c r="I1289" i="9"/>
  <c r="I1290" i="9"/>
  <c r="I1291" i="9"/>
  <c r="I1292" i="9"/>
  <c r="I1293" i="9"/>
  <c r="I1294" i="9"/>
  <c r="I1295" i="9"/>
  <c r="I1296" i="9"/>
  <c r="I1297" i="9"/>
  <c r="I1298" i="9"/>
  <c r="I1299" i="9"/>
  <c r="I1300" i="9"/>
  <c r="I1301" i="9"/>
  <c r="I1302" i="9"/>
  <c r="I1303" i="9"/>
  <c r="I1304" i="9"/>
  <c r="I1305" i="9"/>
  <c r="I1306" i="9"/>
  <c r="I1307" i="9"/>
  <c r="I1308" i="9"/>
  <c r="I1309" i="9"/>
  <c r="I1310" i="9"/>
  <c r="I1311" i="9"/>
  <c r="I1312" i="9"/>
  <c r="I1313" i="9"/>
  <c r="I1314" i="9"/>
  <c r="I1315" i="9"/>
  <c r="I1316" i="9"/>
  <c r="I1317" i="9"/>
  <c r="I1318" i="9"/>
  <c r="I1319" i="9"/>
  <c r="I1320" i="9"/>
  <c r="I1321" i="9"/>
  <c r="I1322" i="9"/>
  <c r="I1323" i="9"/>
  <c r="I1324" i="9"/>
  <c r="I1325" i="9"/>
  <c r="I1326" i="9"/>
  <c r="I1327" i="9"/>
  <c r="I1328" i="9"/>
  <c r="I1329" i="9"/>
  <c r="I1330" i="9"/>
  <c r="I1331" i="9"/>
  <c r="I1332" i="9"/>
  <c r="I1333" i="9"/>
  <c r="I1334" i="9"/>
  <c r="I1335" i="9"/>
  <c r="I1336" i="9"/>
  <c r="I1337" i="9"/>
  <c r="I1338" i="9"/>
  <c r="I1339" i="9"/>
  <c r="I1340" i="9"/>
  <c r="I1341" i="9"/>
  <c r="I1342" i="9"/>
  <c r="I1343" i="9"/>
  <c r="I1344" i="9"/>
  <c r="I1345" i="9"/>
  <c r="I1346" i="9"/>
  <c r="I1347" i="9"/>
  <c r="I1348" i="9"/>
  <c r="I1349" i="9"/>
  <c r="I1350" i="9"/>
  <c r="I1351" i="9"/>
  <c r="I1352" i="9"/>
  <c r="I1353" i="9"/>
  <c r="I1354" i="9"/>
  <c r="I1355" i="9"/>
  <c r="I1356" i="9"/>
  <c r="I1357" i="9"/>
  <c r="I1358" i="9"/>
  <c r="I1359" i="9"/>
  <c r="I1360" i="9"/>
  <c r="I1361" i="9"/>
  <c r="I1362" i="9"/>
  <c r="I1363" i="9"/>
  <c r="I1364" i="9"/>
  <c r="I1365" i="9"/>
  <c r="I1366" i="9"/>
  <c r="I1367" i="9"/>
  <c r="I1368" i="9"/>
  <c r="I1369" i="9"/>
  <c r="I1370" i="9"/>
  <c r="I1371" i="9"/>
  <c r="I1372" i="9"/>
  <c r="I1373" i="9"/>
  <c r="I1374" i="9"/>
  <c r="I1375" i="9"/>
  <c r="I1376" i="9"/>
  <c r="I1377" i="9"/>
  <c r="I1378" i="9"/>
  <c r="I1379" i="9"/>
  <c r="I1380" i="9"/>
  <c r="I1381" i="9"/>
  <c r="I1382" i="9"/>
  <c r="I1383" i="9"/>
  <c r="I1384" i="9"/>
  <c r="I1385" i="9"/>
  <c r="I1386" i="9"/>
  <c r="I1387" i="9"/>
  <c r="I1388" i="9"/>
  <c r="I1389" i="9"/>
  <c r="I1390" i="9"/>
  <c r="I1391" i="9"/>
  <c r="I1392" i="9"/>
  <c r="I1393" i="9"/>
  <c r="I1394" i="9"/>
  <c r="I1395" i="9"/>
  <c r="I1396" i="9"/>
  <c r="I1397" i="9"/>
  <c r="I1398" i="9"/>
  <c r="I1399" i="9"/>
  <c r="I1400" i="9"/>
  <c r="I1401" i="9"/>
  <c r="I1402" i="9"/>
  <c r="I1403" i="9"/>
  <c r="I1404" i="9"/>
  <c r="I1405" i="9"/>
  <c r="I1406" i="9"/>
  <c r="I1407" i="9"/>
  <c r="I1408" i="9"/>
  <c r="I1409" i="9"/>
  <c r="I1410" i="9"/>
  <c r="I1411" i="9"/>
  <c r="I1412" i="9"/>
  <c r="I1413" i="9"/>
  <c r="I1414" i="9"/>
  <c r="I1415" i="9"/>
  <c r="I1416" i="9"/>
  <c r="I1417" i="9"/>
  <c r="I1418" i="9"/>
  <c r="I1419" i="9"/>
  <c r="I1420" i="9"/>
  <c r="I1421" i="9"/>
  <c r="I1422" i="9"/>
  <c r="I1423" i="9"/>
  <c r="I1424" i="9"/>
  <c r="I1425" i="9"/>
  <c r="I1426" i="9"/>
  <c r="I1427" i="9"/>
  <c r="I1428" i="9"/>
  <c r="I1429" i="9"/>
  <c r="I1430" i="9"/>
  <c r="I1431" i="9"/>
  <c r="I1432" i="9"/>
  <c r="I1433" i="9"/>
  <c r="I1434" i="9"/>
  <c r="I1435" i="9"/>
  <c r="I1436" i="9"/>
  <c r="I1437" i="9"/>
  <c r="I1438" i="9"/>
  <c r="I1439" i="9"/>
  <c r="I1440" i="9"/>
  <c r="I1441" i="9"/>
  <c r="I1442" i="9"/>
  <c r="I1443" i="9"/>
  <c r="I1444" i="9"/>
  <c r="I1445" i="9"/>
  <c r="I1446" i="9"/>
  <c r="I1447" i="9"/>
  <c r="I1448" i="9"/>
  <c r="I1449" i="9"/>
  <c r="I1450" i="9"/>
  <c r="I1451" i="9"/>
  <c r="I1452" i="9"/>
  <c r="I1453" i="9"/>
  <c r="I1454" i="9"/>
  <c r="I1455" i="9"/>
  <c r="I1456" i="9"/>
  <c r="I1457" i="9"/>
  <c r="I1458" i="9"/>
  <c r="I1459" i="9"/>
  <c r="I1460" i="9"/>
  <c r="I1461" i="9"/>
  <c r="I1462" i="9"/>
  <c r="I1463" i="9"/>
  <c r="I1464" i="9"/>
  <c r="I1465" i="9"/>
  <c r="I1466" i="9"/>
  <c r="I1467" i="9"/>
  <c r="I1468" i="9"/>
  <c r="I1469" i="9"/>
  <c r="I1470" i="9"/>
  <c r="I1471" i="9"/>
  <c r="I1472" i="9"/>
  <c r="I1473" i="9"/>
  <c r="I1474" i="9"/>
  <c r="I1475" i="9"/>
  <c r="I1476" i="9"/>
  <c r="I1477" i="9"/>
  <c r="I1478" i="9"/>
  <c r="I1479" i="9"/>
  <c r="I1480" i="9"/>
  <c r="I1481" i="9"/>
  <c r="I1482" i="9"/>
  <c r="I1483" i="9"/>
  <c r="I1484" i="9"/>
  <c r="I1485" i="9"/>
  <c r="I1486" i="9"/>
  <c r="I1487" i="9"/>
  <c r="I1488" i="9"/>
  <c r="I1489" i="9"/>
  <c r="I1490" i="9"/>
  <c r="I1491" i="9"/>
  <c r="I1492" i="9"/>
  <c r="I1493" i="9"/>
  <c r="I1494" i="9"/>
  <c r="I1495" i="9"/>
  <c r="I1496" i="9"/>
  <c r="I1497" i="9"/>
  <c r="I1498" i="9"/>
  <c r="I1499" i="9"/>
  <c r="I1500" i="9"/>
  <c r="I1501" i="9"/>
  <c r="I1502" i="9"/>
  <c r="I1503" i="9"/>
  <c r="I1504" i="9"/>
  <c r="I1505" i="9"/>
  <c r="I1506" i="9"/>
  <c r="I1507" i="9"/>
  <c r="I1508" i="9"/>
  <c r="I1509" i="9"/>
  <c r="I1510" i="9"/>
  <c r="I1511" i="9"/>
  <c r="I1512" i="9"/>
  <c r="I1513" i="9"/>
  <c r="I1514" i="9"/>
  <c r="I1515" i="9"/>
  <c r="I1516" i="9"/>
  <c r="I1517" i="9"/>
  <c r="I1518" i="9"/>
  <c r="I1519" i="9"/>
  <c r="I1520" i="9"/>
  <c r="I1521" i="9"/>
  <c r="I1522" i="9"/>
  <c r="I1523" i="9"/>
  <c r="I1524" i="9"/>
  <c r="I1525" i="9"/>
  <c r="I1526" i="9"/>
  <c r="I1527" i="9"/>
  <c r="I1528" i="9"/>
  <c r="I1529" i="9"/>
  <c r="I1530" i="9"/>
  <c r="I1531" i="9"/>
  <c r="I1532" i="9"/>
  <c r="I1533" i="9"/>
  <c r="I1534" i="9"/>
  <c r="I1535" i="9"/>
  <c r="I1536" i="9"/>
  <c r="I1537" i="9"/>
  <c r="I1538" i="9"/>
  <c r="I1539" i="9"/>
  <c r="I1540" i="9"/>
  <c r="I1541" i="9"/>
  <c r="I1542" i="9"/>
  <c r="I1543" i="9"/>
  <c r="I1544" i="9"/>
  <c r="I1545" i="9"/>
  <c r="I1546" i="9"/>
  <c r="I1547" i="9"/>
  <c r="I1548" i="9"/>
  <c r="I1549" i="9"/>
  <c r="I1550" i="9"/>
  <c r="I1551" i="9"/>
  <c r="I1552" i="9"/>
  <c r="I1553" i="9"/>
  <c r="I1554" i="9"/>
  <c r="I1555" i="9"/>
  <c r="I1556" i="9"/>
  <c r="I1557" i="9"/>
  <c r="I1558" i="9"/>
  <c r="I1559" i="9"/>
  <c r="I1560" i="9"/>
  <c r="I1561" i="9"/>
  <c r="I1562" i="9"/>
  <c r="I1563" i="9"/>
  <c r="I1564" i="9"/>
  <c r="I1565" i="9"/>
  <c r="I1566" i="9"/>
  <c r="I1567" i="9"/>
  <c r="I1568" i="9"/>
  <c r="I1569" i="9"/>
  <c r="I1570" i="9"/>
  <c r="I1571" i="9"/>
  <c r="I1572" i="9"/>
  <c r="I1573" i="9"/>
  <c r="I1574" i="9"/>
  <c r="I1575" i="9"/>
  <c r="I1576" i="9"/>
  <c r="I1577" i="9"/>
  <c r="I1578" i="9"/>
  <c r="I1579" i="9"/>
  <c r="I1580" i="9"/>
  <c r="I1581" i="9"/>
  <c r="I1582" i="9"/>
  <c r="I1583" i="9"/>
  <c r="I1584" i="9"/>
  <c r="I1585" i="9"/>
  <c r="I1586" i="9"/>
  <c r="I1587" i="9"/>
  <c r="I1588" i="9"/>
  <c r="I1589" i="9"/>
  <c r="I1590" i="9"/>
  <c r="I1591" i="9"/>
  <c r="I1592" i="9"/>
  <c r="I1593" i="9"/>
  <c r="I1594" i="9"/>
  <c r="I1595" i="9"/>
  <c r="I1596" i="9"/>
  <c r="I1597" i="9"/>
  <c r="I1598" i="9"/>
  <c r="I1599" i="9"/>
  <c r="I1600" i="9"/>
  <c r="I1601" i="9"/>
  <c r="I1602" i="9"/>
  <c r="I1603" i="9"/>
  <c r="I1604" i="9"/>
  <c r="I1605" i="9"/>
  <c r="I1606" i="9"/>
  <c r="I1607" i="9"/>
  <c r="I1608" i="9"/>
  <c r="I1609" i="9"/>
  <c r="I1610" i="9"/>
  <c r="I1611" i="9"/>
  <c r="I1612" i="9"/>
  <c r="I1613" i="9"/>
  <c r="I1614" i="9"/>
  <c r="I1615" i="9"/>
  <c r="I1616" i="9"/>
  <c r="G2" i="8"/>
  <c r="G3" i="8"/>
  <c r="G4" i="8"/>
  <c r="G5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35" i="8"/>
  <c r="G36" i="8"/>
  <c r="G37" i="8"/>
  <c r="G38" i="8"/>
  <c r="G39" i="8"/>
  <c r="G40" i="8"/>
  <c r="G41" i="8"/>
  <c r="G42" i="8"/>
  <c r="G43" i="8"/>
  <c r="G44" i="8"/>
  <c r="G45" i="8"/>
  <c r="G46" i="8"/>
  <c r="G47" i="8"/>
  <c r="G48" i="8"/>
  <c r="G49" i="8"/>
  <c r="G50" i="8"/>
  <c r="G51" i="8"/>
  <c r="G52" i="8"/>
  <c r="G53" i="8"/>
  <c r="G54" i="8"/>
  <c r="G55" i="8"/>
  <c r="G56" i="8"/>
  <c r="G57" i="8"/>
  <c r="G58" i="8"/>
  <c r="G59" i="8"/>
  <c r="G60" i="8"/>
  <c r="G61" i="8"/>
  <c r="G62" i="8"/>
  <c r="G63" i="8"/>
  <c r="G64" i="8"/>
  <c r="G65" i="8"/>
  <c r="G66" i="8"/>
  <c r="G67" i="8"/>
  <c r="G68" i="8"/>
  <c r="G69" i="8"/>
  <c r="G70" i="8"/>
  <c r="G71" i="8"/>
  <c r="G72" i="8"/>
  <c r="G73" i="8"/>
  <c r="G74" i="8"/>
  <c r="G75" i="8"/>
  <c r="G76" i="8"/>
  <c r="G77" i="8"/>
  <c r="G78" i="8"/>
  <c r="G79" i="8"/>
  <c r="G80" i="8"/>
  <c r="G81" i="8"/>
  <c r="G82" i="8"/>
  <c r="G83" i="8"/>
  <c r="G84" i="8"/>
  <c r="G85" i="8"/>
  <c r="G86" i="8"/>
  <c r="G87" i="8"/>
  <c r="G88" i="8"/>
  <c r="G89" i="8"/>
  <c r="G90" i="8"/>
  <c r="G91" i="8"/>
  <c r="G92" i="8"/>
  <c r="G93" i="8"/>
  <c r="G94" i="8"/>
  <c r="G95" i="8"/>
  <c r="G96" i="8"/>
  <c r="G97" i="8"/>
  <c r="G98" i="8"/>
  <c r="G99" i="8"/>
  <c r="G100" i="8"/>
  <c r="G101" i="8"/>
  <c r="G102" i="8"/>
  <c r="G103" i="8"/>
  <c r="G104" i="8"/>
  <c r="G105" i="8"/>
  <c r="G106" i="8"/>
  <c r="G107" i="8"/>
  <c r="G108" i="8"/>
  <c r="G109" i="8"/>
  <c r="G110" i="8"/>
  <c r="G111" i="8"/>
  <c r="G112" i="8"/>
  <c r="G113" i="8"/>
  <c r="G114" i="8"/>
  <c r="G115" i="8"/>
  <c r="G116" i="8"/>
  <c r="G117" i="8"/>
  <c r="G118" i="8"/>
  <c r="G119" i="8"/>
  <c r="G120" i="8"/>
  <c r="G121" i="8"/>
  <c r="G122" i="8"/>
  <c r="G123" i="8"/>
  <c r="G124" i="8"/>
  <c r="G125" i="8"/>
  <c r="G126" i="8"/>
  <c r="G127" i="8"/>
  <c r="G128" i="8"/>
  <c r="G129" i="8"/>
  <c r="G130" i="8"/>
  <c r="G131" i="8"/>
  <c r="G132" i="8"/>
  <c r="G133" i="8"/>
  <c r="G134" i="8"/>
  <c r="G135" i="8"/>
  <c r="G136" i="8"/>
  <c r="G137" i="8"/>
  <c r="G138" i="8"/>
  <c r="G139" i="8"/>
  <c r="G140" i="8"/>
  <c r="G141" i="8"/>
  <c r="G142" i="8"/>
  <c r="G143" i="8"/>
  <c r="G144" i="8"/>
  <c r="G145" i="8"/>
  <c r="G146" i="8"/>
  <c r="G147" i="8"/>
  <c r="G148" i="8"/>
  <c r="G149" i="8"/>
  <c r="G150" i="8"/>
  <c r="G151" i="8"/>
  <c r="G152" i="8"/>
  <c r="G153" i="8"/>
  <c r="G154" i="8"/>
  <c r="G155" i="8"/>
  <c r="G156" i="8"/>
  <c r="G157" i="8"/>
  <c r="G158" i="8"/>
  <c r="G159" i="8"/>
  <c r="G160" i="8"/>
  <c r="G161" i="8"/>
  <c r="G162" i="8"/>
  <c r="G163" i="8"/>
  <c r="G164" i="8"/>
  <c r="G165" i="8"/>
  <c r="G166" i="8"/>
  <c r="G167" i="8"/>
  <c r="G168" i="8"/>
  <c r="G169" i="8"/>
  <c r="G170" i="8"/>
  <c r="G171" i="8"/>
  <c r="G172" i="8"/>
  <c r="G173" i="8"/>
  <c r="G174" i="8"/>
  <c r="G175" i="8"/>
  <c r="G176" i="8"/>
  <c r="G177" i="8"/>
  <c r="G178" i="8"/>
  <c r="G179" i="8"/>
  <c r="G180" i="8"/>
  <c r="G181" i="8"/>
  <c r="G182" i="8"/>
  <c r="G183" i="8"/>
  <c r="G184" i="8"/>
  <c r="G185" i="8"/>
  <c r="G186" i="8"/>
  <c r="G187" i="8"/>
  <c r="G188" i="8"/>
  <c r="G189" i="8"/>
  <c r="G190" i="8"/>
  <c r="G191" i="8"/>
  <c r="G192" i="8"/>
  <c r="G193" i="8"/>
  <c r="G194" i="8"/>
  <c r="G195" i="8"/>
  <c r="G196" i="8"/>
  <c r="G197" i="8"/>
  <c r="G198" i="8"/>
  <c r="G199" i="8"/>
  <c r="G200" i="8"/>
  <c r="G201" i="8"/>
  <c r="G202" i="8"/>
  <c r="G203" i="8"/>
  <c r="G204" i="8"/>
  <c r="G205" i="8"/>
  <c r="G206" i="8"/>
  <c r="G207" i="8"/>
  <c r="G208" i="8"/>
  <c r="G209" i="8"/>
  <c r="G210" i="8"/>
  <c r="G211" i="8"/>
  <c r="G212" i="8"/>
  <c r="G213" i="8"/>
  <c r="G214" i="8"/>
  <c r="G215" i="8"/>
  <c r="G216" i="8"/>
  <c r="G217" i="8"/>
  <c r="G218" i="8"/>
  <c r="G219" i="8"/>
  <c r="G220" i="8"/>
  <c r="G221" i="8"/>
  <c r="G222" i="8"/>
  <c r="G223" i="8"/>
  <c r="G224" i="8"/>
  <c r="G225" i="8"/>
  <c r="G226" i="8"/>
  <c r="G227" i="8"/>
  <c r="G228" i="8"/>
  <c r="G229" i="8"/>
  <c r="G230" i="8"/>
  <c r="G231" i="8"/>
  <c r="G232" i="8"/>
  <c r="G233" i="8"/>
  <c r="G234" i="8"/>
  <c r="G235" i="8"/>
  <c r="G236" i="8"/>
  <c r="G237" i="8"/>
  <c r="G238" i="8"/>
  <c r="G239" i="8"/>
  <c r="G240" i="8"/>
  <c r="G241" i="8"/>
  <c r="G242" i="8"/>
  <c r="G243" i="8"/>
  <c r="G244" i="8"/>
  <c r="G245" i="8"/>
  <c r="G246" i="8"/>
  <c r="G247" i="8"/>
  <c r="G248" i="8"/>
  <c r="G249" i="8"/>
  <c r="G250" i="8"/>
  <c r="G251" i="8"/>
  <c r="G252" i="8"/>
  <c r="G253" i="8"/>
  <c r="G254" i="8"/>
  <c r="G255" i="8"/>
  <c r="G256" i="8"/>
  <c r="G257" i="8"/>
  <c r="G258" i="8"/>
  <c r="G259" i="8"/>
  <c r="G260" i="8"/>
  <c r="G261" i="8"/>
  <c r="G262" i="8"/>
  <c r="G263" i="8"/>
  <c r="G264" i="8"/>
  <c r="G265" i="8"/>
  <c r="G266" i="8"/>
  <c r="G267" i="8"/>
  <c r="G268" i="8"/>
  <c r="G269" i="8"/>
  <c r="G270" i="8"/>
  <c r="G271" i="8"/>
  <c r="G272" i="8"/>
  <c r="G273" i="8"/>
  <c r="G274" i="8"/>
  <c r="G275" i="8"/>
  <c r="G276" i="8"/>
  <c r="G277" i="8"/>
  <c r="G278" i="8"/>
  <c r="G279" i="8"/>
  <c r="G280" i="8"/>
  <c r="G281" i="8"/>
  <c r="G282" i="8"/>
  <c r="G283" i="8"/>
  <c r="G284" i="8"/>
  <c r="G285" i="8"/>
  <c r="G286" i="8"/>
  <c r="G287" i="8"/>
  <c r="G288" i="8"/>
  <c r="G289" i="8"/>
  <c r="G290" i="8"/>
  <c r="G291" i="8"/>
  <c r="G292" i="8"/>
  <c r="G293" i="8"/>
  <c r="G294" i="8"/>
  <c r="G295" i="8"/>
  <c r="G296" i="8"/>
  <c r="G297" i="8"/>
  <c r="G298" i="8"/>
  <c r="G299" i="8"/>
  <c r="G300" i="8"/>
  <c r="G301" i="8"/>
  <c r="G302" i="8"/>
  <c r="G303" i="8"/>
  <c r="G304" i="8"/>
  <c r="G305" i="8"/>
  <c r="G306" i="8"/>
  <c r="G307" i="8"/>
  <c r="G308" i="8"/>
  <c r="G309" i="8"/>
  <c r="G310" i="8"/>
  <c r="G311" i="8"/>
  <c r="G312" i="8"/>
  <c r="G313" i="8"/>
  <c r="G314" i="8"/>
  <c r="G315" i="8"/>
  <c r="G316" i="8"/>
  <c r="G317" i="8"/>
  <c r="G318" i="8"/>
  <c r="G319" i="8"/>
  <c r="G320" i="8"/>
  <c r="G321" i="8"/>
  <c r="G322" i="8"/>
  <c r="H2" i="9"/>
  <c r="H3" i="9"/>
  <c r="H4" i="9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  <c r="H45" i="9"/>
  <c r="H46" i="9"/>
  <c r="H47" i="9"/>
  <c r="H48" i="9"/>
  <c r="H49" i="9"/>
  <c r="H50" i="9"/>
  <c r="H51" i="9"/>
  <c r="H52" i="9"/>
  <c r="H53" i="9"/>
  <c r="H54" i="9"/>
  <c r="H55" i="9"/>
  <c r="H56" i="9"/>
  <c r="H57" i="9"/>
  <c r="H58" i="9"/>
  <c r="H59" i="9"/>
  <c r="H60" i="9"/>
  <c r="H61" i="9"/>
  <c r="H62" i="9"/>
  <c r="H63" i="9"/>
  <c r="H64" i="9"/>
  <c r="H65" i="9"/>
  <c r="H66" i="9"/>
  <c r="H67" i="9"/>
  <c r="H68" i="9"/>
  <c r="H69" i="9"/>
  <c r="H70" i="9"/>
  <c r="H71" i="9"/>
  <c r="H72" i="9"/>
  <c r="H73" i="9"/>
  <c r="H74" i="9"/>
  <c r="H75" i="9"/>
  <c r="H76" i="9"/>
  <c r="H77" i="9"/>
  <c r="H78" i="9"/>
  <c r="H79" i="9"/>
  <c r="H80" i="9"/>
  <c r="H81" i="9"/>
  <c r="H82" i="9"/>
  <c r="H83" i="9"/>
  <c r="H84" i="9"/>
  <c r="H85" i="9"/>
  <c r="H86" i="9"/>
  <c r="H87" i="9"/>
  <c r="H88" i="9"/>
  <c r="H89" i="9"/>
  <c r="H90" i="9"/>
  <c r="H91" i="9"/>
  <c r="H92" i="9"/>
  <c r="H93" i="9"/>
  <c r="H94" i="9"/>
  <c r="H95" i="9"/>
  <c r="H96" i="9"/>
  <c r="H97" i="9"/>
  <c r="H98" i="9"/>
  <c r="H99" i="9"/>
  <c r="H100" i="9"/>
  <c r="H101" i="9"/>
  <c r="H102" i="9"/>
  <c r="H103" i="9"/>
  <c r="H104" i="9"/>
  <c r="H105" i="9"/>
  <c r="H106" i="9"/>
  <c r="H107" i="9"/>
  <c r="H108" i="9"/>
  <c r="H109" i="9"/>
  <c r="H110" i="9"/>
  <c r="H111" i="9"/>
  <c r="H112" i="9"/>
  <c r="H113" i="9"/>
  <c r="H114" i="9"/>
  <c r="H115" i="9"/>
  <c r="H116" i="9"/>
  <c r="H117" i="9"/>
  <c r="H118" i="9"/>
  <c r="H119" i="9"/>
  <c r="H120" i="9"/>
  <c r="H121" i="9"/>
  <c r="H122" i="9"/>
  <c r="H123" i="9"/>
  <c r="H124" i="9"/>
  <c r="H125" i="9"/>
  <c r="H126" i="9"/>
  <c r="H127" i="9"/>
  <c r="H128" i="9"/>
  <c r="H129" i="9"/>
  <c r="H130" i="9"/>
  <c r="H131" i="9"/>
  <c r="H132" i="9"/>
  <c r="H133" i="9"/>
  <c r="H134" i="9"/>
  <c r="H135" i="9"/>
  <c r="H136" i="9"/>
  <c r="H137" i="9"/>
  <c r="H138" i="9"/>
  <c r="H139" i="9"/>
  <c r="H140" i="9"/>
  <c r="H141" i="9"/>
  <c r="H142" i="9"/>
  <c r="H143" i="9"/>
  <c r="H144" i="9"/>
  <c r="H145" i="9"/>
  <c r="H146" i="9"/>
  <c r="H147" i="9"/>
  <c r="H148" i="9"/>
  <c r="H149" i="9"/>
  <c r="H150" i="9"/>
  <c r="H151" i="9"/>
  <c r="H152" i="9"/>
  <c r="H153" i="9"/>
  <c r="H154" i="9"/>
  <c r="H155" i="9"/>
  <c r="H156" i="9"/>
  <c r="H157" i="9"/>
  <c r="H158" i="9"/>
  <c r="H159" i="9"/>
  <c r="H160" i="9"/>
  <c r="H161" i="9"/>
  <c r="H162" i="9"/>
  <c r="H163" i="9"/>
  <c r="H164" i="9"/>
  <c r="H165" i="9"/>
  <c r="H166" i="9"/>
  <c r="H167" i="9"/>
  <c r="H168" i="9"/>
  <c r="H169" i="9"/>
  <c r="H170" i="9"/>
  <c r="H171" i="9"/>
  <c r="H172" i="9"/>
  <c r="H173" i="9"/>
  <c r="H174" i="9"/>
  <c r="H175" i="9"/>
  <c r="H176" i="9"/>
  <c r="H177" i="9"/>
  <c r="H178" i="9"/>
  <c r="H179" i="9"/>
  <c r="H180" i="9"/>
  <c r="H181" i="9"/>
  <c r="H182" i="9"/>
  <c r="H183" i="9"/>
  <c r="H184" i="9"/>
  <c r="H185" i="9"/>
  <c r="H186" i="9"/>
  <c r="H187" i="9"/>
  <c r="H188" i="9"/>
  <c r="H189" i="9"/>
  <c r="H190" i="9"/>
  <c r="H191" i="9"/>
  <c r="H192" i="9"/>
  <c r="H193" i="9"/>
  <c r="H194" i="9"/>
  <c r="H195" i="9"/>
  <c r="H196" i="9"/>
  <c r="H197" i="9"/>
  <c r="H198" i="9"/>
  <c r="H199" i="9"/>
  <c r="H200" i="9"/>
  <c r="H201" i="9"/>
  <c r="H202" i="9"/>
  <c r="H203" i="9"/>
  <c r="H204" i="9"/>
  <c r="H205" i="9"/>
  <c r="H206" i="9"/>
  <c r="H207" i="9"/>
  <c r="H208" i="9"/>
  <c r="H209" i="9"/>
  <c r="H210" i="9"/>
  <c r="H211" i="9"/>
  <c r="H212" i="9"/>
  <c r="H213" i="9"/>
  <c r="H214" i="9"/>
  <c r="H215" i="9"/>
  <c r="H216" i="9"/>
  <c r="H217" i="9"/>
  <c r="H218" i="9"/>
  <c r="H219" i="9"/>
  <c r="H220" i="9"/>
  <c r="H221" i="9"/>
  <c r="H222" i="9"/>
  <c r="H223" i="9"/>
  <c r="H224" i="9"/>
  <c r="H225" i="9"/>
  <c r="H226" i="9"/>
  <c r="H227" i="9"/>
  <c r="H228" i="9"/>
  <c r="H229" i="9"/>
  <c r="H230" i="9"/>
  <c r="H231" i="9"/>
  <c r="H232" i="9"/>
  <c r="H233" i="9"/>
  <c r="H234" i="9"/>
  <c r="H235" i="9"/>
  <c r="H236" i="9"/>
  <c r="H237" i="9"/>
  <c r="H238" i="9"/>
  <c r="H239" i="9"/>
  <c r="H240" i="9"/>
  <c r="H241" i="9"/>
  <c r="H242" i="9"/>
  <c r="H243" i="9"/>
  <c r="H244" i="9"/>
  <c r="H245" i="9"/>
  <c r="H246" i="9"/>
  <c r="H247" i="9"/>
  <c r="H248" i="9"/>
  <c r="H249" i="9"/>
  <c r="H250" i="9"/>
  <c r="H251" i="9"/>
  <c r="H252" i="9"/>
  <c r="H253" i="9"/>
  <c r="H254" i="9"/>
  <c r="H255" i="9"/>
  <c r="H256" i="9"/>
  <c r="H257" i="9"/>
  <c r="H258" i="9"/>
  <c r="H259" i="9"/>
  <c r="H260" i="9"/>
  <c r="H261" i="9"/>
  <c r="H262" i="9"/>
  <c r="H263" i="9"/>
  <c r="H264" i="9"/>
  <c r="H265" i="9"/>
  <c r="H266" i="9"/>
  <c r="H267" i="9"/>
  <c r="H268" i="9"/>
  <c r="H269" i="9"/>
  <c r="H270" i="9"/>
  <c r="H271" i="9"/>
  <c r="H272" i="9"/>
  <c r="H273" i="9"/>
  <c r="H274" i="9"/>
  <c r="H275" i="9"/>
  <c r="H276" i="9"/>
  <c r="H277" i="9"/>
  <c r="H278" i="9"/>
  <c r="H279" i="9"/>
  <c r="H280" i="9"/>
  <c r="H281" i="9"/>
  <c r="H282" i="9"/>
  <c r="H283" i="9"/>
  <c r="H284" i="9"/>
  <c r="H285" i="9"/>
  <c r="H286" i="9"/>
  <c r="H287" i="9"/>
  <c r="H288" i="9"/>
  <c r="H289" i="9"/>
  <c r="H290" i="9"/>
  <c r="H291" i="9"/>
  <c r="H292" i="9"/>
  <c r="H293" i="9"/>
  <c r="H294" i="9"/>
  <c r="H295" i="9"/>
  <c r="H296" i="9"/>
  <c r="H297" i="9"/>
  <c r="H298" i="9"/>
  <c r="H299" i="9"/>
  <c r="H300" i="9"/>
  <c r="H301" i="9"/>
  <c r="H302" i="9"/>
  <c r="H303" i="9"/>
  <c r="H304" i="9"/>
  <c r="H305" i="9"/>
  <c r="H306" i="9"/>
  <c r="H307" i="9"/>
  <c r="H308" i="9"/>
  <c r="H309" i="9"/>
  <c r="H310" i="9"/>
  <c r="H311" i="9"/>
  <c r="H312" i="9"/>
  <c r="H313" i="9"/>
  <c r="H314" i="9"/>
  <c r="H315" i="9"/>
  <c r="H316" i="9"/>
  <c r="H317" i="9"/>
  <c r="H318" i="9"/>
  <c r="H319" i="9"/>
  <c r="H320" i="9"/>
  <c r="H321" i="9"/>
  <c r="H322" i="9"/>
  <c r="H323" i="9"/>
  <c r="H324" i="9"/>
  <c r="H325" i="9"/>
  <c r="H326" i="9"/>
  <c r="H327" i="9"/>
  <c r="H328" i="9"/>
  <c r="H329" i="9"/>
  <c r="H330" i="9"/>
  <c r="H331" i="9"/>
  <c r="H332" i="9"/>
  <c r="H333" i="9"/>
  <c r="H334" i="9"/>
  <c r="H335" i="9"/>
  <c r="H336" i="9"/>
  <c r="H337" i="9"/>
  <c r="H338" i="9"/>
  <c r="H339" i="9"/>
  <c r="H340" i="9"/>
  <c r="H341" i="9"/>
  <c r="H342" i="9"/>
  <c r="H343" i="9"/>
  <c r="H344" i="9"/>
  <c r="H345" i="9"/>
  <c r="H346" i="9"/>
  <c r="H347" i="9"/>
  <c r="H348" i="9"/>
  <c r="H349" i="9"/>
  <c r="H350" i="9"/>
  <c r="H351" i="9"/>
  <c r="H352" i="9"/>
  <c r="H353" i="9"/>
  <c r="H354" i="9"/>
  <c r="H355" i="9"/>
  <c r="H356" i="9"/>
  <c r="H357" i="9"/>
  <c r="H358" i="9"/>
  <c r="H359" i="9"/>
  <c r="H360" i="9"/>
  <c r="H361" i="9"/>
  <c r="H362" i="9"/>
  <c r="H363" i="9"/>
  <c r="H364" i="9"/>
  <c r="H365" i="9"/>
  <c r="H366" i="9"/>
  <c r="H367" i="9"/>
  <c r="H368" i="9"/>
  <c r="H369" i="9"/>
  <c r="H370" i="9"/>
  <c r="H371" i="9"/>
  <c r="H372" i="9"/>
  <c r="H373" i="9"/>
  <c r="H374" i="9"/>
  <c r="H375" i="9"/>
  <c r="H376" i="9"/>
  <c r="H377" i="9"/>
  <c r="H378" i="9"/>
  <c r="H379" i="9"/>
  <c r="H380" i="9"/>
  <c r="H381" i="9"/>
  <c r="H382" i="9"/>
  <c r="H383" i="9"/>
  <c r="H384" i="9"/>
  <c r="H385" i="9"/>
  <c r="H386" i="9"/>
  <c r="H387" i="9"/>
  <c r="H388" i="9"/>
  <c r="H389" i="9"/>
  <c r="H390" i="9"/>
  <c r="H391" i="9"/>
  <c r="H392" i="9"/>
  <c r="H393" i="9"/>
  <c r="H394" i="9"/>
  <c r="H395" i="9"/>
  <c r="H396" i="9"/>
  <c r="H397" i="9"/>
  <c r="H398" i="9"/>
  <c r="H399" i="9"/>
  <c r="H400" i="9"/>
  <c r="H401" i="9"/>
  <c r="H402" i="9"/>
  <c r="H403" i="9"/>
  <c r="H404" i="9"/>
  <c r="H405" i="9"/>
  <c r="H406" i="9"/>
  <c r="H407" i="9"/>
  <c r="H408" i="9"/>
  <c r="H409" i="9"/>
  <c r="H410" i="9"/>
  <c r="H411" i="9"/>
  <c r="H412" i="9"/>
  <c r="H413" i="9"/>
  <c r="H414" i="9"/>
  <c r="H415" i="9"/>
  <c r="H416" i="9"/>
  <c r="H417" i="9"/>
  <c r="H418" i="9"/>
  <c r="H419" i="9"/>
  <c r="H420" i="9"/>
  <c r="H421" i="9"/>
  <c r="H422" i="9"/>
  <c r="H423" i="9"/>
  <c r="H424" i="9"/>
  <c r="H425" i="9"/>
  <c r="H426" i="9"/>
  <c r="H427" i="9"/>
  <c r="H428" i="9"/>
  <c r="H429" i="9"/>
  <c r="H430" i="9"/>
  <c r="H431" i="9"/>
  <c r="H432" i="9"/>
  <c r="H433" i="9"/>
  <c r="H434" i="9"/>
  <c r="H435" i="9"/>
  <c r="H436" i="9"/>
  <c r="H437" i="9"/>
  <c r="H438" i="9"/>
  <c r="H439" i="9"/>
  <c r="H440" i="9"/>
  <c r="H441" i="9"/>
  <c r="H442" i="9"/>
  <c r="H443" i="9"/>
  <c r="H444" i="9"/>
  <c r="H445" i="9"/>
  <c r="H446" i="9"/>
  <c r="H447" i="9"/>
  <c r="H448" i="9"/>
  <c r="H449" i="9"/>
  <c r="H450" i="9"/>
  <c r="H451" i="9"/>
  <c r="H452" i="9"/>
  <c r="H453" i="9"/>
  <c r="H454" i="9"/>
  <c r="H455" i="9"/>
  <c r="H456" i="9"/>
  <c r="H457" i="9"/>
  <c r="H458" i="9"/>
  <c r="H459" i="9"/>
  <c r="H460" i="9"/>
  <c r="H461" i="9"/>
  <c r="H462" i="9"/>
  <c r="H463" i="9"/>
  <c r="H464" i="9"/>
  <c r="H465" i="9"/>
  <c r="H466" i="9"/>
  <c r="H467" i="9"/>
  <c r="H468" i="9"/>
  <c r="H469" i="9"/>
  <c r="H470" i="9"/>
  <c r="H471" i="9"/>
  <c r="H472" i="9"/>
  <c r="H473" i="9"/>
  <c r="H474" i="9"/>
  <c r="H475" i="9"/>
  <c r="H476" i="9"/>
  <c r="H477" i="9"/>
  <c r="H478" i="9"/>
  <c r="H479" i="9"/>
  <c r="H480" i="9"/>
  <c r="H481" i="9"/>
  <c r="H482" i="9"/>
  <c r="H483" i="9"/>
  <c r="H484" i="9"/>
  <c r="H485" i="9"/>
  <c r="H486" i="9"/>
  <c r="H487" i="9"/>
  <c r="H488" i="9"/>
  <c r="H489" i="9"/>
  <c r="H490" i="9"/>
  <c r="H491" i="9"/>
  <c r="H492" i="9"/>
  <c r="H493" i="9"/>
  <c r="H494" i="9"/>
  <c r="H495" i="9"/>
  <c r="H496" i="9"/>
  <c r="H497" i="9"/>
  <c r="H498" i="9"/>
  <c r="H499" i="9"/>
  <c r="H500" i="9"/>
  <c r="H501" i="9"/>
  <c r="H502" i="9"/>
  <c r="H503" i="9"/>
  <c r="H504" i="9"/>
  <c r="H505" i="9"/>
  <c r="H506" i="9"/>
  <c r="H507" i="9"/>
  <c r="H508" i="9"/>
  <c r="H509" i="9"/>
  <c r="H510" i="9"/>
  <c r="H511" i="9"/>
  <c r="H512" i="9"/>
  <c r="H513" i="9"/>
  <c r="H514" i="9"/>
  <c r="H515" i="9"/>
  <c r="H516" i="9"/>
  <c r="H517" i="9"/>
  <c r="H518" i="9"/>
  <c r="H519" i="9"/>
  <c r="H520" i="9"/>
  <c r="H521" i="9"/>
  <c r="H522" i="9"/>
  <c r="H523" i="9"/>
  <c r="H524" i="9"/>
  <c r="H525" i="9"/>
  <c r="H526" i="9"/>
  <c r="H527" i="9"/>
  <c r="H528" i="9"/>
  <c r="H529" i="9"/>
  <c r="H530" i="9"/>
  <c r="H531" i="9"/>
  <c r="H532" i="9"/>
  <c r="H533" i="9"/>
  <c r="H534" i="9"/>
  <c r="H535" i="9"/>
  <c r="H536" i="9"/>
  <c r="H537" i="9"/>
  <c r="H538" i="9"/>
  <c r="H539" i="9"/>
  <c r="H540" i="9"/>
  <c r="H541" i="9"/>
  <c r="H542" i="9"/>
  <c r="H543" i="9"/>
  <c r="H544" i="9"/>
  <c r="H545" i="9"/>
  <c r="H546" i="9"/>
  <c r="H547" i="9"/>
  <c r="H548" i="9"/>
  <c r="H549" i="9"/>
  <c r="H550" i="9"/>
  <c r="H551" i="9"/>
  <c r="H552" i="9"/>
  <c r="H553" i="9"/>
  <c r="H554" i="9"/>
  <c r="H555" i="9"/>
  <c r="H556" i="9"/>
  <c r="H557" i="9"/>
  <c r="H558" i="9"/>
  <c r="H559" i="9"/>
  <c r="H560" i="9"/>
  <c r="H561" i="9"/>
  <c r="H562" i="9"/>
  <c r="H563" i="9"/>
  <c r="H564" i="9"/>
  <c r="H565" i="9"/>
  <c r="H566" i="9"/>
  <c r="H567" i="9"/>
  <c r="H568" i="9"/>
  <c r="H569" i="9"/>
  <c r="H570" i="9"/>
  <c r="H571" i="9"/>
  <c r="H572" i="9"/>
  <c r="H573" i="9"/>
  <c r="H574" i="9"/>
  <c r="H575" i="9"/>
  <c r="H576" i="9"/>
  <c r="H577" i="9"/>
  <c r="H578" i="9"/>
  <c r="H579" i="9"/>
  <c r="H580" i="9"/>
  <c r="H581" i="9"/>
  <c r="H582" i="9"/>
  <c r="H583" i="9"/>
  <c r="H584" i="9"/>
  <c r="H585" i="9"/>
  <c r="H586" i="9"/>
  <c r="H587" i="9"/>
  <c r="H588" i="9"/>
  <c r="H589" i="9"/>
  <c r="H590" i="9"/>
  <c r="H591" i="9"/>
  <c r="H592" i="9"/>
  <c r="H593" i="9"/>
  <c r="H594" i="9"/>
  <c r="H595" i="9"/>
  <c r="H596" i="9"/>
  <c r="H597" i="9"/>
  <c r="H598" i="9"/>
  <c r="H599" i="9"/>
  <c r="H600" i="9"/>
  <c r="H601" i="9"/>
  <c r="H602" i="9"/>
  <c r="H603" i="9"/>
  <c r="H604" i="9"/>
  <c r="H605" i="9"/>
  <c r="H606" i="9"/>
  <c r="H607" i="9"/>
  <c r="H608" i="9"/>
  <c r="H609" i="9"/>
  <c r="H610" i="9"/>
  <c r="H611" i="9"/>
  <c r="H612" i="9"/>
  <c r="H613" i="9"/>
  <c r="H614" i="9"/>
  <c r="H615" i="9"/>
  <c r="H616" i="9"/>
  <c r="H617" i="9"/>
  <c r="H618" i="9"/>
  <c r="H619" i="9"/>
  <c r="H620" i="9"/>
  <c r="H621" i="9"/>
  <c r="H622" i="9"/>
  <c r="H623" i="9"/>
  <c r="H624" i="9"/>
  <c r="H625" i="9"/>
  <c r="H626" i="9"/>
  <c r="H627" i="9"/>
  <c r="H628" i="9"/>
  <c r="H629" i="9"/>
  <c r="H630" i="9"/>
  <c r="H631" i="9"/>
  <c r="H632" i="9"/>
  <c r="H633" i="9"/>
  <c r="H634" i="9"/>
  <c r="H635" i="9"/>
  <c r="H636" i="9"/>
  <c r="H637" i="9"/>
  <c r="H638" i="9"/>
  <c r="H639" i="9"/>
  <c r="H640" i="9"/>
  <c r="H641" i="9"/>
  <c r="H642" i="9"/>
  <c r="H643" i="9"/>
  <c r="H644" i="9"/>
  <c r="H645" i="9"/>
  <c r="H646" i="9"/>
  <c r="H647" i="9"/>
  <c r="H648" i="9"/>
  <c r="H649" i="9"/>
  <c r="H650" i="9"/>
  <c r="H651" i="9"/>
  <c r="H652" i="9"/>
  <c r="H653" i="9"/>
  <c r="H654" i="9"/>
  <c r="H655" i="9"/>
  <c r="H656" i="9"/>
  <c r="H657" i="9"/>
  <c r="H658" i="9"/>
  <c r="H659" i="9"/>
  <c r="H660" i="9"/>
  <c r="H661" i="9"/>
  <c r="H662" i="9"/>
  <c r="H663" i="9"/>
  <c r="H664" i="9"/>
  <c r="H665" i="9"/>
  <c r="H666" i="9"/>
  <c r="H667" i="9"/>
  <c r="H668" i="9"/>
  <c r="H669" i="9"/>
  <c r="H670" i="9"/>
  <c r="H671" i="9"/>
  <c r="H672" i="9"/>
  <c r="H673" i="9"/>
  <c r="H674" i="9"/>
  <c r="H675" i="9"/>
  <c r="H676" i="9"/>
  <c r="H677" i="9"/>
  <c r="H678" i="9"/>
  <c r="H679" i="9"/>
  <c r="H680" i="9"/>
  <c r="H681" i="9"/>
  <c r="H682" i="9"/>
  <c r="H683" i="9"/>
  <c r="H684" i="9"/>
  <c r="H685" i="9"/>
  <c r="H686" i="9"/>
  <c r="H687" i="9"/>
  <c r="H688" i="9"/>
  <c r="H689" i="9"/>
  <c r="H690" i="9"/>
  <c r="H691" i="9"/>
  <c r="H692" i="9"/>
  <c r="H693" i="9"/>
  <c r="H694" i="9"/>
  <c r="H695" i="9"/>
  <c r="H696" i="9"/>
  <c r="H697" i="9"/>
  <c r="H698" i="9"/>
  <c r="H699" i="9"/>
  <c r="H700" i="9"/>
  <c r="H701" i="9"/>
  <c r="H702" i="9"/>
  <c r="H703" i="9"/>
  <c r="H704" i="9"/>
  <c r="H705" i="9"/>
  <c r="H706" i="9"/>
  <c r="H707" i="9"/>
  <c r="H708" i="9"/>
  <c r="H709" i="9"/>
  <c r="H710" i="9"/>
  <c r="H711" i="9"/>
  <c r="H712" i="9"/>
  <c r="H713" i="9"/>
  <c r="H714" i="9"/>
  <c r="H715" i="9"/>
  <c r="H716" i="9"/>
  <c r="H717" i="9"/>
  <c r="H718" i="9"/>
  <c r="H719" i="9"/>
  <c r="H720" i="9"/>
  <c r="H721" i="9"/>
  <c r="H722" i="9"/>
  <c r="H723" i="9"/>
  <c r="H724" i="9"/>
  <c r="H725" i="9"/>
  <c r="H726" i="9"/>
  <c r="H727" i="9"/>
  <c r="H728" i="9"/>
  <c r="H729" i="9"/>
  <c r="H730" i="9"/>
  <c r="H731" i="9"/>
  <c r="H732" i="9"/>
  <c r="H733" i="9"/>
  <c r="H734" i="9"/>
  <c r="H735" i="9"/>
  <c r="H736" i="9"/>
  <c r="H737" i="9"/>
  <c r="H738" i="9"/>
  <c r="H739" i="9"/>
  <c r="H740" i="9"/>
  <c r="H741" i="9"/>
  <c r="H742" i="9"/>
  <c r="H743" i="9"/>
  <c r="H744" i="9"/>
  <c r="H745" i="9"/>
  <c r="H746" i="9"/>
  <c r="H747" i="9"/>
  <c r="H748" i="9"/>
  <c r="H749" i="9"/>
  <c r="H750" i="9"/>
  <c r="H751" i="9"/>
  <c r="H752" i="9"/>
  <c r="H753" i="9"/>
  <c r="H754" i="9"/>
  <c r="H755" i="9"/>
  <c r="H756" i="9"/>
  <c r="H757" i="9"/>
  <c r="H758" i="9"/>
  <c r="H759" i="9"/>
  <c r="H760" i="9"/>
  <c r="H761" i="9"/>
  <c r="H762" i="9"/>
  <c r="H763" i="9"/>
  <c r="H764" i="9"/>
  <c r="H765" i="9"/>
  <c r="H766" i="9"/>
  <c r="H767" i="9"/>
  <c r="H768" i="9"/>
  <c r="H769" i="9"/>
  <c r="H770" i="9"/>
  <c r="H771" i="9"/>
  <c r="H772" i="9"/>
  <c r="H773" i="9"/>
  <c r="H774" i="9"/>
  <c r="H775" i="9"/>
  <c r="H776" i="9"/>
  <c r="H777" i="9"/>
  <c r="H778" i="9"/>
  <c r="H779" i="9"/>
  <c r="H780" i="9"/>
  <c r="H781" i="9"/>
  <c r="H782" i="9"/>
  <c r="H783" i="9"/>
  <c r="H784" i="9"/>
  <c r="H785" i="9"/>
  <c r="H786" i="9"/>
  <c r="H787" i="9"/>
  <c r="H788" i="9"/>
  <c r="H789" i="9"/>
  <c r="H790" i="9"/>
  <c r="H791" i="9"/>
  <c r="H792" i="9"/>
  <c r="H793" i="9"/>
  <c r="H794" i="9"/>
  <c r="H795" i="9"/>
  <c r="H796" i="9"/>
  <c r="H797" i="9"/>
  <c r="H798" i="9"/>
  <c r="H799" i="9"/>
  <c r="H800" i="9"/>
  <c r="H801" i="9"/>
  <c r="H802" i="9"/>
  <c r="H803" i="9"/>
  <c r="H804" i="9"/>
  <c r="H805" i="9"/>
  <c r="H806" i="9"/>
  <c r="H807" i="9"/>
  <c r="H808" i="9"/>
  <c r="H809" i="9"/>
  <c r="H810" i="9"/>
  <c r="H811" i="9"/>
  <c r="H812" i="9"/>
  <c r="H813" i="9"/>
  <c r="H814" i="9"/>
  <c r="H815" i="9"/>
  <c r="H816" i="9"/>
  <c r="H817" i="9"/>
  <c r="H818" i="9"/>
  <c r="H819" i="9"/>
  <c r="H820" i="9"/>
  <c r="H821" i="9"/>
  <c r="H822" i="9"/>
  <c r="H823" i="9"/>
  <c r="H824" i="9"/>
  <c r="H825" i="9"/>
  <c r="H826" i="9"/>
  <c r="H827" i="9"/>
  <c r="H828" i="9"/>
  <c r="H829" i="9"/>
  <c r="H830" i="9"/>
  <c r="H831" i="9"/>
  <c r="H832" i="9"/>
  <c r="H833" i="9"/>
  <c r="H834" i="9"/>
  <c r="H835" i="9"/>
  <c r="H836" i="9"/>
  <c r="H837" i="9"/>
  <c r="H838" i="9"/>
  <c r="H839" i="9"/>
  <c r="H840" i="9"/>
  <c r="H841" i="9"/>
  <c r="H842" i="9"/>
  <c r="H843" i="9"/>
  <c r="H844" i="9"/>
  <c r="H845" i="9"/>
  <c r="H846" i="9"/>
  <c r="H847" i="9"/>
  <c r="H848" i="9"/>
  <c r="H849" i="9"/>
  <c r="H850" i="9"/>
  <c r="H851" i="9"/>
  <c r="H852" i="9"/>
  <c r="H853" i="9"/>
  <c r="H854" i="9"/>
  <c r="H855" i="9"/>
  <c r="H856" i="9"/>
  <c r="H857" i="9"/>
  <c r="H858" i="9"/>
  <c r="H859" i="9"/>
  <c r="H860" i="9"/>
  <c r="H861" i="9"/>
  <c r="H862" i="9"/>
  <c r="H863" i="9"/>
  <c r="H864" i="9"/>
  <c r="H865" i="9"/>
  <c r="H866" i="9"/>
  <c r="H867" i="9"/>
  <c r="H868" i="9"/>
  <c r="H869" i="9"/>
  <c r="H870" i="9"/>
  <c r="H871" i="9"/>
  <c r="H872" i="9"/>
  <c r="H873" i="9"/>
  <c r="H874" i="9"/>
  <c r="H875" i="9"/>
  <c r="H876" i="9"/>
  <c r="H877" i="9"/>
  <c r="H878" i="9"/>
  <c r="H879" i="9"/>
  <c r="H880" i="9"/>
  <c r="H881" i="9"/>
  <c r="H882" i="9"/>
  <c r="H883" i="9"/>
  <c r="H884" i="9"/>
  <c r="H885" i="9"/>
  <c r="H886" i="9"/>
  <c r="H887" i="9"/>
  <c r="H888" i="9"/>
  <c r="H889" i="9"/>
  <c r="H890" i="9"/>
  <c r="H891" i="9"/>
  <c r="H892" i="9"/>
  <c r="H893" i="9"/>
  <c r="H894" i="9"/>
  <c r="H895" i="9"/>
  <c r="H896" i="9"/>
  <c r="H897" i="9"/>
  <c r="H898" i="9"/>
  <c r="H899" i="9"/>
  <c r="H900" i="9"/>
  <c r="H901" i="9"/>
  <c r="H902" i="9"/>
  <c r="H903" i="9"/>
  <c r="H904" i="9"/>
  <c r="H905" i="9"/>
  <c r="H906" i="9"/>
  <c r="H907" i="9"/>
  <c r="H908" i="9"/>
  <c r="H909" i="9"/>
  <c r="H910" i="9"/>
  <c r="H911" i="9"/>
  <c r="H912" i="9"/>
  <c r="H913" i="9"/>
  <c r="H914" i="9"/>
  <c r="H915" i="9"/>
  <c r="H916" i="9"/>
  <c r="H917" i="9"/>
  <c r="H918" i="9"/>
  <c r="H919" i="9"/>
  <c r="H920" i="9"/>
  <c r="H921" i="9"/>
  <c r="H922" i="9"/>
  <c r="H923" i="9"/>
  <c r="H924" i="9"/>
  <c r="H925" i="9"/>
  <c r="H926" i="9"/>
  <c r="H927" i="9"/>
  <c r="H928" i="9"/>
  <c r="H929" i="9"/>
  <c r="H930" i="9"/>
  <c r="H931" i="9"/>
  <c r="H932" i="9"/>
  <c r="H933" i="9"/>
  <c r="H934" i="9"/>
  <c r="H935" i="9"/>
  <c r="H936" i="9"/>
  <c r="H937" i="9"/>
  <c r="H938" i="9"/>
  <c r="H939" i="9"/>
  <c r="H940" i="9"/>
  <c r="H941" i="9"/>
  <c r="H942" i="9"/>
  <c r="H943" i="9"/>
  <c r="H944" i="9"/>
  <c r="H945" i="9"/>
  <c r="H946" i="9"/>
  <c r="H947" i="9"/>
  <c r="H948" i="9"/>
  <c r="H949" i="9"/>
  <c r="H950" i="9"/>
  <c r="H951" i="9"/>
  <c r="H952" i="9"/>
  <c r="H953" i="9"/>
  <c r="H954" i="9"/>
  <c r="H955" i="9"/>
  <c r="H956" i="9"/>
  <c r="H957" i="9"/>
  <c r="H958" i="9"/>
  <c r="H959" i="9"/>
  <c r="H960" i="9"/>
  <c r="H961" i="9"/>
  <c r="H962" i="9"/>
  <c r="H963" i="9"/>
  <c r="H964" i="9"/>
  <c r="H965" i="9"/>
  <c r="H966" i="9"/>
  <c r="H967" i="9"/>
  <c r="H968" i="9"/>
  <c r="H969" i="9"/>
  <c r="H970" i="9"/>
  <c r="H971" i="9"/>
  <c r="H972" i="9"/>
  <c r="H973" i="9"/>
  <c r="H974" i="9"/>
  <c r="H975" i="9"/>
  <c r="H976" i="9"/>
  <c r="H977" i="9"/>
  <c r="H978" i="9"/>
  <c r="H979" i="9"/>
  <c r="H980" i="9"/>
  <c r="H981" i="9"/>
  <c r="H982" i="9"/>
  <c r="H983" i="9"/>
  <c r="H984" i="9"/>
  <c r="H985" i="9"/>
  <c r="H986" i="9"/>
  <c r="H987" i="9"/>
  <c r="H988" i="9"/>
  <c r="H989" i="9"/>
  <c r="H990" i="9"/>
  <c r="H991" i="9"/>
  <c r="H992" i="9"/>
  <c r="H993" i="9"/>
  <c r="H994" i="9"/>
  <c r="H995" i="9"/>
  <c r="H996" i="9"/>
  <c r="H997" i="9"/>
  <c r="H998" i="9"/>
  <c r="H999" i="9"/>
  <c r="H1000" i="9"/>
  <c r="H1001" i="9"/>
  <c r="H1002" i="9"/>
  <c r="H1003" i="9"/>
  <c r="H1004" i="9"/>
  <c r="H1005" i="9"/>
  <c r="H1006" i="9"/>
  <c r="H1007" i="9"/>
  <c r="H1008" i="9"/>
  <c r="H1009" i="9"/>
  <c r="H1010" i="9"/>
  <c r="H1011" i="9"/>
  <c r="H1012" i="9"/>
  <c r="H1013" i="9"/>
  <c r="H1014" i="9"/>
  <c r="H1015" i="9"/>
  <c r="H1016" i="9"/>
  <c r="H1017" i="9"/>
  <c r="H1018" i="9"/>
  <c r="H1019" i="9"/>
  <c r="H1020" i="9"/>
  <c r="H1021" i="9"/>
  <c r="H1022" i="9"/>
  <c r="H1023" i="9"/>
  <c r="H1024" i="9"/>
  <c r="H1025" i="9"/>
  <c r="H1026" i="9"/>
  <c r="H1027" i="9"/>
  <c r="H1028" i="9"/>
  <c r="H1029" i="9"/>
  <c r="H1030" i="9"/>
  <c r="H1031" i="9"/>
  <c r="H1032" i="9"/>
  <c r="H1033" i="9"/>
  <c r="H1034" i="9"/>
  <c r="H1035" i="9"/>
  <c r="H1036" i="9"/>
  <c r="H1037" i="9"/>
  <c r="H1038" i="9"/>
  <c r="H1039" i="9"/>
  <c r="H1040" i="9"/>
  <c r="H1041" i="9"/>
  <c r="H1042" i="9"/>
  <c r="H1043" i="9"/>
  <c r="H1044" i="9"/>
  <c r="H1045" i="9"/>
  <c r="H1046" i="9"/>
  <c r="H1047" i="9"/>
  <c r="H1048" i="9"/>
  <c r="H1049" i="9"/>
  <c r="H1050" i="9"/>
  <c r="H1051" i="9"/>
  <c r="H1052" i="9"/>
  <c r="H1053" i="9"/>
  <c r="H1054" i="9"/>
  <c r="H1055" i="9"/>
  <c r="H1056" i="9"/>
  <c r="H1057" i="9"/>
  <c r="H1058" i="9"/>
  <c r="H1059" i="9"/>
  <c r="H1060" i="9"/>
  <c r="H1061" i="9"/>
  <c r="H1062" i="9"/>
  <c r="H1063" i="9"/>
  <c r="H1064" i="9"/>
  <c r="H1065" i="9"/>
  <c r="H1066" i="9"/>
  <c r="H1067" i="9"/>
  <c r="H1068" i="9"/>
  <c r="H1069" i="9"/>
  <c r="H1070" i="9"/>
  <c r="H1071" i="9"/>
  <c r="H1072" i="9"/>
  <c r="H1073" i="9"/>
  <c r="H1074" i="9"/>
  <c r="H1075" i="9"/>
  <c r="H1076" i="9"/>
  <c r="H1077" i="9"/>
  <c r="H1078" i="9"/>
  <c r="H1079" i="9"/>
  <c r="H1080" i="9"/>
  <c r="H1081" i="9"/>
  <c r="H1082" i="9"/>
  <c r="H1083" i="9"/>
  <c r="H1084" i="9"/>
  <c r="H1085" i="9"/>
  <c r="H1086" i="9"/>
  <c r="H1087" i="9"/>
  <c r="H1088" i="9"/>
  <c r="H1089" i="9"/>
  <c r="H1090" i="9"/>
  <c r="H1091" i="9"/>
  <c r="H1092" i="9"/>
  <c r="H1093" i="9"/>
  <c r="H1094" i="9"/>
  <c r="H1095" i="9"/>
  <c r="H1096" i="9"/>
  <c r="H1097" i="9"/>
  <c r="H1098" i="9"/>
  <c r="H1099" i="9"/>
  <c r="H1100" i="9"/>
  <c r="H1101" i="9"/>
  <c r="H1102" i="9"/>
  <c r="H1103" i="9"/>
  <c r="H1104" i="9"/>
  <c r="H1105" i="9"/>
  <c r="H1106" i="9"/>
  <c r="H1107" i="9"/>
  <c r="H1108" i="9"/>
  <c r="H1109" i="9"/>
  <c r="H1110" i="9"/>
  <c r="H1111" i="9"/>
  <c r="H1112" i="9"/>
  <c r="H1113" i="9"/>
  <c r="H1114" i="9"/>
  <c r="H1115" i="9"/>
  <c r="H1116" i="9"/>
  <c r="H1117" i="9"/>
  <c r="H1118" i="9"/>
  <c r="H1119" i="9"/>
  <c r="H1120" i="9"/>
  <c r="H1121" i="9"/>
  <c r="H1122" i="9"/>
  <c r="H1123" i="9"/>
  <c r="H1124" i="9"/>
  <c r="H1125" i="9"/>
  <c r="H1126" i="9"/>
  <c r="H1127" i="9"/>
  <c r="H1128" i="9"/>
  <c r="H1129" i="9"/>
  <c r="H1130" i="9"/>
  <c r="H1131" i="9"/>
  <c r="H1132" i="9"/>
  <c r="H1133" i="9"/>
  <c r="H1134" i="9"/>
  <c r="H1135" i="9"/>
  <c r="H1136" i="9"/>
  <c r="H1137" i="9"/>
  <c r="H1138" i="9"/>
  <c r="H1139" i="9"/>
  <c r="H1140" i="9"/>
  <c r="H1141" i="9"/>
  <c r="H1142" i="9"/>
  <c r="H1143" i="9"/>
  <c r="H1144" i="9"/>
  <c r="H1145" i="9"/>
  <c r="H1146" i="9"/>
  <c r="H1147" i="9"/>
  <c r="H1148" i="9"/>
  <c r="H1149" i="9"/>
  <c r="H1150" i="9"/>
  <c r="H1151" i="9"/>
  <c r="H1152" i="9"/>
  <c r="H1153" i="9"/>
  <c r="H1154" i="9"/>
  <c r="H1155" i="9"/>
  <c r="H1156" i="9"/>
  <c r="H1157" i="9"/>
  <c r="H1158" i="9"/>
  <c r="H1159" i="9"/>
  <c r="H1160" i="9"/>
  <c r="H1161" i="9"/>
  <c r="H1162" i="9"/>
  <c r="H1163" i="9"/>
  <c r="H1164" i="9"/>
  <c r="H1165" i="9"/>
  <c r="H1166" i="9"/>
  <c r="H1167" i="9"/>
  <c r="H1168" i="9"/>
  <c r="H1169" i="9"/>
  <c r="H1170" i="9"/>
  <c r="H1171" i="9"/>
  <c r="H1172" i="9"/>
  <c r="H1173" i="9"/>
  <c r="H1174" i="9"/>
  <c r="H1175" i="9"/>
  <c r="H1176" i="9"/>
  <c r="H1177" i="9"/>
  <c r="H1178" i="9"/>
  <c r="H1179" i="9"/>
  <c r="H1180" i="9"/>
  <c r="H1181" i="9"/>
  <c r="H1182" i="9"/>
  <c r="H1183" i="9"/>
  <c r="H1184" i="9"/>
  <c r="H1185" i="9"/>
  <c r="H1186" i="9"/>
  <c r="H1187" i="9"/>
  <c r="H1188" i="9"/>
  <c r="H1189" i="9"/>
  <c r="H1190" i="9"/>
  <c r="H1191" i="9"/>
  <c r="H1192" i="9"/>
  <c r="H1193" i="9"/>
  <c r="H1194" i="9"/>
  <c r="H1195" i="9"/>
  <c r="H1196" i="9"/>
  <c r="H1197" i="9"/>
  <c r="H1198" i="9"/>
  <c r="H1199" i="9"/>
  <c r="H1200" i="9"/>
  <c r="H1201" i="9"/>
  <c r="H1202" i="9"/>
  <c r="H1203" i="9"/>
  <c r="H1204" i="9"/>
  <c r="H1205" i="9"/>
  <c r="H1206" i="9"/>
  <c r="H1207" i="9"/>
  <c r="H1208" i="9"/>
  <c r="H1209" i="9"/>
  <c r="H1210" i="9"/>
  <c r="H1211" i="9"/>
  <c r="H1212" i="9"/>
  <c r="H1213" i="9"/>
  <c r="H1214" i="9"/>
  <c r="H1215" i="9"/>
  <c r="H1216" i="9"/>
  <c r="H1217" i="9"/>
  <c r="H1218" i="9"/>
  <c r="H1219" i="9"/>
  <c r="H1220" i="9"/>
  <c r="H1221" i="9"/>
  <c r="H1222" i="9"/>
  <c r="H1223" i="9"/>
  <c r="H1224" i="9"/>
  <c r="H1225" i="9"/>
  <c r="H1226" i="9"/>
  <c r="H1227" i="9"/>
  <c r="H1228" i="9"/>
  <c r="H1229" i="9"/>
  <c r="H1230" i="9"/>
  <c r="H1231" i="9"/>
  <c r="H1232" i="9"/>
  <c r="H1233" i="9"/>
  <c r="H1234" i="9"/>
  <c r="H1235" i="9"/>
  <c r="H1236" i="9"/>
  <c r="H1237" i="9"/>
  <c r="H1238" i="9"/>
  <c r="H1239" i="9"/>
  <c r="H1240" i="9"/>
  <c r="H1241" i="9"/>
  <c r="H1242" i="9"/>
  <c r="H1243" i="9"/>
  <c r="H1244" i="9"/>
  <c r="H1245" i="9"/>
  <c r="H1246" i="9"/>
  <c r="H1247" i="9"/>
  <c r="H1248" i="9"/>
  <c r="H1249" i="9"/>
  <c r="H1250" i="9"/>
  <c r="H1251" i="9"/>
  <c r="H1252" i="9"/>
  <c r="H1253" i="9"/>
  <c r="H1254" i="9"/>
  <c r="H1255" i="9"/>
  <c r="H1256" i="9"/>
  <c r="H1257" i="9"/>
  <c r="H1258" i="9"/>
  <c r="H1259" i="9"/>
  <c r="H1260" i="9"/>
  <c r="H1261" i="9"/>
  <c r="H1262" i="9"/>
  <c r="H1263" i="9"/>
  <c r="H1264" i="9"/>
  <c r="H1265" i="9"/>
  <c r="H1266" i="9"/>
  <c r="H1267" i="9"/>
  <c r="H1268" i="9"/>
  <c r="H1269" i="9"/>
  <c r="H1270" i="9"/>
  <c r="H1271" i="9"/>
  <c r="H1272" i="9"/>
  <c r="H1273" i="9"/>
  <c r="H1274" i="9"/>
  <c r="H1275" i="9"/>
  <c r="H1276" i="9"/>
  <c r="H1277" i="9"/>
  <c r="H1278" i="9"/>
  <c r="H1279" i="9"/>
  <c r="H1280" i="9"/>
  <c r="H1281" i="9"/>
  <c r="H1282" i="9"/>
  <c r="H1283" i="9"/>
  <c r="H1284" i="9"/>
  <c r="H1285" i="9"/>
  <c r="H1286" i="9"/>
  <c r="H1287" i="9"/>
  <c r="H1288" i="9"/>
  <c r="H1289" i="9"/>
  <c r="H1290" i="9"/>
  <c r="H1291" i="9"/>
  <c r="H1292" i="9"/>
  <c r="H1293" i="9"/>
  <c r="H1294" i="9"/>
  <c r="H1295" i="9"/>
  <c r="H1296" i="9"/>
  <c r="H1297" i="9"/>
  <c r="H1298" i="9"/>
  <c r="H1299" i="9"/>
  <c r="H1300" i="9"/>
  <c r="H1301" i="9"/>
  <c r="H1302" i="9"/>
  <c r="H1303" i="9"/>
  <c r="H1304" i="9"/>
  <c r="H1305" i="9"/>
  <c r="H1306" i="9"/>
  <c r="H1307" i="9"/>
  <c r="H1308" i="9"/>
  <c r="H1309" i="9"/>
  <c r="H1310" i="9"/>
  <c r="H1311" i="9"/>
  <c r="H1312" i="9"/>
  <c r="H1313" i="9"/>
  <c r="H1314" i="9"/>
  <c r="H1315" i="9"/>
  <c r="H1316" i="9"/>
  <c r="H1317" i="9"/>
  <c r="H1318" i="9"/>
  <c r="H1319" i="9"/>
  <c r="H1320" i="9"/>
  <c r="H1321" i="9"/>
  <c r="H1322" i="9"/>
  <c r="H1323" i="9"/>
  <c r="H1324" i="9"/>
  <c r="H1325" i="9"/>
  <c r="H1326" i="9"/>
  <c r="H1327" i="9"/>
  <c r="H1328" i="9"/>
  <c r="H1329" i="9"/>
  <c r="H1330" i="9"/>
  <c r="H1331" i="9"/>
  <c r="H1332" i="9"/>
  <c r="H1333" i="9"/>
  <c r="H1334" i="9"/>
  <c r="H1335" i="9"/>
  <c r="H1336" i="9"/>
  <c r="H1337" i="9"/>
  <c r="H1338" i="9"/>
  <c r="H1339" i="9"/>
  <c r="H1340" i="9"/>
  <c r="H1341" i="9"/>
  <c r="H1342" i="9"/>
  <c r="H1343" i="9"/>
  <c r="H1344" i="9"/>
  <c r="H1345" i="9"/>
  <c r="H1346" i="9"/>
  <c r="H1347" i="9"/>
  <c r="H1348" i="9"/>
  <c r="H1349" i="9"/>
  <c r="H1350" i="9"/>
  <c r="H1351" i="9"/>
  <c r="H1352" i="9"/>
  <c r="H1353" i="9"/>
  <c r="H1354" i="9"/>
  <c r="H1355" i="9"/>
  <c r="H1356" i="9"/>
  <c r="H1357" i="9"/>
  <c r="H1358" i="9"/>
  <c r="H1359" i="9"/>
  <c r="H1360" i="9"/>
  <c r="H1361" i="9"/>
  <c r="H1362" i="9"/>
  <c r="H1363" i="9"/>
  <c r="H1364" i="9"/>
  <c r="H1365" i="9"/>
  <c r="H1366" i="9"/>
  <c r="H1367" i="9"/>
  <c r="H1368" i="9"/>
  <c r="H1369" i="9"/>
  <c r="H1370" i="9"/>
  <c r="H1371" i="9"/>
  <c r="H1372" i="9"/>
  <c r="H1373" i="9"/>
  <c r="H1374" i="9"/>
  <c r="H1375" i="9"/>
  <c r="H1376" i="9"/>
  <c r="H1377" i="9"/>
  <c r="H1378" i="9"/>
  <c r="H1379" i="9"/>
  <c r="H1380" i="9"/>
  <c r="H1381" i="9"/>
  <c r="H1382" i="9"/>
  <c r="H1383" i="9"/>
  <c r="H1384" i="9"/>
  <c r="H1385" i="9"/>
  <c r="H1386" i="9"/>
  <c r="H1387" i="9"/>
  <c r="H1388" i="9"/>
  <c r="H1389" i="9"/>
  <c r="H1390" i="9"/>
  <c r="H1391" i="9"/>
  <c r="H1392" i="9"/>
  <c r="H1393" i="9"/>
  <c r="H1394" i="9"/>
  <c r="H1395" i="9"/>
  <c r="H1396" i="9"/>
  <c r="H1397" i="9"/>
  <c r="H1398" i="9"/>
  <c r="H1399" i="9"/>
  <c r="H1400" i="9"/>
  <c r="H1401" i="9"/>
  <c r="H1402" i="9"/>
  <c r="H1403" i="9"/>
  <c r="H1404" i="9"/>
  <c r="H1405" i="9"/>
  <c r="H1406" i="9"/>
  <c r="H1407" i="9"/>
  <c r="H1408" i="9"/>
  <c r="H1409" i="9"/>
  <c r="H1410" i="9"/>
  <c r="H1411" i="9"/>
  <c r="H1412" i="9"/>
  <c r="H1413" i="9"/>
  <c r="H1414" i="9"/>
  <c r="H1415" i="9"/>
  <c r="H1416" i="9"/>
  <c r="H1417" i="9"/>
  <c r="H1418" i="9"/>
  <c r="H1419" i="9"/>
  <c r="H1420" i="9"/>
  <c r="H1421" i="9"/>
  <c r="H1422" i="9"/>
  <c r="H1423" i="9"/>
  <c r="H1424" i="9"/>
  <c r="H1425" i="9"/>
  <c r="H1426" i="9"/>
  <c r="H1427" i="9"/>
  <c r="H1428" i="9"/>
  <c r="H1429" i="9"/>
  <c r="H1430" i="9"/>
  <c r="H1431" i="9"/>
  <c r="H1432" i="9"/>
  <c r="H1433" i="9"/>
  <c r="H1434" i="9"/>
  <c r="H1435" i="9"/>
  <c r="H1436" i="9"/>
  <c r="H1437" i="9"/>
  <c r="H1438" i="9"/>
  <c r="H1439" i="9"/>
  <c r="H1440" i="9"/>
  <c r="H1441" i="9"/>
  <c r="H1442" i="9"/>
  <c r="H1443" i="9"/>
  <c r="H1444" i="9"/>
  <c r="H1445" i="9"/>
  <c r="H1446" i="9"/>
  <c r="H1447" i="9"/>
  <c r="H1448" i="9"/>
  <c r="H1449" i="9"/>
  <c r="H1450" i="9"/>
  <c r="H1451" i="9"/>
  <c r="H1452" i="9"/>
  <c r="H1453" i="9"/>
  <c r="H1454" i="9"/>
  <c r="H1455" i="9"/>
  <c r="H1456" i="9"/>
  <c r="H1457" i="9"/>
  <c r="H1458" i="9"/>
  <c r="H1459" i="9"/>
  <c r="H1460" i="9"/>
  <c r="H1461" i="9"/>
  <c r="H1462" i="9"/>
  <c r="H1463" i="9"/>
  <c r="H1464" i="9"/>
  <c r="H1465" i="9"/>
  <c r="H1466" i="9"/>
  <c r="H1467" i="9"/>
  <c r="H1468" i="9"/>
  <c r="H1469" i="9"/>
  <c r="H1470" i="9"/>
  <c r="H1471" i="9"/>
  <c r="H1472" i="9"/>
  <c r="H1473" i="9"/>
  <c r="H1474" i="9"/>
  <c r="H1475" i="9"/>
  <c r="H1476" i="9"/>
  <c r="H1477" i="9"/>
  <c r="H1478" i="9"/>
  <c r="H1479" i="9"/>
  <c r="H1480" i="9"/>
  <c r="H1481" i="9"/>
  <c r="H1482" i="9"/>
  <c r="H1483" i="9"/>
  <c r="H1484" i="9"/>
  <c r="H1485" i="9"/>
  <c r="H1486" i="9"/>
  <c r="H1487" i="9"/>
  <c r="H1488" i="9"/>
  <c r="H1489" i="9"/>
  <c r="H1490" i="9"/>
  <c r="H1491" i="9"/>
  <c r="H1492" i="9"/>
  <c r="H1493" i="9"/>
  <c r="H1494" i="9"/>
  <c r="H1495" i="9"/>
  <c r="H1496" i="9"/>
  <c r="H1497" i="9"/>
  <c r="H1498" i="9"/>
  <c r="H1499" i="9"/>
  <c r="H1500" i="9"/>
  <c r="H1501" i="9"/>
  <c r="H1502" i="9"/>
  <c r="H1503" i="9"/>
  <c r="H1504" i="9"/>
  <c r="H1505" i="9"/>
  <c r="H1506" i="9"/>
  <c r="H1507" i="9"/>
  <c r="H1508" i="9"/>
  <c r="H1509" i="9"/>
  <c r="H1510" i="9"/>
  <c r="H1511" i="9"/>
  <c r="H1512" i="9"/>
  <c r="H1513" i="9"/>
  <c r="H1514" i="9"/>
  <c r="H1515" i="9"/>
  <c r="H1516" i="9"/>
  <c r="H1517" i="9"/>
  <c r="H1518" i="9"/>
  <c r="H1519" i="9"/>
  <c r="H1520" i="9"/>
  <c r="H1521" i="9"/>
  <c r="H1522" i="9"/>
  <c r="H1523" i="9"/>
  <c r="H1524" i="9"/>
  <c r="H1525" i="9"/>
  <c r="H1526" i="9"/>
  <c r="H1527" i="9"/>
  <c r="H1528" i="9"/>
  <c r="H1529" i="9"/>
  <c r="H1530" i="9"/>
  <c r="H1531" i="9"/>
  <c r="H1532" i="9"/>
  <c r="H1533" i="9"/>
  <c r="H1534" i="9"/>
  <c r="H1535" i="9"/>
  <c r="H1536" i="9"/>
  <c r="H1537" i="9"/>
  <c r="H1538" i="9"/>
  <c r="H1539" i="9"/>
  <c r="H1540" i="9"/>
  <c r="H1541" i="9"/>
  <c r="H1542" i="9"/>
  <c r="H1543" i="9"/>
  <c r="H1544" i="9"/>
  <c r="H1545" i="9"/>
  <c r="H1546" i="9"/>
  <c r="H1547" i="9"/>
  <c r="H1548" i="9"/>
  <c r="H1549" i="9"/>
  <c r="H1550" i="9"/>
  <c r="H1551" i="9"/>
  <c r="H1552" i="9"/>
  <c r="H1553" i="9"/>
  <c r="H1554" i="9"/>
  <c r="H1555" i="9"/>
  <c r="H1556" i="9"/>
  <c r="H1557" i="9"/>
  <c r="H1558" i="9"/>
  <c r="H1559" i="9"/>
  <c r="H1560" i="9"/>
  <c r="H1561" i="9"/>
  <c r="H1562" i="9"/>
  <c r="H1563" i="9"/>
  <c r="H1564" i="9"/>
  <c r="H1565" i="9"/>
  <c r="H1566" i="9"/>
  <c r="H1567" i="9"/>
  <c r="H1568" i="9"/>
  <c r="H1569" i="9"/>
  <c r="H1570" i="9"/>
  <c r="H1571" i="9"/>
  <c r="H1572" i="9"/>
  <c r="H1573" i="9"/>
  <c r="H1574" i="9"/>
  <c r="H1575" i="9"/>
  <c r="H1576" i="9"/>
  <c r="H1577" i="9"/>
  <c r="H1578" i="9"/>
  <c r="H1579" i="9"/>
  <c r="H1580" i="9"/>
  <c r="H1581" i="9"/>
  <c r="H1582" i="9"/>
  <c r="H1583" i="9"/>
  <c r="H1584" i="9"/>
  <c r="H1585" i="9"/>
  <c r="H1586" i="9"/>
  <c r="H1587" i="9"/>
  <c r="H1588" i="9"/>
  <c r="H1589" i="9"/>
  <c r="H1590" i="9"/>
  <c r="H1591" i="9"/>
  <c r="H1592" i="9"/>
  <c r="H1593" i="9"/>
  <c r="H1594" i="9"/>
  <c r="H1595" i="9"/>
  <c r="H1596" i="9"/>
  <c r="H1597" i="9"/>
  <c r="H1598" i="9"/>
  <c r="H1599" i="9"/>
  <c r="H1600" i="9"/>
  <c r="H1601" i="9"/>
  <c r="H1602" i="9"/>
  <c r="H1603" i="9"/>
  <c r="H1604" i="9"/>
  <c r="H1605" i="9"/>
  <c r="H1606" i="9"/>
  <c r="H1607" i="9"/>
  <c r="H1608" i="9"/>
  <c r="H1609" i="9"/>
  <c r="H1610" i="9"/>
  <c r="H1611" i="9"/>
  <c r="H1612" i="9"/>
  <c r="H1613" i="9"/>
  <c r="H1614" i="9"/>
  <c r="H1615" i="9"/>
  <c r="H1616" i="9"/>
  <c r="G2" i="9"/>
  <c r="G3" i="9"/>
  <c r="G4" i="9"/>
  <c r="G5" i="9"/>
  <c r="G6" i="9"/>
  <c r="G7" i="9"/>
  <c r="G8" i="9"/>
  <c r="G9" i="9"/>
  <c r="G10" i="9"/>
  <c r="G11" i="9"/>
  <c r="G12" i="9"/>
  <c r="G13" i="9"/>
  <c r="G14" i="9"/>
  <c r="G15" i="9"/>
  <c r="G16" i="9"/>
  <c r="G17" i="9"/>
  <c r="G18" i="9"/>
  <c r="G19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G33" i="9"/>
  <c r="G34" i="9"/>
  <c r="G35" i="9"/>
  <c r="G36" i="9"/>
  <c r="G37" i="9"/>
  <c r="G38" i="9"/>
  <c r="G39" i="9"/>
  <c r="G40" i="9"/>
  <c r="G41" i="9"/>
  <c r="G42" i="9"/>
  <c r="G43" i="9"/>
  <c r="G44" i="9"/>
  <c r="G45" i="9"/>
  <c r="G46" i="9"/>
  <c r="G47" i="9"/>
  <c r="G48" i="9"/>
  <c r="G49" i="9"/>
  <c r="G50" i="9"/>
  <c r="G51" i="9"/>
  <c r="G52" i="9"/>
  <c r="G53" i="9"/>
  <c r="G54" i="9"/>
  <c r="G55" i="9"/>
  <c r="G56" i="9"/>
  <c r="G57" i="9"/>
  <c r="G58" i="9"/>
  <c r="G59" i="9"/>
  <c r="G60" i="9"/>
  <c r="G61" i="9"/>
  <c r="G62" i="9"/>
  <c r="G63" i="9"/>
  <c r="G64" i="9"/>
  <c r="G65" i="9"/>
  <c r="G66" i="9"/>
  <c r="G67" i="9"/>
  <c r="G68" i="9"/>
  <c r="G69" i="9"/>
  <c r="G70" i="9"/>
  <c r="G71" i="9"/>
  <c r="G72" i="9"/>
  <c r="G73" i="9"/>
  <c r="G74" i="9"/>
  <c r="G75" i="9"/>
  <c r="G76" i="9"/>
  <c r="G77" i="9"/>
  <c r="G78" i="9"/>
  <c r="G79" i="9"/>
  <c r="G80" i="9"/>
  <c r="G81" i="9"/>
  <c r="G82" i="9"/>
  <c r="G83" i="9"/>
  <c r="G84" i="9"/>
  <c r="G85" i="9"/>
  <c r="G86" i="9"/>
  <c r="G87" i="9"/>
  <c r="G88" i="9"/>
  <c r="G89" i="9"/>
  <c r="G90" i="9"/>
  <c r="G91" i="9"/>
  <c r="G92" i="9"/>
  <c r="G93" i="9"/>
  <c r="G94" i="9"/>
  <c r="G95" i="9"/>
  <c r="G96" i="9"/>
  <c r="G97" i="9"/>
  <c r="G98" i="9"/>
  <c r="G99" i="9"/>
  <c r="G100" i="9"/>
  <c r="G101" i="9"/>
  <c r="G102" i="9"/>
  <c r="G103" i="9"/>
  <c r="G104" i="9"/>
  <c r="G105" i="9"/>
  <c r="G106" i="9"/>
  <c r="G107" i="9"/>
  <c r="G108" i="9"/>
  <c r="G109" i="9"/>
  <c r="G110" i="9"/>
  <c r="G111" i="9"/>
  <c r="G112" i="9"/>
  <c r="G113" i="9"/>
  <c r="G114" i="9"/>
  <c r="G115" i="9"/>
  <c r="G116" i="9"/>
  <c r="G117" i="9"/>
  <c r="G118" i="9"/>
  <c r="G119" i="9"/>
  <c r="G120" i="9"/>
  <c r="G121" i="9"/>
  <c r="G122" i="9"/>
  <c r="G123" i="9"/>
  <c r="G124" i="9"/>
  <c r="G125" i="9"/>
  <c r="G126" i="9"/>
  <c r="G127" i="9"/>
  <c r="G128" i="9"/>
  <c r="G129" i="9"/>
  <c r="G130" i="9"/>
  <c r="G131" i="9"/>
  <c r="G132" i="9"/>
  <c r="G133" i="9"/>
  <c r="G134" i="9"/>
  <c r="G135" i="9"/>
  <c r="G136" i="9"/>
  <c r="G137" i="9"/>
  <c r="G138" i="9"/>
  <c r="G139" i="9"/>
  <c r="G140" i="9"/>
  <c r="G141" i="9"/>
  <c r="G142" i="9"/>
  <c r="G143" i="9"/>
  <c r="G144" i="9"/>
  <c r="G145" i="9"/>
  <c r="G146" i="9"/>
  <c r="G147" i="9"/>
  <c r="G148" i="9"/>
  <c r="G149" i="9"/>
  <c r="G150" i="9"/>
  <c r="G151" i="9"/>
  <c r="G152" i="9"/>
  <c r="G153" i="9"/>
  <c r="G154" i="9"/>
  <c r="G155" i="9"/>
  <c r="G156" i="9"/>
  <c r="G157" i="9"/>
  <c r="G158" i="9"/>
  <c r="G159" i="9"/>
  <c r="G160" i="9"/>
  <c r="G161" i="9"/>
  <c r="G162" i="9"/>
  <c r="G163" i="9"/>
  <c r="G164" i="9"/>
  <c r="G165" i="9"/>
  <c r="G166" i="9"/>
  <c r="G167" i="9"/>
  <c r="G168" i="9"/>
  <c r="G169" i="9"/>
  <c r="G170" i="9"/>
  <c r="G171" i="9"/>
  <c r="G172" i="9"/>
  <c r="G173" i="9"/>
  <c r="G174" i="9"/>
  <c r="G175" i="9"/>
  <c r="G176" i="9"/>
  <c r="G177" i="9"/>
  <c r="G178" i="9"/>
  <c r="G179" i="9"/>
  <c r="G180" i="9"/>
  <c r="G181" i="9"/>
  <c r="G182" i="9"/>
  <c r="G183" i="9"/>
  <c r="G184" i="9"/>
  <c r="G185" i="9"/>
  <c r="G186" i="9"/>
  <c r="G187" i="9"/>
  <c r="G188" i="9"/>
  <c r="G189" i="9"/>
  <c r="G190" i="9"/>
  <c r="G191" i="9"/>
  <c r="G192" i="9"/>
  <c r="G193" i="9"/>
  <c r="G194" i="9"/>
  <c r="G195" i="9"/>
  <c r="G196" i="9"/>
  <c r="G197" i="9"/>
  <c r="G198" i="9"/>
  <c r="G199" i="9"/>
  <c r="G200" i="9"/>
  <c r="G201" i="9"/>
  <c r="G202" i="9"/>
  <c r="G203" i="9"/>
  <c r="G204" i="9"/>
  <c r="G205" i="9"/>
  <c r="G206" i="9"/>
  <c r="G207" i="9"/>
  <c r="G208" i="9"/>
  <c r="G209" i="9"/>
  <c r="G210" i="9"/>
  <c r="G211" i="9"/>
  <c r="G212" i="9"/>
  <c r="G213" i="9"/>
  <c r="G214" i="9"/>
  <c r="G215" i="9"/>
  <c r="G216" i="9"/>
  <c r="G217" i="9"/>
  <c r="G218" i="9"/>
  <c r="G219" i="9"/>
  <c r="G220" i="9"/>
  <c r="G221" i="9"/>
  <c r="G222" i="9"/>
  <c r="G223" i="9"/>
  <c r="G224" i="9"/>
  <c r="G225" i="9"/>
  <c r="G226" i="9"/>
  <c r="G227" i="9"/>
  <c r="G228" i="9"/>
  <c r="G229" i="9"/>
  <c r="G230" i="9"/>
  <c r="G231" i="9"/>
  <c r="G232" i="9"/>
  <c r="G233" i="9"/>
  <c r="G234" i="9"/>
  <c r="G235" i="9"/>
  <c r="G236" i="9"/>
  <c r="G237" i="9"/>
  <c r="G238" i="9"/>
  <c r="G239" i="9"/>
  <c r="G240" i="9"/>
  <c r="G241" i="9"/>
  <c r="G242" i="9"/>
  <c r="G243" i="9"/>
  <c r="G244" i="9"/>
  <c r="G245" i="9"/>
  <c r="G246" i="9"/>
  <c r="G247" i="9"/>
  <c r="G248" i="9"/>
  <c r="G249" i="9"/>
  <c r="G250" i="9"/>
  <c r="G251" i="9"/>
  <c r="G252" i="9"/>
  <c r="G253" i="9"/>
  <c r="G254" i="9"/>
  <c r="G255" i="9"/>
  <c r="G256" i="9"/>
  <c r="G257" i="9"/>
  <c r="G258" i="9"/>
  <c r="G259" i="9"/>
  <c r="G260" i="9"/>
  <c r="G261" i="9"/>
  <c r="G262" i="9"/>
  <c r="G263" i="9"/>
  <c r="G264" i="9"/>
  <c r="G265" i="9"/>
  <c r="G266" i="9"/>
  <c r="G267" i="9"/>
  <c r="G268" i="9"/>
  <c r="G269" i="9"/>
  <c r="G270" i="9"/>
  <c r="G271" i="9"/>
  <c r="G272" i="9"/>
  <c r="G273" i="9"/>
  <c r="G274" i="9"/>
  <c r="G275" i="9"/>
  <c r="G276" i="9"/>
  <c r="G277" i="9"/>
  <c r="G278" i="9"/>
  <c r="G279" i="9"/>
  <c r="G280" i="9"/>
  <c r="G281" i="9"/>
  <c r="G282" i="9"/>
  <c r="G283" i="9"/>
  <c r="G284" i="9"/>
  <c r="G285" i="9"/>
  <c r="G286" i="9"/>
  <c r="G287" i="9"/>
  <c r="G288" i="9"/>
  <c r="G289" i="9"/>
  <c r="G290" i="9"/>
  <c r="G291" i="9"/>
  <c r="G292" i="9"/>
  <c r="G293" i="9"/>
  <c r="G294" i="9"/>
  <c r="G295" i="9"/>
  <c r="G296" i="9"/>
  <c r="G297" i="9"/>
  <c r="G298" i="9"/>
  <c r="G299" i="9"/>
  <c r="G300" i="9"/>
  <c r="G301" i="9"/>
  <c r="G302" i="9"/>
  <c r="G303" i="9"/>
  <c r="G304" i="9"/>
  <c r="G305" i="9"/>
  <c r="G306" i="9"/>
  <c r="G307" i="9"/>
  <c r="G308" i="9"/>
  <c r="G309" i="9"/>
  <c r="G310" i="9"/>
  <c r="G311" i="9"/>
  <c r="G312" i="9"/>
  <c r="G313" i="9"/>
  <c r="G314" i="9"/>
  <c r="G315" i="9"/>
  <c r="G316" i="9"/>
  <c r="G317" i="9"/>
  <c r="G318" i="9"/>
  <c r="G319" i="9"/>
  <c r="G320" i="9"/>
  <c r="G321" i="9"/>
  <c r="G322" i="9"/>
  <c r="G323" i="9"/>
  <c r="G324" i="9"/>
  <c r="G325" i="9"/>
  <c r="G326" i="9"/>
  <c r="G327" i="9"/>
  <c r="G328" i="9"/>
  <c r="G329" i="9"/>
  <c r="G330" i="9"/>
  <c r="G331" i="9"/>
  <c r="G332" i="9"/>
  <c r="G333" i="9"/>
  <c r="G334" i="9"/>
  <c r="G335" i="9"/>
  <c r="G336" i="9"/>
  <c r="G337" i="9"/>
  <c r="G338" i="9"/>
  <c r="G339" i="9"/>
  <c r="G340" i="9"/>
  <c r="G341" i="9"/>
  <c r="G342" i="9"/>
  <c r="G343" i="9"/>
  <c r="G344" i="9"/>
  <c r="G345" i="9"/>
  <c r="G346" i="9"/>
  <c r="G347" i="9"/>
  <c r="G348" i="9"/>
  <c r="G349" i="9"/>
  <c r="G350" i="9"/>
  <c r="G351" i="9"/>
  <c r="G352" i="9"/>
  <c r="G353" i="9"/>
  <c r="G354" i="9"/>
  <c r="G355" i="9"/>
  <c r="G356" i="9"/>
  <c r="G357" i="9"/>
  <c r="G358" i="9"/>
  <c r="G359" i="9"/>
  <c r="G360" i="9"/>
  <c r="G361" i="9"/>
  <c r="G362" i="9"/>
  <c r="G363" i="9"/>
  <c r="G364" i="9"/>
  <c r="G365" i="9"/>
  <c r="G366" i="9"/>
  <c r="G367" i="9"/>
  <c r="G368" i="9"/>
  <c r="G369" i="9"/>
  <c r="G370" i="9"/>
  <c r="G371" i="9"/>
  <c r="G372" i="9"/>
  <c r="G373" i="9"/>
  <c r="G374" i="9"/>
  <c r="G375" i="9"/>
  <c r="G376" i="9"/>
  <c r="G377" i="9"/>
  <c r="G378" i="9"/>
  <c r="G379" i="9"/>
  <c r="G380" i="9"/>
  <c r="G381" i="9"/>
  <c r="G382" i="9"/>
  <c r="G383" i="9"/>
  <c r="G384" i="9"/>
  <c r="G385" i="9"/>
  <c r="G386" i="9"/>
  <c r="G387" i="9"/>
  <c r="G388" i="9"/>
  <c r="G389" i="9"/>
  <c r="G390" i="9"/>
  <c r="G391" i="9"/>
  <c r="G392" i="9"/>
  <c r="G393" i="9"/>
  <c r="G394" i="9"/>
  <c r="G395" i="9"/>
  <c r="G396" i="9"/>
  <c r="G397" i="9"/>
  <c r="G398" i="9"/>
  <c r="G399" i="9"/>
  <c r="G400" i="9"/>
  <c r="G401" i="9"/>
  <c r="G402" i="9"/>
  <c r="G403" i="9"/>
  <c r="G404" i="9"/>
  <c r="G405" i="9"/>
  <c r="G406" i="9"/>
  <c r="G407" i="9"/>
  <c r="G408" i="9"/>
  <c r="G409" i="9"/>
  <c r="G410" i="9"/>
  <c r="G411" i="9"/>
  <c r="G412" i="9"/>
  <c r="G413" i="9"/>
  <c r="G414" i="9"/>
  <c r="G415" i="9"/>
  <c r="G416" i="9"/>
  <c r="G417" i="9"/>
  <c r="G418" i="9"/>
  <c r="G419" i="9"/>
  <c r="G420" i="9"/>
  <c r="G421" i="9"/>
  <c r="G422" i="9"/>
  <c r="G423" i="9"/>
  <c r="G424" i="9"/>
  <c r="G425" i="9"/>
  <c r="G426" i="9"/>
  <c r="G427" i="9"/>
  <c r="G428" i="9"/>
  <c r="G429" i="9"/>
  <c r="G430" i="9"/>
  <c r="G431" i="9"/>
  <c r="G432" i="9"/>
  <c r="G433" i="9"/>
  <c r="G434" i="9"/>
  <c r="G435" i="9"/>
  <c r="G436" i="9"/>
  <c r="G437" i="9"/>
  <c r="G438" i="9"/>
  <c r="G439" i="9"/>
  <c r="G440" i="9"/>
  <c r="G441" i="9"/>
  <c r="G442" i="9"/>
  <c r="G443" i="9"/>
  <c r="G444" i="9"/>
  <c r="G445" i="9"/>
  <c r="G446" i="9"/>
  <c r="G447" i="9"/>
  <c r="G448" i="9"/>
  <c r="G449" i="9"/>
  <c r="G450" i="9"/>
  <c r="G451" i="9"/>
  <c r="G452" i="9"/>
  <c r="G453" i="9"/>
  <c r="G454" i="9"/>
  <c r="G455" i="9"/>
  <c r="G456" i="9"/>
  <c r="G457" i="9"/>
  <c r="G458" i="9"/>
  <c r="G459" i="9"/>
  <c r="G460" i="9"/>
  <c r="G461" i="9"/>
  <c r="G462" i="9"/>
  <c r="G463" i="9"/>
  <c r="G464" i="9"/>
  <c r="G465" i="9"/>
  <c r="G466" i="9"/>
  <c r="G467" i="9"/>
  <c r="G468" i="9"/>
  <c r="G469" i="9"/>
  <c r="G470" i="9"/>
  <c r="G471" i="9"/>
  <c r="G472" i="9"/>
  <c r="G473" i="9"/>
  <c r="G474" i="9"/>
  <c r="G475" i="9"/>
  <c r="G476" i="9"/>
  <c r="G477" i="9"/>
  <c r="G478" i="9"/>
  <c r="G479" i="9"/>
  <c r="G480" i="9"/>
  <c r="G481" i="9"/>
  <c r="G482" i="9"/>
  <c r="G483" i="9"/>
  <c r="G484" i="9"/>
  <c r="G485" i="9"/>
  <c r="G486" i="9"/>
  <c r="G487" i="9"/>
  <c r="G488" i="9"/>
  <c r="G489" i="9"/>
  <c r="G490" i="9"/>
  <c r="G491" i="9"/>
  <c r="G492" i="9"/>
  <c r="G493" i="9"/>
  <c r="G494" i="9"/>
  <c r="G495" i="9"/>
  <c r="G496" i="9"/>
  <c r="G497" i="9"/>
  <c r="G498" i="9"/>
  <c r="G499" i="9"/>
  <c r="G500" i="9"/>
  <c r="G501" i="9"/>
  <c r="G502" i="9"/>
  <c r="G503" i="9"/>
  <c r="G504" i="9"/>
  <c r="G505" i="9"/>
  <c r="G506" i="9"/>
  <c r="G507" i="9"/>
  <c r="G508" i="9"/>
  <c r="G509" i="9"/>
  <c r="G510" i="9"/>
  <c r="G511" i="9"/>
  <c r="G512" i="9"/>
  <c r="G513" i="9"/>
  <c r="G514" i="9"/>
  <c r="G515" i="9"/>
  <c r="G516" i="9"/>
  <c r="G517" i="9"/>
  <c r="G518" i="9"/>
  <c r="G519" i="9"/>
  <c r="G520" i="9"/>
  <c r="G521" i="9"/>
  <c r="G522" i="9"/>
  <c r="G523" i="9"/>
  <c r="G524" i="9"/>
  <c r="G525" i="9"/>
  <c r="G526" i="9"/>
  <c r="G527" i="9"/>
  <c r="G528" i="9"/>
  <c r="G529" i="9"/>
  <c r="G530" i="9"/>
  <c r="G531" i="9"/>
  <c r="G532" i="9"/>
  <c r="G533" i="9"/>
  <c r="G534" i="9"/>
  <c r="G535" i="9"/>
  <c r="G536" i="9"/>
  <c r="G537" i="9"/>
  <c r="G538" i="9"/>
  <c r="G539" i="9"/>
  <c r="G540" i="9"/>
  <c r="G541" i="9"/>
  <c r="G542" i="9"/>
  <c r="G543" i="9"/>
  <c r="G544" i="9"/>
  <c r="G545" i="9"/>
  <c r="G546" i="9"/>
  <c r="G547" i="9"/>
  <c r="G548" i="9"/>
  <c r="G549" i="9"/>
  <c r="G550" i="9"/>
  <c r="G551" i="9"/>
  <c r="G552" i="9"/>
  <c r="G553" i="9"/>
  <c r="G554" i="9"/>
  <c r="G555" i="9"/>
  <c r="G556" i="9"/>
  <c r="G557" i="9"/>
  <c r="G558" i="9"/>
  <c r="G559" i="9"/>
  <c r="G560" i="9"/>
  <c r="G561" i="9"/>
  <c r="G562" i="9"/>
  <c r="G563" i="9"/>
  <c r="G564" i="9"/>
  <c r="G565" i="9"/>
  <c r="G566" i="9"/>
  <c r="G567" i="9"/>
  <c r="G568" i="9"/>
  <c r="G569" i="9"/>
  <c r="G570" i="9"/>
  <c r="G571" i="9"/>
  <c r="G572" i="9"/>
  <c r="G573" i="9"/>
  <c r="G574" i="9"/>
  <c r="G575" i="9"/>
  <c r="G576" i="9"/>
  <c r="G577" i="9"/>
  <c r="G578" i="9"/>
  <c r="G579" i="9"/>
  <c r="G580" i="9"/>
  <c r="G581" i="9"/>
  <c r="G582" i="9"/>
  <c r="G583" i="9"/>
  <c r="G584" i="9"/>
  <c r="G585" i="9"/>
  <c r="G586" i="9"/>
  <c r="G587" i="9"/>
  <c r="G588" i="9"/>
  <c r="G589" i="9"/>
  <c r="G590" i="9"/>
  <c r="G591" i="9"/>
  <c r="G592" i="9"/>
  <c r="G593" i="9"/>
  <c r="G594" i="9"/>
  <c r="G595" i="9"/>
  <c r="G596" i="9"/>
  <c r="G597" i="9"/>
  <c r="G598" i="9"/>
  <c r="G599" i="9"/>
  <c r="G600" i="9"/>
  <c r="G601" i="9"/>
  <c r="G602" i="9"/>
  <c r="G603" i="9"/>
  <c r="G604" i="9"/>
  <c r="G605" i="9"/>
  <c r="G606" i="9"/>
  <c r="G607" i="9"/>
  <c r="G608" i="9"/>
  <c r="G609" i="9"/>
  <c r="G610" i="9"/>
  <c r="G611" i="9"/>
  <c r="G612" i="9"/>
  <c r="G613" i="9"/>
  <c r="G614" i="9"/>
  <c r="G615" i="9"/>
  <c r="G616" i="9"/>
  <c r="G617" i="9"/>
  <c r="G618" i="9"/>
  <c r="G619" i="9"/>
  <c r="G620" i="9"/>
  <c r="G621" i="9"/>
  <c r="G622" i="9"/>
  <c r="G623" i="9"/>
  <c r="G624" i="9"/>
  <c r="G625" i="9"/>
  <c r="G626" i="9"/>
  <c r="G627" i="9"/>
  <c r="G628" i="9"/>
  <c r="G629" i="9"/>
  <c r="G630" i="9"/>
  <c r="G631" i="9"/>
  <c r="G632" i="9"/>
  <c r="G633" i="9"/>
  <c r="G634" i="9"/>
  <c r="G635" i="9"/>
  <c r="G636" i="9"/>
  <c r="G637" i="9"/>
  <c r="G638" i="9"/>
  <c r="G639" i="9"/>
  <c r="G640" i="9"/>
  <c r="G641" i="9"/>
  <c r="G642" i="9"/>
  <c r="G643" i="9"/>
  <c r="G644" i="9"/>
  <c r="G645" i="9"/>
  <c r="G646" i="9"/>
  <c r="G647" i="9"/>
  <c r="G648" i="9"/>
  <c r="G649" i="9"/>
  <c r="G650" i="9"/>
  <c r="G651" i="9"/>
  <c r="G652" i="9"/>
  <c r="G653" i="9"/>
  <c r="G654" i="9"/>
  <c r="G655" i="9"/>
  <c r="G656" i="9"/>
  <c r="G657" i="9"/>
  <c r="G658" i="9"/>
  <c r="G659" i="9"/>
  <c r="G660" i="9"/>
  <c r="G661" i="9"/>
  <c r="G662" i="9"/>
  <c r="G663" i="9"/>
  <c r="G664" i="9"/>
  <c r="G665" i="9"/>
  <c r="G666" i="9"/>
  <c r="G667" i="9"/>
  <c r="G668" i="9"/>
  <c r="G669" i="9"/>
  <c r="G670" i="9"/>
  <c r="G671" i="9"/>
  <c r="G672" i="9"/>
  <c r="G673" i="9"/>
  <c r="G674" i="9"/>
  <c r="G675" i="9"/>
  <c r="G676" i="9"/>
  <c r="G677" i="9"/>
  <c r="G678" i="9"/>
  <c r="G679" i="9"/>
  <c r="G680" i="9"/>
  <c r="G681" i="9"/>
  <c r="G682" i="9"/>
  <c r="G683" i="9"/>
  <c r="G684" i="9"/>
  <c r="G685" i="9"/>
  <c r="G686" i="9"/>
  <c r="G687" i="9"/>
  <c r="G688" i="9"/>
  <c r="G689" i="9"/>
  <c r="G690" i="9"/>
  <c r="G691" i="9"/>
  <c r="G692" i="9"/>
  <c r="G693" i="9"/>
  <c r="G694" i="9"/>
  <c r="G695" i="9"/>
  <c r="G696" i="9"/>
  <c r="G697" i="9"/>
  <c r="G698" i="9"/>
  <c r="G699" i="9"/>
  <c r="G700" i="9"/>
  <c r="G701" i="9"/>
  <c r="G702" i="9"/>
  <c r="G703" i="9"/>
  <c r="G704" i="9"/>
  <c r="G705" i="9"/>
  <c r="G706" i="9"/>
  <c r="G707" i="9"/>
  <c r="G708" i="9"/>
  <c r="G709" i="9"/>
  <c r="G710" i="9"/>
  <c r="G711" i="9"/>
  <c r="G712" i="9"/>
  <c r="G713" i="9"/>
  <c r="G714" i="9"/>
  <c r="G715" i="9"/>
  <c r="G716" i="9"/>
  <c r="G717" i="9"/>
  <c r="G718" i="9"/>
  <c r="G719" i="9"/>
  <c r="G720" i="9"/>
  <c r="G721" i="9"/>
  <c r="G722" i="9"/>
  <c r="G723" i="9"/>
  <c r="G724" i="9"/>
  <c r="G725" i="9"/>
  <c r="G726" i="9"/>
  <c r="G727" i="9"/>
  <c r="G728" i="9"/>
  <c r="G729" i="9"/>
  <c r="G730" i="9"/>
  <c r="G731" i="9"/>
  <c r="G732" i="9"/>
  <c r="G733" i="9"/>
  <c r="G734" i="9"/>
  <c r="G735" i="9"/>
  <c r="G736" i="9"/>
  <c r="G737" i="9"/>
  <c r="G738" i="9"/>
  <c r="G739" i="9"/>
  <c r="G740" i="9"/>
  <c r="G741" i="9"/>
  <c r="G742" i="9"/>
  <c r="G743" i="9"/>
  <c r="G744" i="9"/>
  <c r="G745" i="9"/>
  <c r="G746" i="9"/>
  <c r="G747" i="9"/>
  <c r="G748" i="9"/>
  <c r="G749" i="9"/>
  <c r="G750" i="9"/>
  <c r="G751" i="9"/>
  <c r="G752" i="9"/>
  <c r="G753" i="9"/>
  <c r="G754" i="9"/>
  <c r="G755" i="9"/>
  <c r="G756" i="9"/>
  <c r="G757" i="9"/>
  <c r="G758" i="9"/>
  <c r="G759" i="9"/>
  <c r="G760" i="9"/>
  <c r="G761" i="9"/>
  <c r="G762" i="9"/>
  <c r="G763" i="9"/>
  <c r="G764" i="9"/>
  <c r="G765" i="9"/>
  <c r="G766" i="9"/>
  <c r="G767" i="9"/>
  <c r="G768" i="9"/>
  <c r="G769" i="9"/>
  <c r="G770" i="9"/>
  <c r="G771" i="9"/>
  <c r="G772" i="9"/>
  <c r="G773" i="9"/>
  <c r="G774" i="9"/>
  <c r="G775" i="9"/>
  <c r="G776" i="9"/>
  <c r="G777" i="9"/>
  <c r="G778" i="9"/>
  <c r="G779" i="9"/>
  <c r="G780" i="9"/>
  <c r="G781" i="9"/>
  <c r="G782" i="9"/>
  <c r="G783" i="9"/>
  <c r="G784" i="9"/>
  <c r="G785" i="9"/>
  <c r="G786" i="9"/>
  <c r="G787" i="9"/>
  <c r="G788" i="9"/>
  <c r="G789" i="9"/>
  <c r="G790" i="9"/>
  <c r="G791" i="9"/>
  <c r="G792" i="9"/>
  <c r="G793" i="9"/>
  <c r="G794" i="9"/>
  <c r="G795" i="9"/>
  <c r="G796" i="9"/>
  <c r="G797" i="9"/>
  <c r="G798" i="9"/>
  <c r="G799" i="9"/>
  <c r="G800" i="9"/>
  <c r="G801" i="9"/>
  <c r="G802" i="9"/>
  <c r="G803" i="9"/>
  <c r="G804" i="9"/>
  <c r="G805" i="9"/>
  <c r="G806" i="9"/>
  <c r="G807" i="9"/>
  <c r="G808" i="9"/>
  <c r="G809" i="9"/>
  <c r="G810" i="9"/>
  <c r="G811" i="9"/>
  <c r="G812" i="9"/>
  <c r="G813" i="9"/>
  <c r="G814" i="9"/>
  <c r="G815" i="9"/>
  <c r="G816" i="9"/>
  <c r="G817" i="9"/>
  <c r="G818" i="9"/>
  <c r="G819" i="9"/>
  <c r="G820" i="9"/>
  <c r="G821" i="9"/>
  <c r="G822" i="9"/>
  <c r="G823" i="9"/>
  <c r="G824" i="9"/>
  <c r="G825" i="9"/>
  <c r="G826" i="9"/>
  <c r="G827" i="9"/>
  <c r="G828" i="9"/>
  <c r="G829" i="9"/>
  <c r="G830" i="9"/>
  <c r="G831" i="9"/>
  <c r="G832" i="9"/>
  <c r="G833" i="9"/>
  <c r="G834" i="9"/>
  <c r="G835" i="9"/>
  <c r="G836" i="9"/>
  <c r="G837" i="9"/>
  <c r="G838" i="9"/>
  <c r="G839" i="9"/>
  <c r="G840" i="9"/>
  <c r="G841" i="9"/>
  <c r="G842" i="9"/>
  <c r="G843" i="9"/>
  <c r="G844" i="9"/>
  <c r="G845" i="9"/>
  <c r="G846" i="9"/>
  <c r="G847" i="9"/>
  <c r="G848" i="9"/>
  <c r="G849" i="9"/>
  <c r="G850" i="9"/>
  <c r="G851" i="9"/>
  <c r="G852" i="9"/>
  <c r="G853" i="9"/>
  <c r="G854" i="9"/>
  <c r="G855" i="9"/>
  <c r="G856" i="9"/>
  <c r="G857" i="9"/>
  <c r="G858" i="9"/>
  <c r="G859" i="9"/>
  <c r="G860" i="9"/>
  <c r="G861" i="9"/>
  <c r="G862" i="9"/>
  <c r="G863" i="9"/>
  <c r="G864" i="9"/>
  <c r="G865" i="9"/>
  <c r="G866" i="9"/>
  <c r="G867" i="9"/>
  <c r="G868" i="9"/>
  <c r="G869" i="9"/>
  <c r="G870" i="9"/>
  <c r="G871" i="9"/>
  <c r="G872" i="9"/>
  <c r="G873" i="9"/>
  <c r="G874" i="9"/>
  <c r="G875" i="9"/>
  <c r="G876" i="9"/>
  <c r="G877" i="9"/>
  <c r="G878" i="9"/>
  <c r="G879" i="9"/>
  <c r="G880" i="9"/>
  <c r="G881" i="9"/>
  <c r="G882" i="9"/>
  <c r="G883" i="9"/>
  <c r="G884" i="9"/>
  <c r="G885" i="9"/>
  <c r="G886" i="9"/>
  <c r="G887" i="9"/>
  <c r="G888" i="9"/>
  <c r="G889" i="9"/>
  <c r="G890" i="9"/>
  <c r="G891" i="9"/>
  <c r="G892" i="9"/>
  <c r="G893" i="9"/>
  <c r="G894" i="9"/>
  <c r="G895" i="9"/>
  <c r="G896" i="9"/>
  <c r="G897" i="9"/>
  <c r="G898" i="9"/>
  <c r="G899" i="9"/>
  <c r="G900" i="9"/>
  <c r="G901" i="9"/>
  <c r="G902" i="9"/>
  <c r="G903" i="9"/>
  <c r="G904" i="9"/>
  <c r="G905" i="9"/>
  <c r="G906" i="9"/>
  <c r="G907" i="9"/>
  <c r="G908" i="9"/>
  <c r="G909" i="9"/>
  <c r="G910" i="9"/>
  <c r="G911" i="9"/>
  <c r="G912" i="9"/>
  <c r="G913" i="9"/>
  <c r="G914" i="9"/>
  <c r="G915" i="9"/>
  <c r="G916" i="9"/>
  <c r="G917" i="9"/>
  <c r="G918" i="9"/>
  <c r="G919" i="9"/>
  <c r="G920" i="9"/>
  <c r="G921" i="9"/>
  <c r="G922" i="9"/>
  <c r="G923" i="9"/>
  <c r="G924" i="9"/>
  <c r="G925" i="9"/>
  <c r="G926" i="9"/>
  <c r="G927" i="9"/>
  <c r="G928" i="9"/>
  <c r="G929" i="9"/>
  <c r="G930" i="9"/>
  <c r="G931" i="9"/>
  <c r="G932" i="9"/>
  <c r="G933" i="9"/>
  <c r="G934" i="9"/>
  <c r="G935" i="9"/>
  <c r="G936" i="9"/>
  <c r="G937" i="9"/>
  <c r="G938" i="9"/>
  <c r="G939" i="9"/>
  <c r="G940" i="9"/>
  <c r="G941" i="9"/>
  <c r="G942" i="9"/>
  <c r="G943" i="9"/>
  <c r="G944" i="9"/>
  <c r="G945" i="9"/>
  <c r="G946" i="9"/>
  <c r="G947" i="9"/>
  <c r="G948" i="9"/>
  <c r="G949" i="9"/>
  <c r="G950" i="9"/>
  <c r="G951" i="9"/>
  <c r="G952" i="9"/>
  <c r="G953" i="9"/>
  <c r="G954" i="9"/>
  <c r="G955" i="9"/>
  <c r="G956" i="9"/>
  <c r="G957" i="9"/>
  <c r="G958" i="9"/>
  <c r="G959" i="9"/>
  <c r="G960" i="9"/>
  <c r="G961" i="9"/>
  <c r="G962" i="9"/>
  <c r="G963" i="9"/>
  <c r="G964" i="9"/>
  <c r="G965" i="9"/>
  <c r="G966" i="9"/>
  <c r="G967" i="9"/>
  <c r="G968" i="9"/>
  <c r="G969" i="9"/>
  <c r="G970" i="9"/>
  <c r="G971" i="9"/>
  <c r="G972" i="9"/>
  <c r="G973" i="9"/>
  <c r="G974" i="9"/>
  <c r="G975" i="9"/>
  <c r="G976" i="9"/>
  <c r="G977" i="9"/>
  <c r="G978" i="9"/>
  <c r="G979" i="9"/>
  <c r="G980" i="9"/>
  <c r="G981" i="9"/>
  <c r="G982" i="9"/>
  <c r="G983" i="9"/>
  <c r="G984" i="9"/>
  <c r="G985" i="9"/>
  <c r="G986" i="9"/>
  <c r="G987" i="9"/>
  <c r="G988" i="9"/>
  <c r="G989" i="9"/>
  <c r="G990" i="9"/>
  <c r="G991" i="9"/>
  <c r="G992" i="9"/>
  <c r="G993" i="9"/>
  <c r="G994" i="9"/>
  <c r="G995" i="9"/>
  <c r="G996" i="9"/>
  <c r="G997" i="9"/>
  <c r="G998" i="9"/>
  <c r="G999" i="9"/>
  <c r="G1000" i="9"/>
  <c r="G1001" i="9"/>
  <c r="G1002" i="9"/>
  <c r="G1003" i="9"/>
  <c r="G1004" i="9"/>
  <c r="G1005" i="9"/>
  <c r="G1006" i="9"/>
  <c r="G1007" i="9"/>
  <c r="G1008" i="9"/>
  <c r="G1009" i="9"/>
  <c r="G1010" i="9"/>
  <c r="G1011" i="9"/>
  <c r="G1012" i="9"/>
  <c r="G1013" i="9"/>
  <c r="G1014" i="9"/>
  <c r="G1015" i="9"/>
  <c r="G1016" i="9"/>
  <c r="G1017" i="9"/>
  <c r="G1018" i="9"/>
  <c r="G1019" i="9"/>
  <c r="G1020" i="9"/>
  <c r="G1021" i="9"/>
  <c r="G1022" i="9"/>
  <c r="G1023" i="9"/>
  <c r="G1024" i="9"/>
  <c r="G1025" i="9"/>
  <c r="G1026" i="9"/>
  <c r="G1027" i="9"/>
  <c r="G1028" i="9"/>
  <c r="G1029" i="9"/>
  <c r="G1030" i="9"/>
  <c r="G1031" i="9"/>
  <c r="G1032" i="9"/>
  <c r="G1033" i="9"/>
  <c r="G1034" i="9"/>
  <c r="G1035" i="9"/>
  <c r="G1036" i="9"/>
  <c r="G1037" i="9"/>
  <c r="G1038" i="9"/>
  <c r="G1039" i="9"/>
  <c r="G1040" i="9"/>
  <c r="G1041" i="9"/>
  <c r="G1042" i="9"/>
  <c r="G1043" i="9"/>
  <c r="G1044" i="9"/>
  <c r="G1045" i="9"/>
  <c r="G1046" i="9"/>
  <c r="G1047" i="9"/>
  <c r="G1048" i="9"/>
  <c r="G1049" i="9"/>
  <c r="G1050" i="9"/>
  <c r="G1051" i="9"/>
  <c r="G1052" i="9"/>
  <c r="G1053" i="9"/>
  <c r="G1054" i="9"/>
  <c r="G1055" i="9"/>
  <c r="G1056" i="9"/>
  <c r="G1057" i="9"/>
  <c r="G1058" i="9"/>
  <c r="G1059" i="9"/>
  <c r="G1060" i="9"/>
  <c r="G1061" i="9"/>
  <c r="G1062" i="9"/>
  <c r="G1063" i="9"/>
  <c r="G1064" i="9"/>
  <c r="G1065" i="9"/>
  <c r="G1066" i="9"/>
  <c r="G1067" i="9"/>
  <c r="G1068" i="9"/>
  <c r="G1069" i="9"/>
  <c r="G1070" i="9"/>
  <c r="G1071" i="9"/>
  <c r="G1072" i="9"/>
  <c r="G1073" i="9"/>
  <c r="G1074" i="9"/>
  <c r="G1075" i="9"/>
  <c r="G1076" i="9"/>
  <c r="G1077" i="9"/>
  <c r="G1078" i="9"/>
  <c r="G1079" i="9"/>
  <c r="G1080" i="9"/>
  <c r="G1081" i="9"/>
  <c r="G1082" i="9"/>
  <c r="G1083" i="9"/>
  <c r="G1084" i="9"/>
  <c r="G1085" i="9"/>
  <c r="G1086" i="9"/>
  <c r="G1087" i="9"/>
  <c r="G1088" i="9"/>
  <c r="G1089" i="9"/>
  <c r="G1090" i="9"/>
  <c r="G1091" i="9"/>
  <c r="G1092" i="9"/>
  <c r="G1093" i="9"/>
  <c r="G1094" i="9"/>
  <c r="G1095" i="9"/>
  <c r="G1096" i="9"/>
  <c r="G1097" i="9"/>
  <c r="G1098" i="9"/>
  <c r="G1099" i="9"/>
  <c r="G1100" i="9"/>
  <c r="G1101" i="9"/>
  <c r="G1102" i="9"/>
  <c r="G1103" i="9"/>
  <c r="G1104" i="9"/>
  <c r="G1105" i="9"/>
  <c r="G1106" i="9"/>
  <c r="G1107" i="9"/>
  <c r="G1108" i="9"/>
  <c r="G1109" i="9"/>
  <c r="G1110" i="9"/>
  <c r="G1111" i="9"/>
  <c r="G1112" i="9"/>
  <c r="G1113" i="9"/>
  <c r="G1114" i="9"/>
  <c r="G1115" i="9"/>
  <c r="G1116" i="9"/>
  <c r="G1117" i="9"/>
  <c r="G1118" i="9"/>
  <c r="G1119" i="9"/>
  <c r="G1120" i="9"/>
  <c r="G1121" i="9"/>
  <c r="G1122" i="9"/>
  <c r="G1123" i="9"/>
  <c r="G1124" i="9"/>
  <c r="G1125" i="9"/>
  <c r="G1126" i="9"/>
  <c r="G1127" i="9"/>
  <c r="G1128" i="9"/>
  <c r="G1129" i="9"/>
  <c r="G1130" i="9"/>
  <c r="G1131" i="9"/>
  <c r="G1132" i="9"/>
  <c r="G1133" i="9"/>
  <c r="G1134" i="9"/>
  <c r="G1135" i="9"/>
  <c r="G1136" i="9"/>
  <c r="G1137" i="9"/>
  <c r="G1138" i="9"/>
  <c r="G1139" i="9"/>
  <c r="G1140" i="9"/>
  <c r="G1141" i="9"/>
  <c r="G1142" i="9"/>
  <c r="G1143" i="9"/>
  <c r="G1144" i="9"/>
  <c r="G1145" i="9"/>
  <c r="G1146" i="9"/>
  <c r="G1147" i="9"/>
  <c r="G1148" i="9"/>
  <c r="G1149" i="9"/>
  <c r="G1150" i="9"/>
  <c r="G1151" i="9"/>
  <c r="G1152" i="9"/>
  <c r="G1153" i="9"/>
  <c r="G1154" i="9"/>
  <c r="G1155" i="9"/>
  <c r="G1156" i="9"/>
  <c r="G1157" i="9"/>
  <c r="G1158" i="9"/>
  <c r="G1159" i="9"/>
  <c r="G1160" i="9"/>
  <c r="G1161" i="9"/>
  <c r="G1162" i="9"/>
  <c r="G1163" i="9"/>
  <c r="G1164" i="9"/>
  <c r="G1165" i="9"/>
  <c r="G1166" i="9"/>
  <c r="G1167" i="9"/>
  <c r="G1168" i="9"/>
  <c r="G1169" i="9"/>
  <c r="G1170" i="9"/>
  <c r="G1171" i="9"/>
  <c r="G1172" i="9"/>
  <c r="G1173" i="9"/>
  <c r="G1174" i="9"/>
  <c r="G1175" i="9"/>
  <c r="G1176" i="9"/>
  <c r="G1177" i="9"/>
  <c r="G1178" i="9"/>
  <c r="G1179" i="9"/>
  <c r="G1180" i="9"/>
  <c r="G1181" i="9"/>
  <c r="G1182" i="9"/>
  <c r="G1183" i="9"/>
  <c r="G1184" i="9"/>
  <c r="G1185" i="9"/>
  <c r="G1186" i="9"/>
  <c r="G1187" i="9"/>
  <c r="G1188" i="9"/>
  <c r="G1189" i="9"/>
  <c r="G1190" i="9"/>
  <c r="G1191" i="9"/>
  <c r="G1192" i="9"/>
  <c r="G1193" i="9"/>
  <c r="G1194" i="9"/>
  <c r="G1195" i="9"/>
  <c r="G1196" i="9"/>
  <c r="G1197" i="9"/>
  <c r="G1198" i="9"/>
  <c r="G1199" i="9"/>
  <c r="G1200" i="9"/>
  <c r="G1201" i="9"/>
  <c r="G1202" i="9"/>
  <c r="G1203" i="9"/>
  <c r="G1204" i="9"/>
  <c r="G1205" i="9"/>
  <c r="G1206" i="9"/>
  <c r="G1207" i="9"/>
  <c r="G1208" i="9"/>
  <c r="G1209" i="9"/>
  <c r="G1210" i="9"/>
  <c r="G1211" i="9"/>
  <c r="G1212" i="9"/>
  <c r="G1213" i="9"/>
  <c r="G1214" i="9"/>
  <c r="G1215" i="9"/>
  <c r="G1216" i="9"/>
  <c r="G1217" i="9"/>
  <c r="G1218" i="9"/>
  <c r="G1219" i="9"/>
  <c r="G1220" i="9"/>
  <c r="G1221" i="9"/>
  <c r="G1222" i="9"/>
  <c r="G1223" i="9"/>
  <c r="G1224" i="9"/>
  <c r="G1225" i="9"/>
  <c r="G1226" i="9"/>
  <c r="G1227" i="9"/>
  <c r="G1228" i="9"/>
  <c r="G1229" i="9"/>
  <c r="G1230" i="9"/>
  <c r="G1231" i="9"/>
  <c r="G1232" i="9"/>
  <c r="G1233" i="9"/>
  <c r="G1234" i="9"/>
  <c r="G1235" i="9"/>
  <c r="G1236" i="9"/>
  <c r="G1237" i="9"/>
  <c r="G1238" i="9"/>
  <c r="G1239" i="9"/>
  <c r="G1240" i="9"/>
  <c r="G1241" i="9"/>
  <c r="G1242" i="9"/>
  <c r="G1243" i="9"/>
  <c r="G1244" i="9"/>
  <c r="G1245" i="9"/>
  <c r="G1246" i="9"/>
  <c r="G1247" i="9"/>
  <c r="G1248" i="9"/>
  <c r="G1249" i="9"/>
  <c r="G1250" i="9"/>
  <c r="G1251" i="9"/>
  <c r="G1252" i="9"/>
  <c r="G1253" i="9"/>
  <c r="G1254" i="9"/>
  <c r="G1255" i="9"/>
  <c r="G1256" i="9"/>
  <c r="G1257" i="9"/>
  <c r="G1258" i="9"/>
  <c r="G1259" i="9"/>
  <c r="G1260" i="9"/>
  <c r="G1261" i="9"/>
  <c r="G1262" i="9"/>
  <c r="G1263" i="9"/>
  <c r="G1264" i="9"/>
  <c r="G1265" i="9"/>
  <c r="G1266" i="9"/>
  <c r="G1267" i="9"/>
  <c r="G1268" i="9"/>
  <c r="G1269" i="9"/>
  <c r="G1270" i="9"/>
  <c r="G1271" i="9"/>
  <c r="G1272" i="9"/>
  <c r="G1273" i="9"/>
  <c r="G1274" i="9"/>
  <c r="G1275" i="9"/>
  <c r="G1276" i="9"/>
  <c r="G1277" i="9"/>
  <c r="G1278" i="9"/>
  <c r="G1279" i="9"/>
  <c r="G1280" i="9"/>
  <c r="G1281" i="9"/>
  <c r="G1282" i="9"/>
  <c r="G1283" i="9"/>
  <c r="G1284" i="9"/>
  <c r="G1285" i="9"/>
  <c r="G1286" i="9"/>
  <c r="G1287" i="9"/>
  <c r="G1288" i="9"/>
  <c r="G1289" i="9"/>
  <c r="G1290" i="9"/>
  <c r="G1291" i="9"/>
  <c r="G1292" i="9"/>
  <c r="G1293" i="9"/>
  <c r="G1294" i="9"/>
  <c r="G1295" i="9"/>
  <c r="G1296" i="9"/>
  <c r="G1297" i="9"/>
  <c r="G1298" i="9"/>
  <c r="G1299" i="9"/>
  <c r="G1300" i="9"/>
  <c r="G1301" i="9"/>
  <c r="G1302" i="9"/>
  <c r="G1303" i="9"/>
  <c r="G1304" i="9"/>
  <c r="G1305" i="9"/>
  <c r="G1306" i="9"/>
  <c r="G1307" i="9"/>
  <c r="G1308" i="9"/>
  <c r="G1309" i="9"/>
  <c r="G1310" i="9"/>
  <c r="G1311" i="9"/>
  <c r="G1312" i="9"/>
  <c r="G1313" i="9"/>
  <c r="G1314" i="9"/>
  <c r="G1315" i="9"/>
  <c r="G1316" i="9"/>
  <c r="G1317" i="9"/>
  <c r="G1318" i="9"/>
  <c r="G1319" i="9"/>
  <c r="G1320" i="9"/>
  <c r="G1321" i="9"/>
  <c r="G1322" i="9"/>
  <c r="G1323" i="9"/>
  <c r="G1324" i="9"/>
  <c r="G1325" i="9"/>
  <c r="G1326" i="9"/>
  <c r="G1327" i="9"/>
  <c r="G1328" i="9"/>
  <c r="G1329" i="9"/>
  <c r="G1330" i="9"/>
  <c r="G1331" i="9"/>
  <c r="G1332" i="9"/>
  <c r="G1333" i="9"/>
  <c r="G1334" i="9"/>
  <c r="G1335" i="9"/>
  <c r="G1336" i="9"/>
  <c r="G1337" i="9"/>
  <c r="G1338" i="9"/>
  <c r="G1339" i="9"/>
  <c r="G1340" i="9"/>
  <c r="G1341" i="9"/>
  <c r="G1342" i="9"/>
  <c r="G1343" i="9"/>
  <c r="G1344" i="9"/>
  <c r="G1345" i="9"/>
  <c r="G1346" i="9"/>
  <c r="G1347" i="9"/>
  <c r="G1348" i="9"/>
  <c r="G1349" i="9"/>
  <c r="G1350" i="9"/>
  <c r="G1351" i="9"/>
  <c r="G1352" i="9"/>
  <c r="G1353" i="9"/>
  <c r="G1354" i="9"/>
  <c r="G1355" i="9"/>
  <c r="G1356" i="9"/>
  <c r="G1357" i="9"/>
  <c r="G1358" i="9"/>
  <c r="G1359" i="9"/>
  <c r="G1360" i="9"/>
  <c r="G1361" i="9"/>
  <c r="G1362" i="9"/>
  <c r="G1363" i="9"/>
  <c r="G1364" i="9"/>
  <c r="G1365" i="9"/>
  <c r="G1366" i="9"/>
  <c r="G1367" i="9"/>
  <c r="G1368" i="9"/>
  <c r="G1369" i="9"/>
  <c r="G1370" i="9"/>
  <c r="G1371" i="9"/>
  <c r="G1372" i="9"/>
  <c r="G1373" i="9"/>
  <c r="G1374" i="9"/>
  <c r="G1375" i="9"/>
  <c r="G1376" i="9"/>
  <c r="G1377" i="9"/>
  <c r="G1378" i="9"/>
  <c r="G1379" i="9"/>
  <c r="G1380" i="9"/>
  <c r="G1381" i="9"/>
  <c r="G1382" i="9"/>
  <c r="G1383" i="9"/>
  <c r="G1384" i="9"/>
  <c r="G1385" i="9"/>
  <c r="G1386" i="9"/>
  <c r="G1387" i="9"/>
  <c r="G1388" i="9"/>
  <c r="G1389" i="9"/>
  <c r="G1390" i="9"/>
  <c r="G1391" i="9"/>
  <c r="G1392" i="9"/>
  <c r="G1393" i="9"/>
  <c r="G1394" i="9"/>
  <c r="G1395" i="9"/>
  <c r="G1396" i="9"/>
  <c r="G1397" i="9"/>
  <c r="G1398" i="9"/>
  <c r="G1399" i="9"/>
  <c r="G1400" i="9"/>
  <c r="G1401" i="9"/>
  <c r="G1402" i="9"/>
  <c r="G1403" i="9"/>
  <c r="G1404" i="9"/>
  <c r="G1405" i="9"/>
  <c r="G1406" i="9"/>
  <c r="G1407" i="9"/>
  <c r="G1408" i="9"/>
  <c r="G1409" i="9"/>
  <c r="G1410" i="9"/>
  <c r="G1411" i="9"/>
  <c r="G1412" i="9"/>
  <c r="G1413" i="9"/>
  <c r="G1414" i="9"/>
  <c r="G1415" i="9"/>
  <c r="G1416" i="9"/>
  <c r="G1417" i="9"/>
  <c r="G1418" i="9"/>
  <c r="G1419" i="9"/>
  <c r="G1420" i="9"/>
  <c r="G1421" i="9"/>
  <c r="G1422" i="9"/>
  <c r="G1423" i="9"/>
  <c r="G1424" i="9"/>
  <c r="G1425" i="9"/>
  <c r="G1426" i="9"/>
  <c r="G1427" i="9"/>
  <c r="G1428" i="9"/>
  <c r="G1429" i="9"/>
  <c r="G1430" i="9"/>
  <c r="G1431" i="9"/>
  <c r="G1432" i="9"/>
  <c r="G1433" i="9"/>
  <c r="G1434" i="9"/>
  <c r="G1435" i="9"/>
  <c r="G1436" i="9"/>
  <c r="G1437" i="9"/>
  <c r="G1438" i="9"/>
  <c r="G1439" i="9"/>
  <c r="G1440" i="9"/>
  <c r="G1441" i="9"/>
  <c r="G1442" i="9"/>
  <c r="G1443" i="9"/>
  <c r="G1444" i="9"/>
  <c r="G1445" i="9"/>
  <c r="G1446" i="9"/>
  <c r="G1447" i="9"/>
  <c r="G1448" i="9"/>
  <c r="G1449" i="9"/>
  <c r="G1450" i="9"/>
  <c r="G1451" i="9"/>
  <c r="G1452" i="9"/>
  <c r="G1453" i="9"/>
  <c r="G1454" i="9"/>
  <c r="G1455" i="9"/>
  <c r="G1456" i="9"/>
  <c r="G1457" i="9"/>
  <c r="G1458" i="9"/>
  <c r="G1459" i="9"/>
  <c r="G1460" i="9"/>
  <c r="G1461" i="9"/>
  <c r="G1462" i="9"/>
  <c r="G1463" i="9"/>
  <c r="G1464" i="9"/>
  <c r="G1465" i="9"/>
  <c r="G1466" i="9"/>
  <c r="G1467" i="9"/>
  <c r="G1468" i="9"/>
  <c r="G1469" i="9"/>
  <c r="G1470" i="9"/>
  <c r="G1471" i="9"/>
  <c r="G1472" i="9"/>
  <c r="G1473" i="9"/>
  <c r="G1474" i="9"/>
  <c r="G1475" i="9"/>
  <c r="G1476" i="9"/>
  <c r="G1477" i="9"/>
  <c r="G1478" i="9"/>
  <c r="G1479" i="9"/>
  <c r="G1480" i="9"/>
  <c r="G1481" i="9"/>
  <c r="G1482" i="9"/>
  <c r="G1483" i="9"/>
  <c r="G1484" i="9"/>
  <c r="G1485" i="9"/>
  <c r="G1486" i="9"/>
  <c r="G1487" i="9"/>
  <c r="G1488" i="9"/>
  <c r="G1489" i="9"/>
  <c r="G1490" i="9"/>
  <c r="G1491" i="9"/>
  <c r="G1492" i="9"/>
  <c r="G1493" i="9"/>
  <c r="G1494" i="9"/>
  <c r="G1495" i="9"/>
  <c r="G1496" i="9"/>
  <c r="G1497" i="9"/>
  <c r="G1498" i="9"/>
  <c r="G1499" i="9"/>
  <c r="G1500" i="9"/>
  <c r="G1501" i="9"/>
  <c r="G1502" i="9"/>
  <c r="G1503" i="9"/>
  <c r="G1504" i="9"/>
  <c r="G1505" i="9"/>
  <c r="G1506" i="9"/>
  <c r="G1507" i="9"/>
  <c r="G1508" i="9"/>
  <c r="G1509" i="9"/>
  <c r="G1510" i="9"/>
  <c r="G1511" i="9"/>
  <c r="G1512" i="9"/>
  <c r="G1513" i="9"/>
  <c r="G1514" i="9"/>
  <c r="G1515" i="9"/>
  <c r="G1516" i="9"/>
  <c r="G1517" i="9"/>
  <c r="G1518" i="9"/>
  <c r="G1519" i="9"/>
  <c r="G1520" i="9"/>
  <c r="G1521" i="9"/>
  <c r="G1522" i="9"/>
  <c r="G1523" i="9"/>
  <c r="G1524" i="9"/>
  <c r="G1525" i="9"/>
  <c r="G1526" i="9"/>
  <c r="G1527" i="9"/>
  <c r="G1528" i="9"/>
  <c r="G1529" i="9"/>
  <c r="G1530" i="9"/>
  <c r="G1531" i="9"/>
  <c r="G1532" i="9"/>
  <c r="G1533" i="9"/>
  <c r="G1534" i="9"/>
  <c r="G1535" i="9"/>
  <c r="G1536" i="9"/>
  <c r="G1537" i="9"/>
  <c r="G1538" i="9"/>
  <c r="G1539" i="9"/>
  <c r="G1540" i="9"/>
  <c r="G1541" i="9"/>
  <c r="G1542" i="9"/>
  <c r="G1543" i="9"/>
  <c r="G1544" i="9"/>
  <c r="G1545" i="9"/>
  <c r="G1546" i="9"/>
  <c r="G1547" i="9"/>
  <c r="G1548" i="9"/>
  <c r="G1549" i="9"/>
  <c r="G1550" i="9"/>
  <c r="G1551" i="9"/>
  <c r="G1552" i="9"/>
  <c r="G1553" i="9"/>
  <c r="G1554" i="9"/>
  <c r="G1555" i="9"/>
  <c r="G1556" i="9"/>
  <c r="G1557" i="9"/>
  <c r="G1558" i="9"/>
  <c r="G1559" i="9"/>
  <c r="G1560" i="9"/>
  <c r="G1561" i="9"/>
  <c r="G1562" i="9"/>
  <c r="G1563" i="9"/>
  <c r="G1564" i="9"/>
  <c r="G1565" i="9"/>
  <c r="G1566" i="9"/>
  <c r="G1567" i="9"/>
  <c r="G1568" i="9"/>
  <c r="G1569" i="9"/>
  <c r="G1570" i="9"/>
  <c r="G1571" i="9"/>
  <c r="G1572" i="9"/>
  <c r="G1573" i="9"/>
  <c r="G1574" i="9"/>
  <c r="G1575" i="9"/>
  <c r="G1576" i="9"/>
  <c r="G1577" i="9"/>
  <c r="G1578" i="9"/>
  <c r="G1579" i="9"/>
  <c r="G1580" i="9"/>
  <c r="G1581" i="9"/>
  <c r="G1582" i="9"/>
  <c r="G1583" i="9"/>
  <c r="G1584" i="9"/>
  <c r="G1585" i="9"/>
  <c r="G1586" i="9"/>
  <c r="G1587" i="9"/>
  <c r="G1588" i="9"/>
  <c r="G1589" i="9"/>
  <c r="G1590" i="9"/>
  <c r="G1591" i="9"/>
  <c r="G1592" i="9"/>
  <c r="G1593" i="9"/>
  <c r="G1594" i="9"/>
  <c r="G1595" i="9"/>
  <c r="G1596" i="9"/>
  <c r="G1597" i="9"/>
  <c r="G1598" i="9"/>
  <c r="G1599" i="9"/>
  <c r="G1600" i="9"/>
  <c r="G1601" i="9"/>
  <c r="G1602" i="9"/>
  <c r="G1603" i="9"/>
  <c r="G1604" i="9"/>
  <c r="G1605" i="9"/>
  <c r="G1606" i="9"/>
  <c r="G1607" i="9"/>
  <c r="G1608" i="9"/>
  <c r="G1609" i="9"/>
  <c r="G1610" i="9"/>
  <c r="G1611" i="9"/>
  <c r="G1612" i="9"/>
  <c r="G1613" i="9"/>
  <c r="G1614" i="9"/>
  <c r="G1615" i="9"/>
  <c r="G1616" i="9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B99CAED-5C79-4215-BD13-09CFC87CC475}" keepAlive="1" name="Query - brands" description="Connection to the 'brands' query in the workbook." type="5" refreshedVersion="8" background="1" saveData="1">
    <dbPr connection="Provider=Microsoft.Mashup.OleDb.1;Data Source=$Workbook$;Location=brands;Extended Properties=&quot;&quot;" command="SELECT * FROM [brands]"/>
  </connection>
  <connection id="2" xr16:uid="{EE002B49-310E-4A74-BCE2-C614713A3046}" keepAlive="1" name="Query - brands (2)" description="Connection to the 'brands (2)' query in the workbook." type="5" refreshedVersion="8" background="1" saveData="1">
    <dbPr connection="Provider=Microsoft.Mashup.OleDb.1;Data Source=$Workbook$;Location=&quot;brands (2)&quot;;Extended Properties=&quot;&quot;" command="SELECT * FROM [brands (2)]"/>
  </connection>
  <connection id="3" xr16:uid="{67261140-DA0A-4E24-A1F2-8F6B28DC7ADD}" keepAlive="1" name="Query - categories" description="Connection to the 'categories' query in the workbook." type="5" refreshedVersion="8" background="1" saveData="1">
    <dbPr connection="Provider=Microsoft.Mashup.OleDb.1;Data Source=$Workbook$;Location=categories;Extended Properties=&quot;&quot;" command="SELECT * FROM [categories]"/>
  </connection>
  <connection id="4" xr16:uid="{8C26B5B5-8CEE-4A35-8504-E4E4C45C2907}" keepAlive="1" name="Query - customers" description="Connection to the 'customers' query in the workbook." type="5" refreshedVersion="8" background="1" saveData="1">
    <dbPr connection="Provider=Microsoft.Mashup.OleDb.1;Data Source=$Workbook$;Location=customers;Extended Properties=&quot;&quot;" command="SELECT * FROM [customers]"/>
  </connection>
  <connection id="5" xr16:uid="{FDB5DDF6-CEAE-4AF5-9C62-0FE33AB7427A}" keepAlive="1" name="Query - order_items" description="Connection to the 'order_items' query in the workbook." type="5" refreshedVersion="8" background="1" saveData="1">
    <dbPr connection="Provider=Microsoft.Mashup.OleDb.1;Data Source=$Workbook$;Location=order_items;Extended Properties=&quot;&quot;" command="SELECT * FROM [order_items]"/>
  </connection>
  <connection id="6" xr16:uid="{B542F71D-1E9C-4F2F-8E58-910749A67E45}" keepAlive="1" name="Query - orders" description="Connection to the 'orders' query in the workbook." type="5" refreshedVersion="8" background="1" saveData="1">
    <dbPr connection="Provider=Microsoft.Mashup.OleDb.1;Data Source=$Workbook$;Location=orders;Extended Properties=&quot;&quot;" command="SELECT * FROM [orders]"/>
  </connection>
  <connection id="7" xr16:uid="{4DE4BC8F-DE40-45D0-A596-A5D8FF01030C}" keepAlive="1" name="Query - products" description="Connection to the 'products' query in the workbook." type="5" refreshedVersion="8" background="1" saveData="1">
    <dbPr connection="Provider=Microsoft.Mashup.OleDb.1;Data Source=$Workbook$;Location=products;Extended Properties=&quot;&quot;" command="SELECT * FROM [products]"/>
  </connection>
  <connection id="8" xr16:uid="{196F908B-59C8-4804-B146-0A6EA6B87C20}" keepAlive="1" name="Query - staffs" description="Connection to the 'staffs' query in the workbook." type="5" refreshedVersion="8" background="1" saveData="1">
    <dbPr connection="Provider=Microsoft.Mashup.OleDb.1;Data Source=$Workbook$;Location=staffs;Extended Properties=&quot;&quot;" command="SELECT * FROM [staffs]"/>
  </connection>
  <connection id="9" xr16:uid="{953B605A-94F4-446B-B86F-3A83F87A8B82}" keepAlive="1" name="Query - stocks" description="Connection to the 'stocks' query in the workbook." type="5" refreshedVersion="8" background="1" saveData="1">
    <dbPr connection="Provider=Microsoft.Mashup.OleDb.1;Data Source=$Workbook$;Location=stocks;Extended Properties=&quot;&quot;" command="SELECT * FROM [stocks]"/>
  </connection>
  <connection id="10" xr16:uid="{725CEDAF-6D9A-4E77-998C-C67A45B3E5F8}" keepAlive="1" name="Query - stores" description="Connection to the 'stores' query in the workbook." type="5" refreshedVersion="8" background="1" saveData="1">
    <dbPr connection="Provider=Microsoft.Mashup.OleDb.1;Data Source=$Workbook$;Location=stores;Extended Properties=&quot;&quot;" command="SELECT * FROM [stores]"/>
  </connection>
  <connection id="11" xr16:uid="{E8B703E5-3DE4-4A7B-9326-1A704B9AD4E5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12" xr16:uid="{DF0D3CCA-87F2-4D2A-A619-DB18DF555FED}" name="WorksheetConnection_Book2.xlsx!categories" type="102" refreshedVersion="8" minRefreshableVersion="5">
    <extLst>
      <ext xmlns:x15="http://schemas.microsoft.com/office/spreadsheetml/2010/11/main" uri="{DE250136-89BD-433C-8126-D09CA5730AF9}">
        <x15:connection id="categories">
          <x15:rangePr sourceName="_xlcn.WorksheetConnection_Book2.xlsxcategories"/>
        </x15:connection>
      </ext>
    </extLst>
  </connection>
  <connection id="13" xr16:uid="{6A6B075F-745C-4E79-9F2A-AED3323F88C4}" name="WorksheetConnection_Book2.xlsx!order_items" type="102" refreshedVersion="8" minRefreshableVersion="5">
    <extLst>
      <ext xmlns:x15="http://schemas.microsoft.com/office/spreadsheetml/2010/11/main" uri="{DE250136-89BD-433C-8126-D09CA5730AF9}">
        <x15:connection id="order_items">
          <x15:rangePr sourceName="_xlcn.WorksheetConnection_Book2.xlsxorder_items"/>
        </x15:connection>
      </ext>
    </extLst>
  </connection>
  <connection id="14" xr16:uid="{59C26974-C09E-4634-B8E0-D262C0C1BD82}" name="WorksheetConnection_Book2.xlsx!products" type="102" refreshedVersion="8" minRefreshableVersion="5">
    <extLst>
      <ext xmlns:x15="http://schemas.microsoft.com/office/spreadsheetml/2010/11/main" uri="{DE250136-89BD-433C-8126-D09CA5730AF9}">
        <x15:connection id="products">
          <x15:rangePr sourceName="_xlcn.WorksheetConnection_Book2.xlsxproducts"/>
        </x15:connection>
      </ext>
    </extLst>
  </connection>
</connections>
</file>

<file path=xl/sharedStrings.xml><?xml version="1.0" encoding="utf-8"?>
<sst xmlns="http://schemas.openxmlformats.org/spreadsheetml/2006/main" count="12224" uniqueCount="5633">
  <si>
    <t>Customer_id</t>
  </si>
  <si>
    <t>First_Name</t>
  </si>
  <si>
    <t>Last_Name</t>
  </si>
  <si>
    <t>Phone</t>
  </si>
  <si>
    <t>Email</t>
  </si>
  <si>
    <t>Street</t>
  </si>
  <si>
    <t>City</t>
  </si>
  <si>
    <t>State</t>
  </si>
  <si>
    <t>Zip_code</t>
  </si>
  <si>
    <t>Debra</t>
  </si>
  <si>
    <t>Burks</t>
  </si>
  <si>
    <t>NA</t>
  </si>
  <si>
    <t>debra.burks@yahoo.com</t>
  </si>
  <si>
    <t xml:space="preserve">9273 Thorne Ave. </t>
  </si>
  <si>
    <t>Orchard Park</t>
  </si>
  <si>
    <t>NY</t>
  </si>
  <si>
    <t>Kasha</t>
  </si>
  <si>
    <t>Todd</t>
  </si>
  <si>
    <t>kasha.todd@yahoo.com</t>
  </si>
  <si>
    <t xml:space="preserve">910 Vine Street </t>
  </si>
  <si>
    <t>Campbell</t>
  </si>
  <si>
    <t>CA</t>
  </si>
  <si>
    <t>Tameka</t>
  </si>
  <si>
    <t>Fisher</t>
  </si>
  <si>
    <t>tameka.fisher@aol.com</t>
  </si>
  <si>
    <t xml:space="preserve">769C Honey Creek St. </t>
  </si>
  <si>
    <t>Redondo Beach</t>
  </si>
  <si>
    <t>Daryl</t>
  </si>
  <si>
    <t>Spence</t>
  </si>
  <si>
    <t>daryl.spence@aol.com</t>
  </si>
  <si>
    <t xml:space="preserve">988 Pearl Lane </t>
  </si>
  <si>
    <t>Uniondale</t>
  </si>
  <si>
    <t>Charolette</t>
  </si>
  <si>
    <t>Rice</t>
  </si>
  <si>
    <t>(916) 381-6003</t>
  </si>
  <si>
    <t>charolette.rice@msn.com</t>
  </si>
  <si>
    <t xml:space="preserve">107 River Dr. </t>
  </si>
  <si>
    <t>Sacramento</t>
  </si>
  <si>
    <t>Lyndsey</t>
  </si>
  <si>
    <t>Bean</t>
  </si>
  <si>
    <t>lyndsey.bean@hotmail.com</t>
  </si>
  <si>
    <t xml:space="preserve">769 West Road </t>
  </si>
  <si>
    <t>Fairport</t>
  </si>
  <si>
    <t>Latasha</t>
  </si>
  <si>
    <t>Hays</t>
  </si>
  <si>
    <t>(716) 986-3359</t>
  </si>
  <si>
    <t>latasha.hays@hotmail.com</t>
  </si>
  <si>
    <t xml:space="preserve">7014 Manor Station Rd. </t>
  </si>
  <si>
    <t>Buffalo</t>
  </si>
  <si>
    <t>Jacquline</t>
  </si>
  <si>
    <t>Duncan</t>
  </si>
  <si>
    <t>jacquline.duncan@yahoo.com</t>
  </si>
  <si>
    <t xml:space="preserve">15 Brown St. </t>
  </si>
  <si>
    <t>Jackson Heights</t>
  </si>
  <si>
    <t>Genoveva</t>
  </si>
  <si>
    <t>Baldwin</t>
  </si>
  <si>
    <t>genoveva.baldwin@msn.com</t>
  </si>
  <si>
    <t xml:space="preserve">8550 Spruce Drive </t>
  </si>
  <si>
    <t>Port Washington</t>
  </si>
  <si>
    <t>Pamelia</t>
  </si>
  <si>
    <t>Newman</t>
  </si>
  <si>
    <t>pamelia.newman@gmail.com</t>
  </si>
  <si>
    <t xml:space="preserve">476 Chestnut Ave. </t>
  </si>
  <si>
    <t>Monroe</t>
  </si>
  <si>
    <t>Deshawn</t>
  </si>
  <si>
    <t>Mendoza</t>
  </si>
  <si>
    <t>deshawn.mendoza@yahoo.com</t>
  </si>
  <si>
    <t xml:space="preserve">8790 Cobblestone Street </t>
  </si>
  <si>
    <t>Monsey</t>
  </si>
  <si>
    <t>Robby</t>
  </si>
  <si>
    <t>Sykes</t>
  </si>
  <si>
    <t>(516) 583-7761</t>
  </si>
  <si>
    <t>robby.sykes@hotmail.com</t>
  </si>
  <si>
    <t xml:space="preserve">486 Rock Maple Street </t>
  </si>
  <si>
    <t>Hempstead</t>
  </si>
  <si>
    <t>Lashawn</t>
  </si>
  <si>
    <t>Ortiz</t>
  </si>
  <si>
    <t>lashawn.ortiz@msn.com</t>
  </si>
  <si>
    <t xml:space="preserve">27 Washington Rd. </t>
  </si>
  <si>
    <t>Longview</t>
  </si>
  <si>
    <t>TX</t>
  </si>
  <si>
    <t>Garry</t>
  </si>
  <si>
    <t>Espinoza</t>
  </si>
  <si>
    <t>garry.espinoza@hotmail.com</t>
  </si>
  <si>
    <t xml:space="preserve">7858 Rockaway Court </t>
  </si>
  <si>
    <t>Forney</t>
  </si>
  <si>
    <t>Linnie</t>
  </si>
  <si>
    <t>Branch</t>
  </si>
  <si>
    <t>linnie.branch@gmail.com</t>
  </si>
  <si>
    <t xml:space="preserve">314 South Columbia Ave. </t>
  </si>
  <si>
    <t>Plattsburgh</t>
  </si>
  <si>
    <t>Emmitt</t>
  </si>
  <si>
    <t>Sanchez</t>
  </si>
  <si>
    <t>(212) 945-8823</t>
  </si>
  <si>
    <t>emmitt.sanchez@hotmail.com</t>
  </si>
  <si>
    <t xml:space="preserve">461 Squaw Creek Road </t>
  </si>
  <si>
    <t>New York</t>
  </si>
  <si>
    <t>Caren</t>
  </si>
  <si>
    <t>Stephens</t>
  </si>
  <si>
    <t>caren.stephens@msn.com</t>
  </si>
  <si>
    <t xml:space="preserve">914 Brook St. </t>
  </si>
  <si>
    <t>Scarsdale</t>
  </si>
  <si>
    <t>Georgetta</t>
  </si>
  <si>
    <t>Hardin</t>
  </si>
  <si>
    <t>georgetta.hardin@aol.com</t>
  </si>
  <si>
    <t xml:space="preserve">474 Chapel Dr. </t>
  </si>
  <si>
    <t>Canandaigua</t>
  </si>
  <si>
    <t>Lizzette</t>
  </si>
  <si>
    <t>Stein</t>
  </si>
  <si>
    <t>lizzette.stein@yahoo.com</t>
  </si>
  <si>
    <t xml:space="preserve">19 Green Hill Lane </t>
  </si>
  <si>
    <t>Aleta</t>
  </si>
  <si>
    <t>Shepard</t>
  </si>
  <si>
    <t>aleta.shepard@aol.com</t>
  </si>
  <si>
    <t xml:space="preserve">684 Howard St. </t>
  </si>
  <si>
    <t>Sugar Land</t>
  </si>
  <si>
    <t>Tobie</t>
  </si>
  <si>
    <t>Little</t>
  </si>
  <si>
    <t>tobie.little@gmail.com</t>
  </si>
  <si>
    <t xml:space="preserve">10 Silver Spear Dr. </t>
  </si>
  <si>
    <t>Victoria</t>
  </si>
  <si>
    <t>Adelle</t>
  </si>
  <si>
    <t>Larsen</t>
  </si>
  <si>
    <t>adelle.larsen@gmail.com</t>
  </si>
  <si>
    <t xml:space="preserve">683 West Kirkland Dr. </t>
  </si>
  <si>
    <t>East Northport</t>
  </si>
  <si>
    <t>Kaylee</t>
  </si>
  <si>
    <t>English</t>
  </si>
  <si>
    <t>kaylee.english@msn.com</t>
  </si>
  <si>
    <t xml:space="preserve">8786 Fulton Rd. </t>
  </si>
  <si>
    <t>Hollis</t>
  </si>
  <si>
    <t>Corene</t>
  </si>
  <si>
    <t>Wall</t>
  </si>
  <si>
    <t>corene.wall@msn.com</t>
  </si>
  <si>
    <t xml:space="preserve">9601 Ocean Rd. </t>
  </si>
  <si>
    <t>Atwater</t>
  </si>
  <si>
    <t>Regenia</t>
  </si>
  <si>
    <t>Vaughan</t>
  </si>
  <si>
    <t>regenia.vaughan@gmail.com</t>
  </si>
  <si>
    <t xml:space="preserve">44 Stonybrook Street </t>
  </si>
  <si>
    <t>Mahopac</t>
  </si>
  <si>
    <t>Theo</t>
  </si>
  <si>
    <t>Reese</t>
  </si>
  <si>
    <t>(562) 215-2907</t>
  </si>
  <si>
    <t>theo.reese@gmail.com</t>
  </si>
  <si>
    <t xml:space="preserve">8755 W. Wild Horse St. </t>
  </si>
  <si>
    <t>Long Beach</t>
  </si>
  <si>
    <t>Santos</t>
  </si>
  <si>
    <t>Valencia</t>
  </si>
  <si>
    <t>santos.valencia@yahoo.com</t>
  </si>
  <si>
    <t xml:space="preserve">7479 Carpenter Street </t>
  </si>
  <si>
    <t>Sunnyside</t>
  </si>
  <si>
    <t>Jeanice</t>
  </si>
  <si>
    <t>Frost</t>
  </si>
  <si>
    <t>jeanice.frost@hotmail.com</t>
  </si>
  <si>
    <t xml:space="preserve">76 Devon Lane </t>
  </si>
  <si>
    <t>Ossining</t>
  </si>
  <si>
    <t>Syreeta</t>
  </si>
  <si>
    <t>Hendricks</t>
  </si>
  <si>
    <t>syreeta.hendricks@msn.com</t>
  </si>
  <si>
    <t xml:space="preserve">193 Spruce Road </t>
  </si>
  <si>
    <t>Jamaal</t>
  </si>
  <si>
    <t>Albert</t>
  </si>
  <si>
    <t>jamaal.albert@gmail.com</t>
  </si>
  <si>
    <t xml:space="preserve">853 Stonybrook Street </t>
  </si>
  <si>
    <t>Torrance</t>
  </si>
  <si>
    <t>Williemae</t>
  </si>
  <si>
    <t>Holloway</t>
  </si>
  <si>
    <t>(510) 246-8375</t>
  </si>
  <si>
    <t>williemae.holloway@msn.com</t>
  </si>
  <si>
    <t xml:space="preserve">69 Cypress St. </t>
  </si>
  <si>
    <t>Oakland</t>
  </si>
  <si>
    <t>Araceli</t>
  </si>
  <si>
    <t>Golden</t>
  </si>
  <si>
    <t>araceli.golden@msn.com</t>
  </si>
  <si>
    <t xml:space="preserve">12 Ridgeview Ave. </t>
  </si>
  <si>
    <t>Fullerton</t>
  </si>
  <si>
    <t>Deloris</t>
  </si>
  <si>
    <t>Burke</t>
  </si>
  <si>
    <t>deloris.burke@hotmail.com</t>
  </si>
  <si>
    <t xml:space="preserve">895 Edgemont Drive </t>
  </si>
  <si>
    <t>Palos Verdes Peninsula</t>
  </si>
  <si>
    <t>Brittney</t>
  </si>
  <si>
    <t>Woodward</t>
  </si>
  <si>
    <t>brittney.woodward@aol.com</t>
  </si>
  <si>
    <t xml:space="preserve">960 River St. </t>
  </si>
  <si>
    <t>Guillermina</t>
  </si>
  <si>
    <t>Noble</t>
  </si>
  <si>
    <t>guillermina.noble@msn.com</t>
  </si>
  <si>
    <t xml:space="preserve">6 Del Monte Lane </t>
  </si>
  <si>
    <t>Baldwinsville</t>
  </si>
  <si>
    <t>Bernita</t>
  </si>
  <si>
    <t>Mcdaniel</t>
  </si>
  <si>
    <t>bernita.mcdaniel@hotmail.com</t>
  </si>
  <si>
    <t xml:space="preserve">2 Peg Shop Ave. </t>
  </si>
  <si>
    <t>Liverpool</t>
  </si>
  <si>
    <t>Melia</t>
  </si>
  <si>
    <t>Brady</t>
  </si>
  <si>
    <t>melia.brady@gmail.com</t>
  </si>
  <si>
    <t xml:space="preserve">907 Shirley Rd. </t>
  </si>
  <si>
    <t>Maspeth</t>
  </si>
  <si>
    <t>Zelma</t>
  </si>
  <si>
    <t>Browning</t>
  </si>
  <si>
    <t>zelma.browning@aol.com</t>
  </si>
  <si>
    <t xml:space="preserve">296 Second Street </t>
  </si>
  <si>
    <t>Astoria</t>
  </si>
  <si>
    <t>Janetta</t>
  </si>
  <si>
    <t>Aguirre</t>
  </si>
  <si>
    <t>(717) 670-2634</t>
  </si>
  <si>
    <t>janetta.aguirre@aol.com</t>
  </si>
  <si>
    <t xml:space="preserve">214 Second Court </t>
  </si>
  <si>
    <t>Lancaster</t>
  </si>
  <si>
    <t>Ronna</t>
  </si>
  <si>
    <t>Butler</t>
  </si>
  <si>
    <t>ronna.butler@gmail.com</t>
  </si>
  <si>
    <t xml:space="preserve">9438 Plymouth Court </t>
  </si>
  <si>
    <t>Encino</t>
  </si>
  <si>
    <t>Kathie</t>
  </si>
  <si>
    <t>Freeman</t>
  </si>
  <si>
    <t>kathie.freeman@msn.com</t>
  </si>
  <si>
    <t xml:space="preserve">667 Temple Dr. </t>
  </si>
  <si>
    <t>Queensbury</t>
  </si>
  <si>
    <t>Tangela</t>
  </si>
  <si>
    <t>Quinn</t>
  </si>
  <si>
    <t>tangela.quinn@aol.com</t>
  </si>
  <si>
    <t xml:space="preserve">4 S. Purple Finch Road </t>
  </si>
  <si>
    <t>Richmond Hill</t>
  </si>
  <si>
    <t>Mozelle</t>
  </si>
  <si>
    <t>Carter</t>
  </si>
  <si>
    <t>(281) 489-9656</t>
  </si>
  <si>
    <t>mozelle.carter@aol.com</t>
  </si>
  <si>
    <t xml:space="preserve">895 Chestnut Ave. </t>
  </si>
  <si>
    <t>Houston</t>
  </si>
  <si>
    <t>Onita</t>
  </si>
  <si>
    <t>Johns</t>
  </si>
  <si>
    <t>onita.johns@msn.com</t>
  </si>
  <si>
    <t xml:space="preserve">32 Glen Creek Lane </t>
  </si>
  <si>
    <t>Elmont</t>
  </si>
  <si>
    <t>Bennett</t>
  </si>
  <si>
    <t>Armstrong</t>
  </si>
  <si>
    <t>bennett.armstrong@aol.com</t>
  </si>
  <si>
    <t xml:space="preserve">688 Walnut Street </t>
  </si>
  <si>
    <t>Bethpage</t>
  </si>
  <si>
    <t>Monika</t>
  </si>
  <si>
    <t>Berg</t>
  </si>
  <si>
    <t>monika.berg@gmail.com</t>
  </si>
  <si>
    <t xml:space="preserve">369 Vernon Dr. </t>
  </si>
  <si>
    <t>Bridgette</t>
  </si>
  <si>
    <t>Guerra</t>
  </si>
  <si>
    <t>bridgette.guerra@hotmail.com</t>
  </si>
  <si>
    <t xml:space="preserve">9982 Manor Drive </t>
  </si>
  <si>
    <t>San Lorenzo</t>
  </si>
  <si>
    <t>Cesar</t>
  </si>
  <si>
    <t>Jackson</t>
  </si>
  <si>
    <t>cesar.jackson@gmail.com</t>
  </si>
  <si>
    <t xml:space="preserve">8068 N. Griffin Ave. </t>
  </si>
  <si>
    <t>Caroll</t>
  </si>
  <si>
    <t>caroll.hays@yahoo.com</t>
  </si>
  <si>
    <t xml:space="preserve">9381 Wrangler St. </t>
  </si>
  <si>
    <t>Cleotilde</t>
  </si>
  <si>
    <t>Booth</t>
  </si>
  <si>
    <t>cleotilde.booth@gmail.com</t>
  </si>
  <si>
    <t xml:space="preserve">17 Corona St. </t>
  </si>
  <si>
    <t>Gertrud</t>
  </si>
  <si>
    <t>Rhodes</t>
  </si>
  <si>
    <t>gertrud.rhodes@aol.com</t>
  </si>
  <si>
    <t xml:space="preserve">9961 Meadowbrook Street </t>
  </si>
  <si>
    <t>Merrick</t>
  </si>
  <si>
    <t>Tu</t>
  </si>
  <si>
    <t>Ramirez</t>
  </si>
  <si>
    <t>tu.ramirez@hotmail.com</t>
  </si>
  <si>
    <t xml:space="preserve">24 W. Courtland Street </t>
  </si>
  <si>
    <t>East Elmhurst</t>
  </si>
  <si>
    <t>Saturnina</t>
  </si>
  <si>
    <t>Garner</t>
  </si>
  <si>
    <t>saturnina.garner@gmail.com</t>
  </si>
  <si>
    <t xml:space="preserve">8538 Fairground St. </t>
  </si>
  <si>
    <t>Glendora</t>
  </si>
  <si>
    <t>Fran</t>
  </si>
  <si>
    <t>Yang</t>
  </si>
  <si>
    <t>fran.yang@hotmail.com</t>
  </si>
  <si>
    <t xml:space="preserve">440 Pearl St. </t>
  </si>
  <si>
    <t>Utica</t>
  </si>
  <si>
    <t>Diana</t>
  </si>
  <si>
    <t>diana.guerra@hotmail.com</t>
  </si>
  <si>
    <t xml:space="preserve">45 Chapel Ave. </t>
  </si>
  <si>
    <t>Lolita</t>
  </si>
  <si>
    <t>Mosley</t>
  </si>
  <si>
    <t>(281) 363-3309</t>
  </si>
  <si>
    <t>lolita.mosley@hotmail.com</t>
  </si>
  <si>
    <t xml:space="preserve">376 S. High Ridge St. </t>
  </si>
  <si>
    <t>Pamala</t>
  </si>
  <si>
    <t>Henry</t>
  </si>
  <si>
    <t>pamala.henry@aol.com</t>
  </si>
  <si>
    <t xml:space="preserve">197 Bridgeton Ave. </t>
  </si>
  <si>
    <t>Bronx</t>
  </si>
  <si>
    <t>Damien</t>
  </si>
  <si>
    <t>Dorsey</t>
  </si>
  <si>
    <t>damien.dorsey@yahoo.com</t>
  </si>
  <si>
    <t xml:space="preserve">161 Old York Street </t>
  </si>
  <si>
    <t>Central Islip</t>
  </si>
  <si>
    <t>Stanley</t>
  </si>
  <si>
    <t>latasha.stanley@gmail.com</t>
  </si>
  <si>
    <t xml:space="preserve">8068 Fordham Drive </t>
  </si>
  <si>
    <t>Rockville Centre</t>
  </si>
  <si>
    <t>Neil</t>
  </si>
  <si>
    <t>Mccall</t>
  </si>
  <si>
    <t>neil.mccall@gmail.com</t>
  </si>
  <si>
    <t xml:space="preserve">7476 Oakland Dr. </t>
  </si>
  <si>
    <t>San Carlos</t>
  </si>
  <si>
    <t>Elinore</t>
  </si>
  <si>
    <t>Aguilar</t>
  </si>
  <si>
    <t>elinore.aguilar@msn.com</t>
  </si>
  <si>
    <t xml:space="preserve">9766 Rockcrest Ave. </t>
  </si>
  <si>
    <t>San Angelo</t>
  </si>
  <si>
    <t>Alica</t>
  </si>
  <si>
    <t>Hunter</t>
  </si>
  <si>
    <t>alica.hunter@hotmail.com</t>
  </si>
  <si>
    <t xml:space="preserve">8 San Juan Drive </t>
  </si>
  <si>
    <t>Tenisha</t>
  </si>
  <si>
    <t>Lyons</t>
  </si>
  <si>
    <t>tenisha.lyons@aol.com</t>
  </si>
  <si>
    <t xml:space="preserve">78 E. Rock Creek Street </t>
  </si>
  <si>
    <t>Amityville</t>
  </si>
  <si>
    <t>Bobbie</t>
  </si>
  <si>
    <t>Foster</t>
  </si>
  <si>
    <t>bobbie.foster@yahoo.com</t>
  </si>
  <si>
    <t xml:space="preserve">988 Pineknoll Ave. </t>
  </si>
  <si>
    <t>Desoto</t>
  </si>
  <si>
    <t>Kanesha</t>
  </si>
  <si>
    <t>Vega</t>
  </si>
  <si>
    <t>kanesha.vega@gmail.com</t>
  </si>
  <si>
    <t xml:space="preserve">771 E. Oxford Drive </t>
  </si>
  <si>
    <t>Rome</t>
  </si>
  <si>
    <t>Lorrie</t>
  </si>
  <si>
    <t>Becker</t>
  </si>
  <si>
    <t>lorrie.becker@yahoo.com</t>
  </si>
  <si>
    <t xml:space="preserve">19 North Court </t>
  </si>
  <si>
    <t>Garland</t>
  </si>
  <si>
    <t>Tommie</t>
  </si>
  <si>
    <t>Melton</t>
  </si>
  <si>
    <t>(916) 802-2952</t>
  </si>
  <si>
    <t>tommie.melton@gmail.com</t>
  </si>
  <si>
    <t xml:space="preserve">8 West Old York St. </t>
  </si>
  <si>
    <t>Jayne</t>
  </si>
  <si>
    <t>Kirkland</t>
  </si>
  <si>
    <t>jayne.kirkland@hotmail.com</t>
  </si>
  <si>
    <t xml:space="preserve">7800 Second Lane </t>
  </si>
  <si>
    <t>Rowlett</t>
  </si>
  <si>
    <t>Katelin</t>
  </si>
  <si>
    <t>Kennedy</t>
  </si>
  <si>
    <t>katelin.kennedy@gmail.com</t>
  </si>
  <si>
    <t xml:space="preserve">286 Myrtle Lane </t>
  </si>
  <si>
    <t>Rocklin</t>
  </si>
  <si>
    <t>Tomasa</t>
  </si>
  <si>
    <t>Carson</t>
  </si>
  <si>
    <t>tomasa.carson@aol.com</t>
  </si>
  <si>
    <t xml:space="preserve">10 Clark Avenue </t>
  </si>
  <si>
    <t>Takako</t>
  </si>
  <si>
    <t>Casey</t>
  </si>
  <si>
    <t>takako.casey@aol.com</t>
  </si>
  <si>
    <t xml:space="preserve">7548 Court Lane </t>
  </si>
  <si>
    <t>Petronila</t>
  </si>
  <si>
    <t>Norris</t>
  </si>
  <si>
    <t>petronila.norris@aol.com</t>
  </si>
  <si>
    <t xml:space="preserve">72 South Marshall Lane </t>
  </si>
  <si>
    <t>South El Monte</t>
  </si>
  <si>
    <t>Melanie</t>
  </si>
  <si>
    <t>Hayes</t>
  </si>
  <si>
    <t>melanie.hayes@msn.com</t>
  </si>
  <si>
    <t xml:space="preserve">5 N. Hall Dr. </t>
  </si>
  <si>
    <t>Georgeann</t>
  </si>
  <si>
    <t>Waller</t>
  </si>
  <si>
    <t>georgeann.waller@yahoo.com</t>
  </si>
  <si>
    <t xml:space="preserve">9797 Bald Hill Ave. </t>
  </si>
  <si>
    <t>North Tonawanda</t>
  </si>
  <si>
    <t>Abby</t>
  </si>
  <si>
    <t>Gamble</t>
  </si>
  <si>
    <t>abby.gamble@aol.com</t>
  </si>
  <si>
    <t xml:space="preserve">60 Myers Dr. </t>
  </si>
  <si>
    <t>Parker</t>
  </si>
  <si>
    <t>Prince</t>
  </si>
  <si>
    <t>parker.prince@hotmail.com</t>
  </si>
  <si>
    <t xml:space="preserve">21 Sulphur Springs Drive </t>
  </si>
  <si>
    <t>Port Jefferson Station</t>
  </si>
  <si>
    <t>Keri</t>
  </si>
  <si>
    <t>Bridges</t>
  </si>
  <si>
    <t>keri.bridges@gmail.com</t>
  </si>
  <si>
    <t xml:space="preserve">8504 Brickell Ave. </t>
  </si>
  <si>
    <t>Richardson</t>
  </si>
  <si>
    <t>Chi</t>
  </si>
  <si>
    <t>Goff</t>
  </si>
  <si>
    <t>chi.goff@aol.com</t>
  </si>
  <si>
    <t xml:space="preserve">3 W. Glen Ridge Avenue </t>
  </si>
  <si>
    <t>Ashanti</t>
  </si>
  <si>
    <t>Parks</t>
  </si>
  <si>
    <t>ashanti.parks@hotmail.com</t>
  </si>
  <si>
    <t xml:space="preserve">846 N. Helen St. </t>
  </si>
  <si>
    <t>Sarai</t>
  </si>
  <si>
    <t>Mckee</t>
  </si>
  <si>
    <t>(716) 912-8110</t>
  </si>
  <si>
    <t>sarai.mckee@msn.com</t>
  </si>
  <si>
    <t xml:space="preserve">641 Glenwood Avenue </t>
  </si>
  <si>
    <t>Zina</t>
  </si>
  <si>
    <t>Bonner</t>
  </si>
  <si>
    <t>zina.bonner@hotmail.com</t>
  </si>
  <si>
    <t xml:space="preserve">9312 8th Street </t>
  </si>
  <si>
    <t>Lizzie</t>
  </si>
  <si>
    <t>Joyner</t>
  </si>
  <si>
    <t>lizzie.joyner@msn.com</t>
  </si>
  <si>
    <t xml:space="preserve">8541 Roberts St. </t>
  </si>
  <si>
    <t>Coachella</t>
  </si>
  <si>
    <t>Tiesha</t>
  </si>
  <si>
    <t>Daniel</t>
  </si>
  <si>
    <t>tiesha.daniel@yahoo.com</t>
  </si>
  <si>
    <t xml:space="preserve">6 West Bohemia Lane </t>
  </si>
  <si>
    <t>Armand</t>
  </si>
  <si>
    <t>Whitehead</t>
  </si>
  <si>
    <t>armand.whitehead@hotmail.com</t>
  </si>
  <si>
    <t xml:space="preserve">639 Harvey St. </t>
  </si>
  <si>
    <t>Lindenhurst</t>
  </si>
  <si>
    <t>Teofila</t>
  </si>
  <si>
    <t>Fischer</t>
  </si>
  <si>
    <t>teofila.fischer@aol.com</t>
  </si>
  <si>
    <t xml:space="preserve">1 West Brickyard St. </t>
  </si>
  <si>
    <t>Huntington Station</t>
  </si>
  <si>
    <t>Lissa</t>
  </si>
  <si>
    <t>Vargas</t>
  </si>
  <si>
    <t>lissa.vargas@yahoo.com</t>
  </si>
  <si>
    <t xml:space="preserve">517 Victoria Ave. </t>
  </si>
  <si>
    <t>Oswego</t>
  </si>
  <si>
    <t>Yan</t>
  </si>
  <si>
    <t>Mcgowan</t>
  </si>
  <si>
    <t>yan.mcgowan@msn.com</t>
  </si>
  <si>
    <t xml:space="preserve">8960 Newport Ave. </t>
  </si>
  <si>
    <t>Duarte</t>
  </si>
  <si>
    <t>Titus</t>
  </si>
  <si>
    <t>Bullock</t>
  </si>
  <si>
    <t>titus.bullock@gmail.com</t>
  </si>
  <si>
    <t xml:space="preserve">29 Oxford Avenue </t>
  </si>
  <si>
    <t>Arvilla</t>
  </si>
  <si>
    <t>Osborn</t>
  </si>
  <si>
    <t>arvilla.osborn@gmail.com</t>
  </si>
  <si>
    <t xml:space="preserve">60 Acacia Lane </t>
  </si>
  <si>
    <t>Upland</t>
  </si>
  <si>
    <t>Marjorie</t>
  </si>
  <si>
    <t>Logan</t>
  </si>
  <si>
    <t>marjorie.logan@msn.com</t>
  </si>
  <si>
    <t xml:space="preserve">95 Grandrose St. </t>
  </si>
  <si>
    <t>Franklin Square</t>
  </si>
  <si>
    <t>Marvin</t>
  </si>
  <si>
    <t>Mullins</t>
  </si>
  <si>
    <t>(619) 635-2027</t>
  </si>
  <si>
    <t>marvin.mullins@aol.com</t>
  </si>
  <si>
    <t xml:space="preserve">7489 Redwood Drive </t>
  </si>
  <si>
    <t>San Diego</t>
  </si>
  <si>
    <t>Tena</t>
  </si>
  <si>
    <t>Cruz</t>
  </si>
  <si>
    <t>tena.cruz@yahoo.com</t>
  </si>
  <si>
    <t xml:space="preserve">1 South St. </t>
  </si>
  <si>
    <t>Farmingdale</t>
  </si>
  <si>
    <t>Corrina</t>
  </si>
  <si>
    <t>Sawyer</t>
  </si>
  <si>
    <t>(248) 370-1364</t>
  </si>
  <si>
    <t>corrina.sawyer@yahoo.com</t>
  </si>
  <si>
    <t xml:space="preserve">95 Briarwood Lane </t>
  </si>
  <si>
    <t>Troy</t>
  </si>
  <si>
    <t>Sharyn</t>
  </si>
  <si>
    <t>Hopkins</t>
  </si>
  <si>
    <t>sharyn.hopkins@hotmail.com</t>
  </si>
  <si>
    <t xml:space="preserve">4 South Temple Ave. </t>
  </si>
  <si>
    <t>Letitia</t>
  </si>
  <si>
    <t>Franco</t>
  </si>
  <si>
    <t>letitia.franco@aol.com</t>
  </si>
  <si>
    <t xml:space="preserve">607 Lakeview Drive </t>
  </si>
  <si>
    <t>Saratoga Springs</t>
  </si>
  <si>
    <t>Floretta</t>
  </si>
  <si>
    <t>Higgins</t>
  </si>
  <si>
    <t>floretta.higgins@hotmail.com</t>
  </si>
  <si>
    <t xml:space="preserve">870 Lilac Dr. </t>
  </si>
  <si>
    <t>Bayside</t>
  </si>
  <si>
    <t>Louanne</t>
  </si>
  <si>
    <t>Martin</t>
  </si>
  <si>
    <t>louanne.martin@hotmail.com</t>
  </si>
  <si>
    <t xml:space="preserve">1 Campfire Ave. </t>
  </si>
  <si>
    <t>Yuba City</t>
  </si>
  <si>
    <t>Violet</t>
  </si>
  <si>
    <t>Valenzuela</t>
  </si>
  <si>
    <t>violet.valenzuela@msn.com</t>
  </si>
  <si>
    <t xml:space="preserve">8668 Piper Street </t>
  </si>
  <si>
    <t>Carie</t>
  </si>
  <si>
    <t>Kidd</t>
  </si>
  <si>
    <t>carie.kidd@yahoo.com</t>
  </si>
  <si>
    <t xml:space="preserve">6 East Clinton Street </t>
  </si>
  <si>
    <t>Kellie</t>
  </si>
  <si>
    <t>kellie.franco@yahoo.com</t>
  </si>
  <si>
    <t xml:space="preserve">444 South Walnut Rd. </t>
  </si>
  <si>
    <t>Commack</t>
  </si>
  <si>
    <t>Nichelle</t>
  </si>
  <si>
    <t>Howell</t>
  </si>
  <si>
    <t>nichelle.howell@aol.com</t>
  </si>
  <si>
    <t xml:space="preserve">7670 Forest St. </t>
  </si>
  <si>
    <t>Marisol</t>
  </si>
  <si>
    <t>Goodman</t>
  </si>
  <si>
    <t>marisol.goodman@gmail.com</t>
  </si>
  <si>
    <t xml:space="preserve">864 East Cherry St. </t>
  </si>
  <si>
    <t>Sylvie</t>
  </si>
  <si>
    <t>Wilkerson</t>
  </si>
  <si>
    <t>sylvie.wilkerson@yahoo.com</t>
  </si>
  <si>
    <t xml:space="preserve">750 Central Ave. </t>
  </si>
  <si>
    <t>Syosset</t>
  </si>
  <si>
    <t>Katharina</t>
  </si>
  <si>
    <t>Bates</t>
  </si>
  <si>
    <t>katharina.bates@gmail.com</t>
  </si>
  <si>
    <t xml:space="preserve">54 South Greenview Drive </t>
  </si>
  <si>
    <t>Marget</t>
  </si>
  <si>
    <t>Hodge</t>
  </si>
  <si>
    <t>marget.hodge@msn.com</t>
  </si>
  <si>
    <t xml:space="preserve">7199 Selby Lane </t>
  </si>
  <si>
    <t>Woodhaven</t>
  </si>
  <si>
    <t>Raul</t>
  </si>
  <si>
    <t>Melendez</t>
  </si>
  <si>
    <t>raul.melendez@hotmail.com</t>
  </si>
  <si>
    <t xml:space="preserve">9772 Manhattan St. </t>
  </si>
  <si>
    <t>Elmhurst</t>
  </si>
  <si>
    <t>Cecil</t>
  </si>
  <si>
    <t>Hopper</t>
  </si>
  <si>
    <t>cecil.hopper@yahoo.com</t>
  </si>
  <si>
    <t xml:space="preserve">471 Glenlake Ave. </t>
  </si>
  <si>
    <t>Shae</t>
  </si>
  <si>
    <t>Hickman</t>
  </si>
  <si>
    <t>shae.hickman@hotmail.com</t>
  </si>
  <si>
    <t xml:space="preserve">740 Pin Oak Street </t>
  </si>
  <si>
    <t>Floral Park</t>
  </si>
  <si>
    <t>Monica</t>
  </si>
  <si>
    <t>Sears</t>
  </si>
  <si>
    <t>(408) 704-8863</t>
  </si>
  <si>
    <t>monica.sears@aol.com</t>
  </si>
  <si>
    <t xml:space="preserve">57 Glenholme St. </t>
  </si>
  <si>
    <t>San Jose</t>
  </si>
  <si>
    <t>Ollie</t>
  </si>
  <si>
    <t>Zimmerman</t>
  </si>
  <si>
    <t>(657) 648-2863</t>
  </si>
  <si>
    <t>ollie.zimmerman@yahoo.com</t>
  </si>
  <si>
    <t xml:space="preserve">69 Wood Rd. </t>
  </si>
  <si>
    <t>Anaheim</t>
  </si>
  <si>
    <t>Shila</t>
  </si>
  <si>
    <t>White</t>
  </si>
  <si>
    <t>shila.white@msn.com</t>
  </si>
  <si>
    <t xml:space="preserve">94 Lakeshore Street </t>
  </si>
  <si>
    <t>Yuk</t>
  </si>
  <si>
    <t>yuk.vega@yahoo.com</t>
  </si>
  <si>
    <t xml:space="preserve">413 Wood St. </t>
  </si>
  <si>
    <t>West Hempstead</t>
  </si>
  <si>
    <t>Eliana</t>
  </si>
  <si>
    <t>Silva</t>
  </si>
  <si>
    <t>eliana.silva@gmail.com</t>
  </si>
  <si>
    <t xml:space="preserve">7119 Summer Rd. </t>
  </si>
  <si>
    <t>Thalia</t>
  </si>
  <si>
    <t>Horne</t>
  </si>
  <si>
    <t>thalia.horne@yahoo.com</t>
  </si>
  <si>
    <t xml:space="preserve">9312 Harvard Street </t>
  </si>
  <si>
    <t>Rey</t>
  </si>
  <si>
    <t>Lindsay</t>
  </si>
  <si>
    <t>rey.lindsay@gmail.com</t>
  </si>
  <si>
    <t xml:space="preserve">16 Philmont St. </t>
  </si>
  <si>
    <t>Merlene</t>
  </si>
  <si>
    <t>Vinson</t>
  </si>
  <si>
    <t>merlene.vinson@gmail.com</t>
  </si>
  <si>
    <t xml:space="preserve">431 Vine Dr. </t>
  </si>
  <si>
    <t>Euless</t>
  </si>
  <si>
    <t>Dacia</t>
  </si>
  <si>
    <t>William</t>
  </si>
  <si>
    <t>dacia.william@msn.com</t>
  </si>
  <si>
    <t xml:space="preserve">62 Cypress Drive </t>
  </si>
  <si>
    <t>Le</t>
  </si>
  <si>
    <t>Wood</t>
  </si>
  <si>
    <t>le.wood@yahoo.com</t>
  </si>
  <si>
    <t xml:space="preserve">90 Primrose Dr. </t>
  </si>
  <si>
    <t>Pittsford</t>
  </si>
  <si>
    <t>Dillard</t>
  </si>
  <si>
    <t>thalia.dillard@yahoo.com</t>
  </si>
  <si>
    <t xml:space="preserve">987 NE. Gates Street </t>
  </si>
  <si>
    <t>Luz</t>
  </si>
  <si>
    <t>House</t>
  </si>
  <si>
    <t>(559) 114-2580</t>
  </si>
  <si>
    <t>luz.house@gmail.com</t>
  </si>
  <si>
    <t xml:space="preserve">491 Railroad Street </t>
  </si>
  <si>
    <t>Fresno</t>
  </si>
  <si>
    <t>Lucy</t>
  </si>
  <si>
    <t>Woods</t>
  </si>
  <si>
    <t>lucy.woods@gmail.com</t>
  </si>
  <si>
    <t xml:space="preserve">8437 West Rockaway St. </t>
  </si>
  <si>
    <t>Shena</t>
  </si>
  <si>
    <t>shena.carter@yahoo.com</t>
  </si>
  <si>
    <t xml:space="preserve">72 University Road </t>
  </si>
  <si>
    <t>Howard Beach</t>
  </si>
  <si>
    <t>Robena</t>
  </si>
  <si>
    <t>Hill</t>
  </si>
  <si>
    <t>(361) 598-4414</t>
  </si>
  <si>
    <t>robena.hill@hotmail.com</t>
  </si>
  <si>
    <t xml:space="preserve">263 Cross St. </t>
  </si>
  <si>
    <t>Corpus Christi</t>
  </si>
  <si>
    <t>Jeni</t>
  </si>
  <si>
    <t>Booker</t>
  </si>
  <si>
    <t>jeni.booker@gmail.com</t>
  </si>
  <si>
    <t xml:space="preserve">546 Railroad Dr. </t>
  </si>
  <si>
    <t>Herlinda</t>
  </si>
  <si>
    <t>Stone</t>
  </si>
  <si>
    <t>herlinda.stone@msn.com</t>
  </si>
  <si>
    <t xml:space="preserve">725 Gulf St. </t>
  </si>
  <si>
    <t>Lavina</t>
  </si>
  <si>
    <t>Dejesus</t>
  </si>
  <si>
    <t>lavina.dejesus@msn.com</t>
  </si>
  <si>
    <t xml:space="preserve">59 E. Valley Avenue </t>
  </si>
  <si>
    <t>Newburgh</t>
  </si>
  <si>
    <t>Erlinda</t>
  </si>
  <si>
    <t>Nielsen</t>
  </si>
  <si>
    <t>erlinda.nielsen@aol.com</t>
  </si>
  <si>
    <t xml:space="preserve">728 Oxford Lane </t>
  </si>
  <si>
    <t>Terrance</t>
  </si>
  <si>
    <t>Lynn</t>
  </si>
  <si>
    <t>terrance.lynn@yahoo.com</t>
  </si>
  <si>
    <t xml:space="preserve">91 East Buckingham Drive </t>
  </si>
  <si>
    <t>Walton</t>
  </si>
  <si>
    <t>walton.dejesus@yahoo.com</t>
  </si>
  <si>
    <t xml:space="preserve">15 Washington Rd. </t>
  </si>
  <si>
    <t>Lockport</t>
  </si>
  <si>
    <t>Wes</t>
  </si>
  <si>
    <t>Stanton</t>
  </si>
  <si>
    <t>(248) 247-5074</t>
  </si>
  <si>
    <t>wes.stanton@msn.com</t>
  </si>
  <si>
    <t xml:space="preserve">8662 Tunnel Street </t>
  </si>
  <si>
    <t>Tanesha</t>
  </si>
  <si>
    <t>Hampton</t>
  </si>
  <si>
    <t>tanesha.hampton@hotmail.com</t>
  </si>
  <si>
    <t xml:space="preserve">19 Belmont Ave. </t>
  </si>
  <si>
    <t>Boyd</t>
  </si>
  <si>
    <t>Irwin</t>
  </si>
  <si>
    <t>boyd.irwin@hotmail.com</t>
  </si>
  <si>
    <t xml:space="preserve">221 Whitemarsh St. </t>
  </si>
  <si>
    <t>Hamburg</t>
  </si>
  <si>
    <t>Delbert</t>
  </si>
  <si>
    <t>Wilkins</t>
  </si>
  <si>
    <t>delbert.wilkins@aol.com</t>
  </si>
  <si>
    <t xml:space="preserve">420 Greenview St. </t>
  </si>
  <si>
    <t>Coram</t>
  </si>
  <si>
    <t>Brianna</t>
  </si>
  <si>
    <t>Moss</t>
  </si>
  <si>
    <t>(516) 156-8031</t>
  </si>
  <si>
    <t>brianna.moss@msn.com</t>
  </si>
  <si>
    <t xml:space="preserve">4 Longfellow St. </t>
  </si>
  <si>
    <t>Dorthey</t>
  </si>
  <si>
    <t>(281) 926-8010</t>
  </si>
  <si>
    <t>dorthey.jackson@msn.com</t>
  </si>
  <si>
    <t xml:space="preserve">9768 Brookside St. </t>
  </si>
  <si>
    <t>Sarita</t>
  </si>
  <si>
    <t>sarita.parks@msn.com</t>
  </si>
  <si>
    <t xml:space="preserve">7809 Second Lane </t>
  </si>
  <si>
    <t>Shonta</t>
  </si>
  <si>
    <t>Mercer</t>
  </si>
  <si>
    <t>shonta.mercer@aol.com</t>
  </si>
  <si>
    <t xml:space="preserve">319 NE. La Sierra Avenue </t>
  </si>
  <si>
    <t>Massapequa</t>
  </si>
  <si>
    <t>Jone</t>
  </si>
  <si>
    <t>Bernard</t>
  </si>
  <si>
    <t>(657) 536-5165</t>
  </si>
  <si>
    <t>jone.bernard@hotmail.com</t>
  </si>
  <si>
    <t xml:space="preserve">99 Longbranch Court </t>
  </si>
  <si>
    <t>Wanita</t>
  </si>
  <si>
    <t>Davenport</t>
  </si>
  <si>
    <t>wanita.davenport@aol.com</t>
  </si>
  <si>
    <t xml:space="preserve">525 Dogwood Ave. </t>
  </si>
  <si>
    <t>Spring Valley</t>
  </si>
  <si>
    <t>Cleopatra</t>
  </si>
  <si>
    <t>Tate</t>
  </si>
  <si>
    <t>cleopatra.tate@aol.com</t>
  </si>
  <si>
    <t xml:space="preserve">97 N. Glenwood St. </t>
  </si>
  <si>
    <t>Ramiro</t>
  </si>
  <si>
    <t>Byers</t>
  </si>
  <si>
    <t>ramiro.byers@gmail.com</t>
  </si>
  <si>
    <t xml:space="preserve">16 Pleasant St. </t>
  </si>
  <si>
    <t>Saint Albans</t>
  </si>
  <si>
    <t>Nicholas</t>
  </si>
  <si>
    <t>Vazquez</t>
  </si>
  <si>
    <t>nicholas.vazquez@hotmail.com</t>
  </si>
  <si>
    <t xml:space="preserve">9 Roosevelt Street </t>
  </si>
  <si>
    <t>Janae</t>
  </si>
  <si>
    <t>Doyle</t>
  </si>
  <si>
    <t>janae.doyle@gmail.com</t>
  </si>
  <si>
    <t xml:space="preserve">760 Rose Ave. </t>
  </si>
  <si>
    <t>Hans</t>
  </si>
  <si>
    <t>Price</t>
  </si>
  <si>
    <t>hans.price@hotmail.com</t>
  </si>
  <si>
    <t xml:space="preserve">51 Glendale Road </t>
  </si>
  <si>
    <t>Port Chester</t>
  </si>
  <si>
    <t>Miquel</t>
  </si>
  <si>
    <t>Neal</t>
  </si>
  <si>
    <t>miquel.neal@hotmail.com</t>
  </si>
  <si>
    <t xml:space="preserve">9564 Deerfield Lane </t>
  </si>
  <si>
    <t>Staten Island</t>
  </si>
  <si>
    <t>Stefany</t>
  </si>
  <si>
    <t>Potter</t>
  </si>
  <si>
    <t>stefany.potter@gmail.com</t>
  </si>
  <si>
    <t xml:space="preserve">256 South Academy St. </t>
  </si>
  <si>
    <t>Bernetta</t>
  </si>
  <si>
    <t>Marquez</t>
  </si>
  <si>
    <t>bernetta.marquez@hotmail.com</t>
  </si>
  <si>
    <t xml:space="preserve">626 E. Dunbar Street </t>
  </si>
  <si>
    <t>Smithtown</t>
  </si>
  <si>
    <t>Julee</t>
  </si>
  <si>
    <t>Woodard</t>
  </si>
  <si>
    <t>julee.woodard@yahoo.com</t>
  </si>
  <si>
    <t xml:space="preserve">869 Summerhouse Dr. </t>
  </si>
  <si>
    <t>Meredith</t>
  </si>
  <si>
    <t>Bryan</t>
  </si>
  <si>
    <t>meredith.bryan@hotmail.com</t>
  </si>
  <si>
    <t xml:space="preserve">8935 E. Oxford St. </t>
  </si>
  <si>
    <t>Weldon</t>
  </si>
  <si>
    <t>Michael</t>
  </si>
  <si>
    <t>weldon.michael@hotmail.com</t>
  </si>
  <si>
    <t xml:space="preserve">9952 Nut Swamp St. </t>
  </si>
  <si>
    <t>Huntington</t>
  </si>
  <si>
    <t>Joesph</t>
  </si>
  <si>
    <t>Delacruz</t>
  </si>
  <si>
    <t>joesph.delacruz@aol.com</t>
  </si>
  <si>
    <t xml:space="preserve">184 Cypress Street </t>
  </si>
  <si>
    <t>Katherina</t>
  </si>
  <si>
    <t>Odom</t>
  </si>
  <si>
    <t>katherina.odom@yahoo.com</t>
  </si>
  <si>
    <t xml:space="preserve">897 N. Oak Drive </t>
  </si>
  <si>
    <t>Plainview</t>
  </si>
  <si>
    <t>Laraine</t>
  </si>
  <si>
    <t>Robbins</t>
  </si>
  <si>
    <t>laraine.robbins@yahoo.com</t>
  </si>
  <si>
    <t xml:space="preserve">8214 E. Pin Oak Lane </t>
  </si>
  <si>
    <t>Jenise</t>
  </si>
  <si>
    <t>Preston</t>
  </si>
  <si>
    <t>jenise.preston@yahoo.com</t>
  </si>
  <si>
    <t xml:space="preserve">9 Littleton Drive </t>
  </si>
  <si>
    <t>Helotes</t>
  </si>
  <si>
    <t>Lory</t>
  </si>
  <si>
    <t>Page</t>
  </si>
  <si>
    <t>lory.page@hotmail.com</t>
  </si>
  <si>
    <t xml:space="preserve">58 Summerhouse Street </t>
  </si>
  <si>
    <t>Bay Shore</t>
  </si>
  <si>
    <t>Charlyn</t>
  </si>
  <si>
    <t>Cantrell</t>
  </si>
  <si>
    <t>charlyn.cantrell@yahoo.com</t>
  </si>
  <si>
    <t xml:space="preserve">8756 Euclid St. </t>
  </si>
  <si>
    <t>West Islip</t>
  </si>
  <si>
    <t>Carola</t>
  </si>
  <si>
    <t>Rodriquez</t>
  </si>
  <si>
    <t>carola.rodriquez@hotmail.com</t>
  </si>
  <si>
    <t xml:space="preserve">9433 Heritage Lane </t>
  </si>
  <si>
    <t>Banning</t>
  </si>
  <si>
    <t>Alane</t>
  </si>
  <si>
    <t>alane.kennedy@yahoo.com</t>
  </si>
  <si>
    <t xml:space="preserve">34 Green Lake Street </t>
  </si>
  <si>
    <t>Regina</t>
  </si>
  <si>
    <t>Burns</t>
  </si>
  <si>
    <t>regina.burns@aol.com</t>
  </si>
  <si>
    <t xml:space="preserve">713 Buckingham St. </t>
  </si>
  <si>
    <t>Omer</t>
  </si>
  <si>
    <t>Estrada</t>
  </si>
  <si>
    <t>omer.estrada@gmail.com</t>
  </si>
  <si>
    <t xml:space="preserve">9 Honey Creek Street </t>
  </si>
  <si>
    <t>Crystle</t>
  </si>
  <si>
    <t>Gilliam</t>
  </si>
  <si>
    <t>crystle.gilliam@yahoo.com</t>
  </si>
  <si>
    <t xml:space="preserve">86 Edgewater Road </t>
  </si>
  <si>
    <t>Kam</t>
  </si>
  <si>
    <t>Wilder</t>
  </si>
  <si>
    <t>kam.wilder@hotmail.com</t>
  </si>
  <si>
    <t xml:space="preserve">500 West Clay Ave. </t>
  </si>
  <si>
    <t>Margert</t>
  </si>
  <si>
    <t>Stevens</t>
  </si>
  <si>
    <t>margert.stevens@aol.com</t>
  </si>
  <si>
    <t xml:space="preserve">502 North Poplar St. </t>
  </si>
  <si>
    <t>Tomika</t>
  </si>
  <si>
    <t>Larson</t>
  </si>
  <si>
    <t>tomika.larson@yahoo.com</t>
  </si>
  <si>
    <t xml:space="preserve">254 Canal St. </t>
  </si>
  <si>
    <t>Woodside</t>
  </si>
  <si>
    <t>Jeromy</t>
  </si>
  <si>
    <t>Burch</t>
  </si>
  <si>
    <t>(408) 955-8238</t>
  </si>
  <si>
    <t>jeromy.burch@msn.com</t>
  </si>
  <si>
    <t xml:space="preserve">889 Mulberry Street </t>
  </si>
  <si>
    <t>Lena</t>
  </si>
  <si>
    <t>Mills</t>
  </si>
  <si>
    <t>lena.mills@yahoo.com</t>
  </si>
  <si>
    <t xml:space="preserve">42 Homestead St. </t>
  </si>
  <si>
    <t>Loreta</t>
  </si>
  <si>
    <t>Johnston</t>
  </si>
  <si>
    <t>loreta.johnston@yahoo.com</t>
  </si>
  <si>
    <t xml:space="preserve">39 Lafayette Dr. </t>
  </si>
  <si>
    <t>Nettie</t>
  </si>
  <si>
    <t>nettie.mcdaniel@hotmail.com</t>
  </si>
  <si>
    <t xml:space="preserve">7004 E. Wakehurst St. </t>
  </si>
  <si>
    <t>South Ozone Park</t>
  </si>
  <si>
    <t>Karla</t>
  </si>
  <si>
    <t>Kirk</t>
  </si>
  <si>
    <t>karla.kirk@yahoo.com</t>
  </si>
  <si>
    <t xml:space="preserve">9718 Harvard Rd. </t>
  </si>
  <si>
    <t>Regine</t>
  </si>
  <si>
    <t>Gonzales</t>
  </si>
  <si>
    <t>(805) 763-4045</t>
  </si>
  <si>
    <t>regine.gonzales@gmail.com</t>
  </si>
  <si>
    <t xml:space="preserve">798 Court Drive </t>
  </si>
  <si>
    <t>Oxnard</t>
  </si>
  <si>
    <t>Miriam</t>
  </si>
  <si>
    <t>Baker</t>
  </si>
  <si>
    <t>miriam.baker@hotmail.com</t>
  </si>
  <si>
    <t xml:space="preserve">90 Studebaker St. </t>
  </si>
  <si>
    <t>Jeanie</t>
  </si>
  <si>
    <t>jeanie.kirkland@aol.com</t>
  </si>
  <si>
    <t xml:space="preserve">7643 Old Theatre St. </t>
  </si>
  <si>
    <t>Santa Clara</t>
  </si>
  <si>
    <t>Marquerite</t>
  </si>
  <si>
    <t>Dawson</t>
  </si>
  <si>
    <t>marquerite.dawson@gmail.com</t>
  </si>
  <si>
    <t xml:space="preserve">37 Hamilton Court </t>
  </si>
  <si>
    <t>Babara</t>
  </si>
  <si>
    <t>Ochoa</t>
  </si>
  <si>
    <t>babara.ochoa@aol.com</t>
  </si>
  <si>
    <t xml:space="preserve">872 Smith Store St. </t>
  </si>
  <si>
    <t>Nova</t>
  </si>
  <si>
    <t>Hess</t>
  </si>
  <si>
    <t>nova.hess@msn.com</t>
  </si>
  <si>
    <t xml:space="preserve">773 South Lafayette St. </t>
  </si>
  <si>
    <t>Carley</t>
  </si>
  <si>
    <t>Reynolds</t>
  </si>
  <si>
    <t>carley.reynolds@gmail.com</t>
  </si>
  <si>
    <t xml:space="preserve">2 Snake Hill Drive </t>
  </si>
  <si>
    <t>Carissa</t>
  </si>
  <si>
    <t>Foreman</t>
  </si>
  <si>
    <t>carissa.foreman@msn.com</t>
  </si>
  <si>
    <t xml:space="preserve">69C N. Ridge Rd. </t>
  </si>
  <si>
    <t>Tyler</t>
  </si>
  <si>
    <t>(212) 152-6381</t>
  </si>
  <si>
    <t>genoveva.tyler@gmail.com</t>
  </si>
  <si>
    <t xml:space="preserve">8121 Windfall Ave. </t>
  </si>
  <si>
    <t>Deane</t>
  </si>
  <si>
    <t>deane.sears@hotmail.com</t>
  </si>
  <si>
    <t xml:space="preserve">3 Bradford Court </t>
  </si>
  <si>
    <t>Karey</t>
  </si>
  <si>
    <t>Steele</t>
  </si>
  <si>
    <t>karey.steele@gmail.com</t>
  </si>
  <si>
    <t xml:space="preserve">8879 Kent Lane </t>
  </si>
  <si>
    <t>Olevia</t>
  </si>
  <si>
    <t>Pitts</t>
  </si>
  <si>
    <t>olevia.pitts@gmail.com</t>
  </si>
  <si>
    <t xml:space="preserve">39 Fieldstone Drive </t>
  </si>
  <si>
    <t>Jenniffer</t>
  </si>
  <si>
    <t>jenniffer.bullock@msn.com</t>
  </si>
  <si>
    <t xml:space="preserve">38 Oxford Avenue </t>
  </si>
  <si>
    <t>Jeniffer</t>
  </si>
  <si>
    <t>Ratliff</t>
  </si>
  <si>
    <t>jeniffer.ratliff@gmail.com</t>
  </si>
  <si>
    <t xml:space="preserve">510 Rocky River Court </t>
  </si>
  <si>
    <t>Klara</t>
  </si>
  <si>
    <t>klara.stanley@aol.com</t>
  </si>
  <si>
    <t xml:space="preserve">603 Mechanic St. </t>
  </si>
  <si>
    <t>Webster</t>
  </si>
  <si>
    <t>Morton</t>
  </si>
  <si>
    <t>Lee</t>
  </si>
  <si>
    <t>morton.lee@yahoo.com</t>
  </si>
  <si>
    <t xml:space="preserve">313 Ridge St. </t>
  </si>
  <si>
    <t>Ken</t>
  </si>
  <si>
    <t>Charles</t>
  </si>
  <si>
    <t>ken.charles@msn.com</t>
  </si>
  <si>
    <t xml:space="preserve">9124 W. Piper Lane </t>
  </si>
  <si>
    <t>Hedwig</t>
  </si>
  <si>
    <t>Paul</t>
  </si>
  <si>
    <t>hedwig.paul@msn.com</t>
  </si>
  <si>
    <t xml:space="preserve">422 Manor Ave. </t>
  </si>
  <si>
    <t>Apple Valley</t>
  </si>
  <si>
    <t>Sharla</t>
  </si>
  <si>
    <t>Flynn</t>
  </si>
  <si>
    <t>(805) 478-7724</t>
  </si>
  <si>
    <t>sharla.flynn@hotmail.com</t>
  </si>
  <si>
    <t xml:space="preserve">7 Brown Drive </t>
  </si>
  <si>
    <t>Damian</t>
  </si>
  <si>
    <t>damian.dawson@hotmail.com</t>
  </si>
  <si>
    <t xml:space="preserve">528 St Margarets Street </t>
  </si>
  <si>
    <t>Toya</t>
  </si>
  <si>
    <t>Pratt</t>
  </si>
  <si>
    <t>(562) 218-6405</t>
  </si>
  <si>
    <t>toya.pratt@yahoo.com</t>
  </si>
  <si>
    <t xml:space="preserve">485 San Pablo Drive </t>
  </si>
  <si>
    <t>Graciela</t>
  </si>
  <si>
    <t>Barber</t>
  </si>
  <si>
    <t>(805) 656-6987</t>
  </si>
  <si>
    <t>graciela.barber@hotmail.com</t>
  </si>
  <si>
    <t xml:space="preserve">1 E. Young St. </t>
  </si>
  <si>
    <t>Bong</t>
  </si>
  <si>
    <t>Hebert</t>
  </si>
  <si>
    <t>bong.hebert@gmail.com</t>
  </si>
  <si>
    <t xml:space="preserve">545 Brook St. </t>
  </si>
  <si>
    <t>Ayanna</t>
  </si>
  <si>
    <t>ayanna.rhodes@msn.com</t>
  </si>
  <si>
    <t xml:space="preserve">7425 Pheasant St. </t>
  </si>
  <si>
    <t>Hicksville</t>
  </si>
  <si>
    <t>Dorine</t>
  </si>
  <si>
    <t>Roberson</t>
  </si>
  <si>
    <t>dorine.roberson@msn.com</t>
  </si>
  <si>
    <t xml:space="preserve">396 Meadowbrook Lane </t>
  </si>
  <si>
    <t>Santa Cruz</t>
  </si>
  <si>
    <t>Addie</t>
  </si>
  <si>
    <t>Hahn</t>
  </si>
  <si>
    <t>addie.hahn@hotmail.com</t>
  </si>
  <si>
    <t xml:space="preserve">8165 Baker Ave. </t>
  </si>
  <si>
    <t>Edythe</t>
  </si>
  <si>
    <t>edythe.valencia@yahoo.com</t>
  </si>
  <si>
    <t xml:space="preserve">9346 Wall St. </t>
  </si>
  <si>
    <t>Andy</t>
  </si>
  <si>
    <t>O'neill</t>
  </si>
  <si>
    <t>andy.o'neill@msn.com</t>
  </si>
  <si>
    <t xml:space="preserve">9544 Mulberry Drive </t>
  </si>
  <si>
    <t>Rego Park</t>
  </si>
  <si>
    <t>Luis</t>
  </si>
  <si>
    <t>luis.tyler@gmail.com</t>
  </si>
  <si>
    <t xml:space="preserve">9568 Campfire Circle </t>
  </si>
  <si>
    <t>Amarillo</t>
  </si>
  <si>
    <t>Clelia</t>
  </si>
  <si>
    <t>Workman</t>
  </si>
  <si>
    <t>clelia.workman@yahoo.com</t>
  </si>
  <si>
    <t xml:space="preserve">620 North Somerset St. </t>
  </si>
  <si>
    <t>New Windsor</t>
  </si>
  <si>
    <t>Ashely</t>
  </si>
  <si>
    <t>Holmes</t>
  </si>
  <si>
    <t>ashely.holmes@aol.com</t>
  </si>
  <si>
    <t xml:space="preserve">45 High Ridge Ave. </t>
  </si>
  <si>
    <t>Candis</t>
  </si>
  <si>
    <t>Harding</t>
  </si>
  <si>
    <t>candis.harding@gmail.com</t>
  </si>
  <si>
    <t xml:space="preserve">33 NW. Cambridge Ave. </t>
  </si>
  <si>
    <t>Ballston Spa</t>
  </si>
  <si>
    <t>Marni</t>
  </si>
  <si>
    <t>Bolton</t>
  </si>
  <si>
    <t>(717) 670-6268</t>
  </si>
  <si>
    <t>marni.bolton@msn.com</t>
  </si>
  <si>
    <t xml:space="preserve">7469 Plymouth Ave. </t>
  </si>
  <si>
    <t>Minerva</t>
  </si>
  <si>
    <t>Decker</t>
  </si>
  <si>
    <t>(281) 271-6390</t>
  </si>
  <si>
    <t>minerva.decker@yahoo.com</t>
  </si>
  <si>
    <t xml:space="preserve">794 Greenrose Street </t>
  </si>
  <si>
    <t>Alpha</t>
  </si>
  <si>
    <t>King</t>
  </si>
  <si>
    <t>alpha.king@hotmail.com</t>
  </si>
  <si>
    <t xml:space="preserve">14 Henry Smith St. </t>
  </si>
  <si>
    <t>Harris</t>
  </si>
  <si>
    <t>Pittman</t>
  </si>
  <si>
    <t>harris.pittman@yahoo.com</t>
  </si>
  <si>
    <t xml:space="preserve">404 Cherry Hill Road </t>
  </si>
  <si>
    <t>Jamaica</t>
  </si>
  <si>
    <t>Stephaine</t>
  </si>
  <si>
    <t>Riddle</t>
  </si>
  <si>
    <t>stephaine.riddle@hotmail.com</t>
  </si>
  <si>
    <t xml:space="preserve">199 Vermont Court </t>
  </si>
  <si>
    <t>Brooklyn</t>
  </si>
  <si>
    <t>Michel</t>
  </si>
  <si>
    <t>Blankenship</t>
  </si>
  <si>
    <t>michel.blankenship@msn.com</t>
  </si>
  <si>
    <t xml:space="preserve">382 West Hill Dr. </t>
  </si>
  <si>
    <t>Denis</t>
  </si>
  <si>
    <t>denis.logan@msn.com</t>
  </si>
  <si>
    <t xml:space="preserve">121 Rockcrest Street </t>
  </si>
  <si>
    <t>Ridgecrest</t>
  </si>
  <si>
    <t>Jutta</t>
  </si>
  <si>
    <t>Everett</t>
  </si>
  <si>
    <t>jutta.everett@gmail.com</t>
  </si>
  <si>
    <t xml:space="preserve">27 Taylor Ave. </t>
  </si>
  <si>
    <t>Selden</t>
  </si>
  <si>
    <t>Priscilla</t>
  </si>
  <si>
    <t>(229) 322-2269</t>
  </si>
  <si>
    <t>priscilla.wilkins@aol.com</t>
  </si>
  <si>
    <t xml:space="preserve">653 Pawnee Rd. </t>
  </si>
  <si>
    <t>Albany</t>
  </si>
  <si>
    <t>Gilma</t>
  </si>
  <si>
    <t>gilma.dejesus@yahoo.com</t>
  </si>
  <si>
    <t xml:space="preserve">777 Thompson Ave. </t>
  </si>
  <si>
    <t>Buford</t>
  </si>
  <si>
    <t>(248) 604-7346</t>
  </si>
  <si>
    <t>buford.bridges@msn.com</t>
  </si>
  <si>
    <t xml:space="preserve">239 Oak Valley Court </t>
  </si>
  <si>
    <t>Elenore</t>
  </si>
  <si>
    <t>Hensley</t>
  </si>
  <si>
    <t>elenore.hensley@hotmail.com</t>
  </si>
  <si>
    <t xml:space="preserve">7037 Aspen St. </t>
  </si>
  <si>
    <t>Ross</t>
  </si>
  <si>
    <t>Pugh</t>
  </si>
  <si>
    <t>ross.pugh@msn.com</t>
  </si>
  <si>
    <t xml:space="preserve">8598 Saxon St. </t>
  </si>
  <si>
    <t>Judith</t>
  </si>
  <si>
    <t>Finley</t>
  </si>
  <si>
    <t>judith.finley@hotmail.com</t>
  </si>
  <si>
    <t xml:space="preserve">474 West Bank Road </t>
  </si>
  <si>
    <t>Whitestone</t>
  </si>
  <si>
    <t>Wai</t>
  </si>
  <si>
    <t>Soto</t>
  </si>
  <si>
    <t>wai.soto@msn.com</t>
  </si>
  <si>
    <t xml:space="preserve">30 Arch Drive </t>
  </si>
  <si>
    <t>Carline</t>
  </si>
  <si>
    <t>Collier</t>
  </si>
  <si>
    <t>(559) 810-6070</t>
  </si>
  <si>
    <t>carline.collier@msn.com</t>
  </si>
  <si>
    <t xml:space="preserve">28 Trenton Lane </t>
  </si>
  <si>
    <t>Gill</t>
  </si>
  <si>
    <t>casey.gill@gmail.com</t>
  </si>
  <si>
    <t xml:space="preserve">636 Prospect Avenue </t>
  </si>
  <si>
    <t>Darcie</t>
  </si>
  <si>
    <t>Morgan</t>
  </si>
  <si>
    <t>(442) 618-7068</t>
  </si>
  <si>
    <t>darcie.morgan@aol.com</t>
  </si>
  <si>
    <t xml:space="preserve">476 East Adams Ave. </t>
  </si>
  <si>
    <t>Oceanside</t>
  </si>
  <si>
    <t>Lucio</t>
  </si>
  <si>
    <t>Sherman</t>
  </si>
  <si>
    <t>lucio.sherman@gmail.com</t>
  </si>
  <si>
    <t xml:space="preserve">842 Corona Ave. </t>
  </si>
  <si>
    <t>Clementine</t>
  </si>
  <si>
    <t>Mooney</t>
  </si>
  <si>
    <t>clementine.mooney@yahoo.com</t>
  </si>
  <si>
    <t xml:space="preserve">678 Charles Court </t>
  </si>
  <si>
    <t>Mcallen</t>
  </si>
  <si>
    <t>Anya</t>
  </si>
  <si>
    <t>Contreras</t>
  </si>
  <si>
    <t>anya.contreras@msn.com</t>
  </si>
  <si>
    <t xml:space="preserve">38 Old Fairground St. </t>
  </si>
  <si>
    <t>Scarlet</t>
  </si>
  <si>
    <t>Yates</t>
  </si>
  <si>
    <t>scarlet.yates@hotmail.com</t>
  </si>
  <si>
    <t xml:space="preserve">687 Shirley St. </t>
  </si>
  <si>
    <t>Patchogue</t>
  </si>
  <si>
    <t>Moses</t>
  </si>
  <si>
    <t>Pope</t>
  </si>
  <si>
    <t>moses.pope@yahoo.com</t>
  </si>
  <si>
    <t xml:space="preserve">654 Theatre Street </t>
  </si>
  <si>
    <t>Lawndale</t>
  </si>
  <si>
    <t>Barbera</t>
  </si>
  <si>
    <t>Riggs</t>
  </si>
  <si>
    <t>barbera.riggs@aol.com</t>
  </si>
  <si>
    <t xml:space="preserve">12 Gartner Drive </t>
  </si>
  <si>
    <t>Kiana</t>
  </si>
  <si>
    <t>Rivera</t>
  </si>
  <si>
    <t>kiana.rivera@gmail.com</t>
  </si>
  <si>
    <t xml:space="preserve">9 Sheffield Dr. </t>
  </si>
  <si>
    <t>Danielle</t>
  </si>
  <si>
    <t>Bond</t>
  </si>
  <si>
    <t>danielle.bond@msn.com</t>
  </si>
  <si>
    <t xml:space="preserve">8589 Shub Farm Street </t>
  </si>
  <si>
    <t>Whitney</t>
  </si>
  <si>
    <t>Estes</t>
  </si>
  <si>
    <t>(631) 315-4020</t>
  </si>
  <si>
    <t>whitney.estes@gmail.com</t>
  </si>
  <si>
    <t xml:space="preserve">454 Bear Hill Street </t>
  </si>
  <si>
    <t>Brentwood</t>
  </si>
  <si>
    <t>Molly</t>
  </si>
  <si>
    <t>Langley</t>
  </si>
  <si>
    <t>molly.langley@aol.com</t>
  </si>
  <si>
    <t xml:space="preserve">63 Bridgeton Street </t>
  </si>
  <si>
    <t>Holbrook</t>
  </si>
  <si>
    <t>Chelsey</t>
  </si>
  <si>
    <t>chelsey.hardin@hotmail.com</t>
  </si>
  <si>
    <t xml:space="preserve">13 Brickyard Street </t>
  </si>
  <si>
    <t>Deer Park</t>
  </si>
  <si>
    <t>Jenee</t>
  </si>
  <si>
    <t>Rasmussen</t>
  </si>
  <si>
    <t>(916) 219-1774</t>
  </si>
  <si>
    <t>jenee.rasmussen@hotmail.com</t>
  </si>
  <si>
    <t xml:space="preserve">19 George Lane </t>
  </si>
  <si>
    <t>Freddie</t>
  </si>
  <si>
    <t>Mathis</t>
  </si>
  <si>
    <t>freddie.mathis@hotmail.com</t>
  </si>
  <si>
    <t xml:space="preserve">31 Shady St. </t>
  </si>
  <si>
    <t>Mariana</t>
  </si>
  <si>
    <t>Strong</t>
  </si>
  <si>
    <t>mariana.strong@msn.com</t>
  </si>
  <si>
    <t xml:space="preserve">972 Dunbar Dr. </t>
  </si>
  <si>
    <t>Winfred</t>
  </si>
  <si>
    <t>winfred.harris@msn.com</t>
  </si>
  <si>
    <t xml:space="preserve">734 Glen Eagles St. </t>
  </si>
  <si>
    <t>East Meadow</t>
  </si>
  <si>
    <t>Elliott</t>
  </si>
  <si>
    <t>jeromy.elliott@gmail.com</t>
  </si>
  <si>
    <t xml:space="preserve">7112 Laurel Street </t>
  </si>
  <si>
    <t>Verona</t>
  </si>
  <si>
    <t>verona.o'neill@hotmail.com</t>
  </si>
  <si>
    <t xml:space="preserve">8279 W. Sussex St. </t>
  </si>
  <si>
    <t>Elvera</t>
  </si>
  <si>
    <t>Peck</t>
  </si>
  <si>
    <t>elvera.peck@yahoo.com</t>
  </si>
  <si>
    <t xml:space="preserve">759 Lakewood Street </t>
  </si>
  <si>
    <t>Cindi</t>
  </si>
  <si>
    <t>cindi.larson@msn.com</t>
  </si>
  <si>
    <t xml:space="preserve">896 Golden Star Rd. </t>
  </si>
  <si>
    <t>Felice</t>
  </si>
  <si>
    <t>Guzman</t>
  </si>
  <si>
    <t>felice.guzman@hotmail.com</t>
  </si>
  <si>
    <t xml:space="preserve">7 Creekside Lane </t>
  </si>
  <si>
    <t>Canyon Country</t>
  </si>
  <si>
    <t>Deleon</t>
  </si>
  <si>
    <t>le.deleon@msn.com</t>
  </si>
  <si>
    <t xml:space="preserve">58 Clark Court </t>
  </si>
  <si>
    <t>Manie</t>
  </si>
  <si>
    <t>manie.sanchez@hotmail.com</t>
  </si>
  <si>
    <t xml:space="preserve">471 Illinois Ave. </t>
  </si>
  <si>
    <t>Rutha</t>
  </si>
  <si>
    <t>rutha.howell@gmail.com</t>
  </si>
  <si>
    <t xml:space="preserve">9247 Jones Street </t>
  </si>
  <si>
    <t>Natosha</t>
  </si>
  <si>
    <t>Rowland</t>
  </si>
  <si>
    <t>natosha.rowland@aol.com</t>
  </si>
  <si>
    <t xml:space="preserve">51 Elmwood St. </t>
  </si>
  <si>
    <t>Jessika</t>
  </si>
  <si>
    <t>Bray</t>
  </si>
  <si>
    <t>jessika.bray@yahoo.com</t>
  </si>
  <si>
    <t xml:space="preserve">37 East Greystone St. </t>
  </si>
  <si>
    <t>San Pablo</t>
  </si>
  <si>
    <t>Delila</t>
  </si>
  <si>
    <t>Hamilton</t>
  </si>
  <si>
    <t>delila.hamilton@yahoo.com</t>
  </si>
  <si>
    <t xml:space="preserve">7451 East James Ave. </t>
  </si>
  <si>
    <t>Dionne</t>
  </si>
  <si>
    <t>dionne.norris@yahoo.com</t>
  </si>
  <si>
    <t xml:space="preserve">9993 Greenview Circle </t>
  </si>
  <si>
    <t>Niagara Falls</t>
  </si>
  <si>
    <t>Muriel</t>
  </si>
  <si>
    <t>Juarez</t>
  </si>
  <si>
    <t>muriel.juarez@gmail.com</t>
  </si>
  <si>
    <t xml:space="preserve">8073 Cemetery Drive </t>
  </si>
  <si>
    <t>Cecelia</t>
  </si>
  <si>
    <t>cecelia.gill@aol.com</t>
  </si>
  <si>
    <t xml:space="preserve">372 Silver Spear Dr. </t>
  </si>
  <si>
    <t>Magda</t>
  </si>
  <si>
    <t>Eaton</t>
  </si>
  <si>
    <t>magda.eaton@aol.com</t>
  </si>
  <si>
    <t xml:space="preserve">860 Middle River Street </t>
  </si>
  <si>
    <t>Ivonne</t>
  </si>
  <si>
    <t>(915) 181-1950</t>
  </si>
  <si>
    <t>ivonne.yang@gmail.com</t>
  </si>
  <si>
    <t xml:space="preserve">7359 North Lake View St. </t>
  </si>
  <si>
    <t>El Paso</t>
  </si>
  <si>
    <t>Kasie</t>
  </si>
  <si>
    <t>kasie.rodriquez@aol.com</t>
  </si>
  <si>
    <t xml:space="preserve">7 North Beech St. </t>
  </si>
  <si>
    <t>Eleni</t>
  </si>
  <si>
    <t>Gordon</t>
  </si>
  <si>
    <t>eleni.gordon@hotmail.com</t>
  </si>
  <si>
    <t xml:space="preserve">583 W. San Carlos Street </t>
  </si>
  <si>
    <t>Maurice</t>
  </si>
  <si>
    <t>Norton</t>
  </si>
  <si>
    <t>maurice.norton@hotmail.com</t>
  </si>
  <si>
    <t xml:space="preserve">32 Mayflower Dr. </t>
  </si>
  <si>
    <t>Cristobal</t>
  </si>
  <si>
    <t>Hutchinson</t>
  </si>
  <si>
    <t>cristobal.hutchinson@gmail.com</t>
  </si>
  <si>
    <t xml:space="preserve">58 Washington Avenue </t>
  </si>
  <si>
    <t>Flossie</t>
  </si>
  <si>
    <t>Holder</t>
  </si>
  <si>
    <t>flossie.holder@msn.com</t>
  </si>
  <si>
    <t xml:space="preserve">8459 W. Newport Court </t>
  </si>
  <si>
    <t>Massapequa Park</t>
  </si>
  <si>
    <t>Erma</t>
  </si>
  <si>
    <t>Salinas</t>
  </si>
  <si>
    <t>erma.salinas@gmail.com</t>
  </si>
  <si>
    <t xml:space="preserve">347 Sheffield St. </t>
  </si>
  <si>
    <t>Earl</t>
  </si>
  <si>
    <t>earl.stanley@gmail.com</t>
  </si>
  <si>
    <t xml:space="preserve">569 Lake Lane </t>
  </si>
  <si>
    <t>Maribel</t>
  </si>
  <si>
    <t>maribel.william@aol.com</t>
  </si>
  <si>
    <t xml:space="preserve">65 Magnolia Ave. </t>
  </si>
  <si>
    <t>Johnathan</t>
  </si>
  <si>
    <t>Velazquez</t>
  </si>
  <si>
    <t>johnathan.velazquez@hotmail.com</t>
  </si>
  <si>
    <t xml:space="preserve">9680 E. Somerset Street </t>
  </si>
  <si>
    <t>Pleasanton</t>
  </si>
  <si>
    <t>Rodrick</t>
  </si>
  <si>
    <t>Shelton</t>
  </si>
  <si>
    <t>rodrick.shelton@hotmail.com</t>
  </si>
  <si>
    <t xml:space="preserve">7157 Addison Street </t>
  </si>
  <si>
    <t>Ferne</t>
  </si>
  <si>
    <t>Kline</t>
  </si>
  <si>
    <t>ferne.kline@hotmail.com</t>
  </si>
  <si>
    <t xml:space="preserve">303 Shady St. </t>
  </si>
  <si>
    <t>Rubin</t>
  </si>
  <si>
    <t>(716) 950-9835</t>
  </si>
  <si>
    <t>rubin.decker@gmail.com</t>
  </si>
  <si>
    <t xml:space="preserve">9875 Shady Ave. </t>
  </si>
  <si>
    <t>Dortha</t>
  </si>
  <si>
    <t>Jarvis</t>
  </si>
  <si>
    <t>(442) 919-8256</t>
  </si>
  <si>
    <t>dortha.jarvis@yahoo.com</t>
  </si>
  <si>
    <t xml:space="preserve">76 Prince Drive </t>
  </si>
  <si>
    <t>Mariela</t>
  </si>
  <si>
    <t>Huffman</t>
  </si>
  <si>
    <t>mariela.huffman@gmail.com</t>
  </si>
  <si>
    <t xml:space="preserve">531 Fieldstone Road </t>
  </si>
  <si>
    <t>Garden City</t>
  </si>
  <si>
    <t>Mellisa</t>
  </si>
  <si>
    <t>Farley</t>
  </si>
  <si>
    <t>mellisa.farley@yahoo.com</t>
  </si>
  <si>
    <t xml:space="preserve">21 West Princess St. </t>
  </si>
  <si>
    <t>Myung</t>
  </si>
  <si>
    <t>Hooper</t>
  </si>
  <si>
    <t>myung.hooper@gmail.com</t>
  </si>
  <si>
    <t xml:space="preserve">951 Mill Road </t>
  </si>
  <si>
    <t>Angelina</t>
  </si>
  <si>
    <t>Lloyd</t>
  </si>
  <si>
    <t>angelina.lloyd@yahoo.com</t>
  </si>
  <si>
    <t xml:space="preserve">9593 North Sherman Dr. </t>
  </si>
  <si>
    <t>Trinity</t>
  </si>
  <si>
    <t>trinity.riddle@aol.com</t>
  </si>
  <si>
    <t xml:space="preserve">23 Oakland Lane </t>
  </si>
  <si>
    <t>Barton</t>
  </si>
  <si>
    <t>Crosby</t>
  </si>
  <si>
    <t>barton.crosby@msn.com</t>
  </si>
  <si>
    <t xml:space="preserve">896 Edgewater St. </t>
  </si>
  <si>
    <t>Bellmore</t>
  </si>
  <si>
    <t>Claudio</t>
  </si>
  <si>
    <t>Wise</t>
  </si>
  <si>
    <t>claudio.wise@hotmail.com</t>
  </si>
  <si>
    <t xml:space="preserve">810 Oxford Ave. </t>
  </si>
  <si>
    <t>Kingston</t>
  </si>
  <si>
    <t>Katheleen</t>
  </si>
  <si>
    <t>Marks</t>
  </si>
  <si>
    <t>katheleen.marks@yahoo.com</t>
  </si>
  <si>
    <t xml:space="preserve">69 North Tower St. </t>
  </si>
  <si>
    <t>Deja</t>
  </si>
  <si>
    <t>Chaney</t>
  </si>
  <si>
    <t>deja.chaney@hotmail.com</t>
  </si>
  <si>
    <t xml:space="preserve">52 Woodside Ave. </t>
  </si>
  <si>
    <t>Queenie</t>
  </si>
  <si>
    <t>Vance</t>
  </si>
  <si>
    <t>queenie.vance@gmail.com</t>
  </si>
  <si>
    <t xml:space="preserve">172 Arcadia Ave. </t>
  </si>
  <si>
    <t>Ozone Park</t>
  </si>
  <si>
    <t>Josh</t>
  </si>
  <si>
    <t>Shaw</t>
  </si>
  <si>
    <t>josh.shaw@gmail.com</t>
  </si>
  <si>
    <t xml:space="preserve">212 North Leeton Ridge Street </t>
  </si>
  <si>
    <t>Hopewell Junction</t>
  </si>
  <si>
    <t>Pinkie</t>
  </si>
  <si>
    <t>pinkie.kirkland@yahoo.com</t>
  </si>
  <si>
    <t xml:space="preserve">18 Myers St. </t>
  </si>
  <si>
    <t>Lavette</t>
  </si>
  <si>
    <t>Wright</t>
  </si>
  <si>
    <t>lavette.wright@msn.com</t>
  </si>
  <si>
    <t xml:space="preserve">6 Windsor Street </t>
  </si>
  <si>
    <t>Ronkonkoma</t>
  </si>
  <si>
    <t>Mark</t>
  </si>
  <si>
    <t>Garrett</t>
  </si>
  <si>
    <t>mark.garrett@msn.com</t>
  </si>
  <si>
    <t xml:space="preserve">285 Rosewood Dr. </t>
  </si>
  <si>
    <t>Myesha</t>
  </si>
  <si>
    <t>Burgess</t>
  </si>
  <si>
    <t>myesha.burgess@gmail.com</t>
  </si>
  <si>
    <t xml:space="preserve">306 Trenton Rd. </t>
  </si>
  <si>
    <t>Justina</t>
  </si>
  <si>
    <t>Long</t>
  </si>
  <si>
    <t>justina.long@aol.com</t>
  </si>
  <si>
    <t xml:space="preserve">39 Littleton Ave. </t>
  </si>
  <si>
    <t>Brenda</t>
  </si>
  <si>
    <t>brenda.tate@msn.com</t>
  </si>
  <si>
    <t xml:space="preserve">36 Hilltop Street </t>
  </si>
  <si>
    <t>Rayna</t>
  </si>
  <si>
    <t>Perry</t>
  </si>
  <si>
    <t>rayna.perry@hotmail.com</t>
  </si>
  <si>
    <t xml:space="preserve">7238 Oakland St. </t>
  </si>
  <si>
    <t>Randolph</t>
  </si>
  <si>
    <t>Chase</t>
  </si>
  <si>
    <t>randolph.chase@yahoo.com</t>
  </si>
  <si>
    <t xml:space="preserve">828 Bridle Ave. </t>
  </si>
  <si>
    <t>Jaimee</t>
  </si>
  <si>
    <t>Day</t>
  </si>
  <si>
    <t>jaimee.day@aol.com</t>
  </si>
  <si>
    <t xml:space="preserve">7534 Whitemarsh Ave. </t>
  </si>
  <si>
    <t>Poughkeepsie</t>
  </si>
  <si>
    <t>Susann</t>
  </si>
  <si>
    <t>Bass</t>
  </si>
  <si>
    <t>susann.bass@msn.com</t>
  </si>
  <si>
    <t xml:space="preserve">21 Old Rock Maple Ave. </t>
  </si>
  <si>
    <t>Leola</t>
  </si>
  <si>
    <t>Gould</t>
  </si>
  <si>
    <t>leola.gould@gmail.com</t>
  </si>
  <si>
    <t xml:space="preserve">8 Kirkland St. </t>
  </si>
  <si>
    <t>Virgil</t>
  </si>
  <si>
    <t>virgil.frost@gmail.com</t>
  </si>
  <si>
    <t xml:space="preserve">9798 Beacon St. </t>
  </si>
  <si>
    <t>Levittown</t>
  </si>
  <si>
    <t>Mireille</t>
  </si>
  <si>
    <t>Puckett</t>
  </si>
  <si>
    <t>(805) 961-9909</t>
  </si>
  <si>
    <t>mireille.puckett@hotmail.com</t>
  </si>
  <si>
    <t xml:space="preserve">378 Purple Finch Drive </t>
  </si>
  <si>
    <t>Keturah</t>
  </si>
  <si>
    <t>Massey</t>
  </si>
  <si>
    <t>keturah.massey@msn.com</t>
  </si>
  <si>
    <t xml:space="preserve">189 Arnold Drive </t>
  </si>
  <si>
    <t>Charmain</t>
  </si>
  <si>
    <t>charmain.webster@hotmail.com</t>
  </si>
  <si>
    <t xml:space="preserve">36 East Stonybrook Rd. </t>
  </si>
  <si>
    <t>Barry</t>
  </si>
  <si>
    <t>Buckner</t>
  </si>
  <si>
    <t>barry.buckner@gmail.com</t>
  </si>
  <si>
    <t xml:space="preserve">8779 High Noon Rd. </t>
  </si>
  <si>
    <t>Centereach</t>
  </si>
  <si>
    <t>Boyce</t>
  </si>
  <si>
    <t>boyce.burks@gmail.com</t>
  </si>
  <si>
    <t xml:space="preserve">879 Harvey Dr. </t>
  </si>
  <si>
    <t>Monty</t>
  </si>
  <si>
    <t>(516) 460-5396</t>
  </si>
  <si>
    <t>monty.frost@aol.com</t>
  </si>
  <si>
    <t xml:space="preserve">76 Foxrun Dr. </t>
  </si>
  <si>
    <t>Tiny</t>
  </si>
  <si>
    <t>French</t>
  </si>
  <si>
    <t>tiny.french@hotmail.com</t>
  </si>
  <si>
    <t xml:space="preserve">7163 Hall St. </t>
  </si>
  <si>
    <t>Clementina</t>
  </si>
  <si>
    <t>Sargent</t>
  </si>
  <si>
    <t>clementina.sargent@hotmail.com</t>
  </si>
  <si>
    <t xml:space="preserve">9853 Catherine Road </t>
  </si>
  <si>
    <t>Danny</t>
  </si>
  <si>
    <t>Kim</t>
  </si>
  <si>
    <t>danny.kim@msn.com</t>
  </si>
  <si>
    <t xml:space="preserve">74 Essex Drive </t>
  </si>
  <si>
    <t>Sophia</t>
  </si>
  <si>
    <t>Mcmillan</t>
  </si>
  <si>
    <t>sophia.mcmillan@msn.com</t>
  </si>
  <si>
    <t xml:space="preserve">8541 S. Pleasant Street </t>
  </si>
  <si>
    <t>Christia</t>
  </si>
  <si>
    <t>christia.carson@gmail.com</t>
  </si>
  <si>
    <t xml:space="preserve">220 Orchard Street </t>
  </si>
  <si>
    <t>Jennie</t>
  </si>
  <si>
    <t>Middleton</t>
  </si>
  <si>
    <t>jennie.middleton@gmail.com</t>
  </si>
  <si>
    <t xml:space="preserve">95 High Noon Dr. </t>
  </si>
  <si>
    <t>Jame</t>
  </si>
  <si>
    <t>jame.riggs@hotmail.com</t>
  </si>
  <si>
    <t xml:space="preserve">9237 Hudson Drive </t>
  </si>
  <si>
    <t>Rayford</t>
  </si>
  <si>
    <t>Simon</t>
  </si>
  <si>
    <t>rayford.simon@msn.com</t>
  </si>
  <si>
    <t xml:space="preserve">998 Whitemarsh Road </t>
  </si>
  <si>
    <t>Mountain View</t>
  </si>
  <si>
    <t>Annett</t>
  </si>
  <si>
    <t>annett.garrett@yahoo.com</t>
  </si>
  <si>
    <t xml:space="preserve">19 Euclid Lane </t>
  </si>
  <si>
    <t>Hayden</t>
  </si>
  <si>
    <t>Cross</t>
  </si>
  <si>
    <t>hayden.cross@gmail.com</t>
  </si>
  <si>
    <t xml:space="preserve">90 Pumpkin Hill St. </t>
  </si>
  <si>
    <t>Rolanda</t>
  </si>
  <si>
    <t>rolanda.larsen@yahoo.com</t>
  </si>
  <si>
    <t xml:space="preserve">5 West University Court </t>
  </si>
  <si>
    <t>Jayme</t>
  </si>
  <si>
    <t>Zamora</t>
  </si>
  <si>
    <t>jayme.zamora@gmail.com</t>
  </si>
  <si>
    <t xml:space="preserve">2 Ridge Lane </t>
  </si>
  <si>
    <t>Springfield Gardens</t>
  </si>
  <si>
    <t>Hope</t>
  </si>
  <si>
    <t>Cotton</t>
  </si>
  <si>
    <t>hope.cotton@aol.com</t>
  </si>
  <si>
    <t xml:space="preserve">9092 Blue Spring Dr. </t>
  </si>
  <si>
    <t>Vikki</t>
  </si>
  <si>
    <t>Erickson</t>
  </si>
  <si>
    <t>vikki.erickson@yahoo.com</t>
  </si>
  <si>
    <t xml:space="preserve">24 Jones Street </t>
  </si>
  <si>
    <t>Fransisca</t>
  </si>
  <si>
    <t>Nicholson</t>
  </si>
  <si>
    <t>fransisca.nicholson@aol.com</t>
  </si>
  <si>
    <t xml:space="preserve">945 Schoolhouse Street </t>
  </si>
  <si>
    <t>Mazie</t>
  </si>
  <si>
    <t>Fernandez</t>
  </si>
  <si>
    <t>mazie.fernandez@hotmail.com</t>
  </si>
  <si>
    <t xml:space="preserve">583 Harvard Ave. </t>
  </si>
  <si>
    <t>Anderson</t>
  </si>
  <si>
    <t>anderson.martin@hotmail.com</t>
  </si>
  <si>
    <t xml:space="preserve">9051 Hillside Dr. </t>
  </si>
  <si>
    <t>Gilberto</t>
  </si>
  <si>
    <t>Parsons</t>
  </si>
  <si>
    <t>gilberto.parsons@gmail.com</t>
  </si>
  <si>
    <t xml:space="preserve">8115 North Edgewater Drive </t>
  </si>
  <si>
    <t>Middle Village</t>
  </si>
  <si>
    <t>Charise</t>
  </si>
  <si>
    <t>Burt</t>
  </si>
  <si>
    <t>(559) 888-2229</t>
  </si>
  <si>
    <t>charise.burt@aol.com</t>
  </si>
  <si>
    <t xml:space="preserve">582 Creek St. </t>
  </si>
  <si>
    <t>Cameron</t>
  </si>
  <si>
    <t>Carroll</t>
  </si>
  <si>
    <t>cameron.carroll@yahoo.com</t>
  </si>
  <si>
    <t xml:space="preserve">9133 South Halifax Ave. </t>
  </si>
  <si>
    <t>Melani</t>
  </si>
  <si>
    <t>melani.jarvis@hotmail.com</t>
  </si>
  <si>
    <t xml:space="preserve">8 Tunnel St. </t>
  </si>
  <si>
    <t>Javier</t>
  </si>
  <si>
    <t>Nichols</t>
  </si>
  <si>
    <t>javier.nichols@msn.com</t>
  </si>
  <si>
    <t xml:space="preserve">8944 Marconi St. </t>
  </si>
  <si>
    <t>Jenkins</t>
  </si>
  <si>
    <t>justina.jenkins@yahoo.com</t>
  </si>
  <si>
    <t xml:space="preserve">8236 Creek St. </t>
  </si>
  <si>
    <t>Hortencia</t>
  </si>
  <si>
    <t>Graham</t>
  </si>
  <si>
    <t>hortencia.graham@aol.com</t>
  </si>
  <si>
    <t xml:space="preserve">7764 Greenrose Street </t>
  </si>
  <si>
    <t>christia.wilkins@msn.com</t>
  </si>
  <si>
    <t xml:space="preserve">7062 Willow Court </t>
  </si>
  <si>
    <t>Eliz</t>
  </si>
  <si>
    <t>eliz.whitney@msn.com</t>
  </si>
  <si>
    <t xml:space="preserve">523 Crescent Court </t>
  </si>
  <si>
    <t>Justin</t>
  </si>
  <si>
    <t>Newton</t>
  </si>
  <si>
    <t>justin.newton@hotmail.com</t>
  </si>
  <si>
    <t xml:space="preserve">93 Shore Rd. </t>
  </si>
  <si>
    <t>Aron</t>
  </si>
  <si>
    <t>Wiggins</t>
  </si>
  <si>
    <t>(442) 497-3353</t>
  </si>
  <si>
    <t>aron.wiggins@aol.com</t>
  </si>
  <si>
    <t xml:space="preserve">6 Bradford St. </t>
  </si>
  <si>
    <t>Chere</t>
  </si>
  <si>
    <t>chere.hardin@yahoo.com</t>
  </si>
  <si>
    <t xml:space="preserve">763 Fulton Road </t>
  </si>
  <si>
    <t>Merideth</t>
  </si>
  <si>
    <t>merideth.preston@yahoo.com</t>
  </si>
  <si>
    <t xml:space="preserve">794 Rockaway St. </t>
  </si>
  <si>
    <t>Slater</t>
  </si>
  <si>
    <t>jeniffer.slater@aol.com</t>
  </si>
  <si>
    <t xml:space="preserve">30 Old Orange Lane </t>
  </si>
  <si>
    <t>Schenectady</t>
  </si>
  <si>
    <t>Laureen</t>
  </si>
  <si>
    <t>laureen.paul@yahoo.com</t>
  </si>
  <si>
    <t xml:space="preserve">617 Squaw Creek Rd. </t>
  </si>
  <si>
    <t>Berna</t>
  </si>
  <si>
    <t>Moore</t>
  </si>
  <si>
    <t>berna.moore@hotmail.com</t>
  </si>
  <si>
    <t xml:space="preserve">7230 Lafayette Drive </t>
  </si>
  <si>
    <t>Shiela</t>
  </si>
  <si>
    <t>Calderon</t>
  </si>
  <si>
    <t>shiela.calderon@msn.com</t>
  </si>
  <si>
    <t xml:space="preserve">844 Albany St. </t>
  </si>
  <si>
    <t>Sharie</t>
  </si>
  <si>
    <t>Alvarez</t>
  </si>
  <si>
    <t>(212) 211-7621</t>
  </si>
  <si>
    <t>sharie.alvarez@msn.com</t>
  </si>
  <si>
    <t xml:space="preserve">987 West Leatherwood Dr. </t>
  </si>
  <si>
    <t>Bettie</t>
  </si>
  <si>
    <t>Glover</t>
  </si>
  <si>
    <t>bettie.glover@gmail.com</t>
  </si>
  <si>
    <t xml:space="preserve">9083 Addison Dr. </t>
  </si>
  <si>
    <t>Marilyn</t>
  </si>
  <si>
    <t>Frank</t>
  </si>
  <si>
    <t>marilyn.frank@aol.com</t>
  </si>
  <si>
    <t xml:space="preserve">8878 Branch Street </t>
  </si>
  <si>
    <t>Sheba</t>
  </si>
  <si>
    <t>Knapp</t>
  </si>
  <si>
    <t>sheba.knapp@aol.com</t>
  </si>
  <si>
    <t xml:space="preserve">86 Gates Street </t>
  </si>
  <si>
    <t>Mack</t>
  </si>
  <si>
    <t>aleta.mack@yahoo.com</t>
  </si>
  <si>
    <t xml:space="preserve">8869 W. Edgemont Lane </t>
  </si>
  <si>
    <t>Reena</t>
  </si>
  <si>
    <t>reena.higgins@gmail.com</t>
  </si>
  <si>
    <t xml:space="preserve">900 South Columbia Street </t>
  </si>
  <si>
    <t>Ami</t>
  </si>
  <si>
    <t>Mcmahon</t>
  </si>
  <si>
    <t>ami.mcmahon@aol.com</t>
  </si>
  <si>
    <t xml:space="preserve">566 Hilldale Drive </t>
  </si>
  <si>
    <t>Somer</t>
  </si>
  <si>
    <t>Jordan</t>
  </si>
  <si>
    <t>somer.jordan@msn.com</t>
  </si>
  <si>
    <t xml:space="preserve">7046 Helen Avenue </t>
  </si>
  <si>
    <t>Reed</t>
  </si>
  <si>
    <t>scarlet.reed@hotmail.com</t>
  </si>
  <si>
    <t xml:space="preserve">151 S. Myers Court </t>
  </si>
  <si>
    <t>Trisha</t>
  </si>
  <si>
    <t>Johnson</t>
  </si>
  <si>
    <t>(717) 126-8787</t>
  </si>
  <si>
    <t>trisha.johnson@msn.com</t>
  </si>
  <si>
    <t xml:space="preserve">59 Wild Horse St. </t>
  </si>
  <si>
    <t>Majorie</t>
  </si>
  <si>
    <t>Wyatt</t>
  </si>
  <si>
    <t>majorie.wyatt@yahoo.com</t>
  </si>
  <si>
    <t xml:space="preserve">8507 Miller St. </t>
  </si>
  <si>
    <t>Abbey</t>
  </si>
  <si>
    <t>abbey.pugh@gmail.com</t>
  </si>
  <si>
    <t xml:space="preserve">26 Market Drive </t>
  </si>
  <si>
    <t>Forest Hills</t>
  </si>
  <si>
    <t>Tamela</t>
  </si>
  <si>
    <t>Harrell</t>
  </si>
  <si>
    <t>tamela.harrell@aol.com</t>
  </si>
  <si>
    <t xml:space="preserve">7316 Cypress Rd. </t>
  </si>
  <si>
    <t>Yanira</t>
  </si>
  <si>
    <t>Bradshaw</t>
  </si>
  <si>
    <t>yanira.bradshaw@gmail.com</t>
  </si>
  <si>
    <t xml:space="preserve">7484 Ann Court </t>
  </si>
  <si>
    <t>Delana</t>
  </si>
  <si>
    <t>Scott</t>
  </si>
  <si>
    <t>delana.scott@yahoo.com</t>
  </si>
  <si>
    <t xml:space="preserve">7372 Ridgeview St. </t>
  </si>
  <si>
    <t>Mount Vernon</t>
  </si>
  <si>
    <t>Cassondra</t>
  </si>
  <si>
    <t>Pruitt</t>
  </si>
  <si>
    <t>cassondra.pruitt@aol.com</t>
  </si>
  <si>
    <t xml:space="preserve">4 Alderwood Circle </t>
  </si>
  <si>
    <t>Jesica</t>
  </si>
  <si>
    <t>Fields</t>
  </si>
  <si>
    <t>jesica.fields@yahoo.com</t>
  </si>
  <si>
    <t xml:space="preserve">318 Country Dr. </t>
  </si>
  <si>
    <t>Herta</t>
  </si>
  <si>
    <t>Rollins</t>
  </si>
  <si>
    <t>herta.rollins@msn.com</t>
  </si>
  <si>
    <t xml:space="preserve">287 1st Drive </t>
  </si>
  <si>
    <t>Mi</t>
  </si>
  <si>
    <t>Gray</t>
  </si>
  <si>
    <t>(229) 813-2130</t>
  </si>
  <si>
    <t>mi.gray@aol.com</t>
  </si>
  <si>
    <t xml:space="preserve">27 Roehampton Dr. </t>
  </si>
  <si>
    <t>Jacalyn</t>
  </si>
  <si>
    <t>Barnett</t>
  </si>
  <si>
    <t>jacalyn.barnett@gmail.com</t>
  </si>
  <si>
    <t xml:space="preserve">7537 Swanson Street </t>
  </si>
  <si>
    <t>Hudson</t>
  </si>
  <si>
    <t>(510) 788-7298</t>
  </si>
  <si>
    <t>kanesha.hudson@gmail.com</t>
  </si>
  <si>
    <t xml:space="preserve">8293 Gartner Drive </t>
  </si>
  <si>
    <t>Darren</t>
  </si>
  <si>
    <t>Witt</t>
  </si>
  <si>
    <t>darren.witt@aol.com</t>
  </si>
  <si>
    <t xml:space="preserve">916 Hillcrest Ave. </t>
  </si>
  <si>
    <t>Mable</t>
  </si>
  <si>
    <t>mable.pratt@gmail.com</t>
  </si>
  <si>
    <t xml:space="preserve">254 SW. Temple Street </t>
  </si>
  <si>
    <t>Christoper</t>
  </si>
  <si>
    <t>christoper.mccall@msn.com</t>
  </si>
  <si>
    <t xml:space="preserve">72 Summit St. </t>
  </si>
  <si>
    <t>Margorie</t>
  </si>
  <si>
    <t>Wynn</t>
  </si>
  <si>
    <t>margorie.wynn@gmail.com</t>
  </si>
  <si>
    <t xml:space="preserve">707 Schoolhouse St. </t>
  </si>
  <si>
    <t>Josef</t>
  </si>
  <si>
    <t>Greer</t>
  </si>
  <si>
    <t>josef.greer@gmail.com</t>
  </si>
  <si>
    <t xml:space="preserve">92 Summer Court </t>
  </si>
  <si>
    <t>Tisa</t>
  </si>
  <si>
    <t>tisa.whitney@yahoo.com</t>
  </si>
  <si>
    <t xml:space="preserve">549 Newbridge Dr. </t>
  </si>
  <si>
    <t>Tonda</t>
  </si>
  <si>
    <t>tonda.armstrong@aol.com</t>
  </si>
  <si>
    <t xml:space="preserve">19 Forest Rd. </t>
  </si>
  <si>
    <t>Weiss</t>
  </si>
  <si>
    <t>arvilla.weiss@msn.com</t>
  </si>
  <si>
    <t xml:space="preserve">477 Blue Spring St. </t>
  </si>
  <si>
    <t>Vashti</t>
  </si>
  <si>
    <t>Rosario</t>
  </si>
  <si>
    <t>vashti.rosario@yahoo.com</t>
  </si>
  <si>
    <t xml:space="preserve">623 Johnson Circle </t>
  </si>
  <si>
    <t>Sheri</t>
  </si>
  <si>
    <t>Cole</t>
  </si>
  <si>
    <t>(408) 658-2285</t>
  </si>
  <si>
    <t>sheri.cole@aol.com</t>
  </si>
  <si>
    <t xml:space="preserve">479 Chapel Court </t>
  </si>
  <si>
    <t>Kandace</t>
  </si>
  <si>
    <t>Giles</t>
  </si>
  <si>
    <t>kandace.giles@msn.com</t>
  </si>
  <si>
    <t xml:space="preserve">30 NE. Walt Whitman Drive </t>
  </si>
  <si>
    <t>Wantagh</t>
  </si>
  <si>
    <t>Angie</t>
  </si>
  <si>
    <t>Powers</t>
  </si>
  <si>
    <t>angie.powers@aol.com</t>
  </si>
  <si>
    <t xml:space="preserve">6 Rockland Dr. </t>
  </si>
  <si>
    <t>Pomona</t>
  </si>
  <si>
    <t>Van</t>
  </si>
  <si>
    <t>Peters</t>
  </si>
  <si>
    <t>(281) 658-7772</t>
  </si>
  <si>
    <t>van.peters@yahoo.com</t>
  </si>
  <si>
    <t xml:space="preserve">45 Fifth Dr. </t>
  </si>
  <si>
    <t>Virgina</t>
  </si>
  <si>
    <t>virgina.berg@yahoo.com</t>
  </si>
  <si>
    <t xml:space="preserve">804 South Purple Finch Drive </t>
  </si>
  <si>
    <t>Valley Stream</t>
  </si>
  <si>
    <t>Noel</t>
  </si>
  <si>
    <t>olevia.noel@yahoo.com</t>
  </si>
  <si>
    <t xml:space="preserve">39 N. Rosewood Dr. </t>
  </si>
  <si>
    <t>Kaci</t>
  </si>
  <si>
    <t>Gallegos</t>
  </si>
  <si>
    <t>kaci.gallegos@gmail.com</t>
  </si>
  <si>
    <t xml:space="preserve">8573 Halifax St. </t>
  </si>
  <si>
    <t>Bev</t>
  </si>
  <si>
    <t>Chang</t>
  </si>
  <si>
    <t>bev.chang@yahoo.com</t>
  </si>
  <si>
    <t xml:space="preserve">104 Rockville St. </t>
  </si>
  <si>
    <t>Ithaca</t>
  </si>
  <si>
    <t>Rodger</t>
  </si>
  <si>
    <t>Rojas</t>
  </si>
  <si>
    <t>rodger.rojas@yahoo.com</t>
  </si>
  <si>
    <t xml:space="preserve">8442 Cooper Ave. </t>
  </si>
  <si>
    <t>Lavonne</t>
  </si>
  <si>
    <t>lavonne.anderson@aol.com</t>
  </si>
  <si>
    <t xml:space="preserve">9420 Wintergreen Court </t>
  </si>
  <si>
    <t>Blanca</t>
  </si>
  <si>
    <t>blanca.hooper@msn.com</t>
  </si>
  <si>
    <t xml:space="preserve">340 Bald Hill St. </t>
  </si>
  <si>
    <t>Alysha</t>
  </si>
  <si>
    <t>alysha.powers@msn.com</t>
  </si>
  <si>
    <t xml:space="preserve">39 West Marshall Ave. </t>
  </si>
  <si>
    <t>Mary</t>
  </si>
  <si>
    <t>Singleton</t>
  </si>
  <si>
    <t>mary.singleton@hotmail.com</t>
  </si>
  <si>
    <t xml:space="preserve">474 Amerige Ave. </t>
  </si>
  <si>
    <t>Jina</t>
  </si>
  <si>
    <t>Cooper</t>
  </si>
  <si>
    <t>jina.cooper@aol.com</t>
  </si>
  <si>
    <t xml:space="preserve">8947 W. Lexington Rd. </t>
  </si>
  <si>
    <t>Loni</t>
  </si>
  <si>
    <t>loni.duncan@gmail.com</t>
  </si>
  <si>
    <t xml:space="preserve">80 Saxton Lane </t>
  </si>
  <si>
    <t>Rosedale</t>
  </si>
  <si>
    <t>Collene</t>
  </si>
  <si>
    <t>Roman</t>
  </si>
  <si>
    <t>collene.roman@aol.com</t>
  </si>
  <si>
    <t xml:space="preserve">30 North Argyle Dr. </t>
  </si>
  <si>
    <t>Wappingers Falls</t>
  </si>
  <si>
    <t>Mariette</t>
  </si>
  <si>
    <t>Trevino</t>
  </si>
  <si>
    <t>mariette.trevino@aol.com</t>
  </si>
  <si>
    <t xml:space="preserve">4 Border Court </t>
  </si>
  <si>
    <t>Candelaria</t>
  </si>
  <si>
    <t>Coffey</t>
  </si>
  <si>
    <t>candelaria.coffey@aol.com</t>
  </si>
  <si>
    <t xml:space="preserve">45 Newport Lane </t>
  </si>
  <si>
    <t>yan.trevino@gmail.com</t>
  </si>
  <si>
    <t xml:space="preserve">796 Jefferson Rd. </t>
  </si>
  <si>
    <t>Elanor</t>
  </si>
  <si>
    <t>Patrick</t>
  </si>
  <si>
    <t>elanor.patrick@aol.com</t>
  </si>
  <si>
    <t xml:space="preserve">51 Howard Ave. </t>
  </si>
  <si>
    <t>klara.mosley@gmail.com</t>
  </si>
  <si>
    <t xml:space="preserve">518 Devon Court </t>
  </si>
  <si>
    <t>Rosalba</t>
  </si>
  <si>
    <t>O'neal</t>
  </si>
  <si>
    <t>rosalba.o'neal@yahoo.com</t>
  </si>
  <si>
    <t xml:space="preserve">7517 Pennsylvania St. </t>
  </si>
  <si>
    <t>Mina</t>
  </si>
  <si>
    <t>Carrillo</t>
  </si>
  <si>
    <t>mina.carrillo@aol.com</t>
  </si>
  <si>
    <t xml:space="preserve">8659 Trenton Lane </t>
  </si>
  <si>
    <t>Alesia</t>
  </si>
  <si>
    <t>alesia.horne@aol.com</t>
  </si>
  <si>
    <t xml:space="preserve">9229 Amherst Lane </t>
  </si>
  <si>
    <t>Kristen</t>
  </si>
  <si>
    <t>kristen.alvarez@aol.com</t>
  </si>
  <si>
    <t xml:space="preserve">9778 North River St. </t>
  </si>
  <si>
    <t>Collin</t>
  </si>
  <si>
    <t>collin.webster@aol.com</t>
  </si>
  <si>
    <t xml:space="preserve">475 Cottage Rd. </t>
  </si>
  <si>
    <t>Ashlee</t>
  </si>
  <si>
    <t>Pena</t>
  </si>
  <si>
    <t>ashlee.pena@aol.com</t>
  </si>
  <si>
    <t xml:space="preserve">966 Highland St. </t>
  </si>
  <si>
    <t>Aimee</t>
  </si>
  <si>
    <t>Merritt</t>
  </si>
  <si>
    <t>aimee.merritt@yahoo.com</t>
  </si>
  <si>
    <t xml:space="preserve">537 East Meadowbrook St. </t>
  </si>
  <si>
    <t>Flushing</t>
  </si>
  <si>
    <t>Rochelle</t>
  </si>
  <si>
    <t>Ward</t>
  </si>
  <si>
    <t>rochelle.ward@yahoo.com</t>
  </si>
  <si>
    <t xml:space="preserve">7855 La Sierra Street </t>
  </si>
  <si>
    <t>Nelle</t>
  </si>
  <si>
    <t>Beck</t>
  </si>
  <si>
    <t>nelle.beck@aol.com</t>
  </si>
  <si>
    <t xml:space="preserve">8998 Wakehurst Drive </t>
  </si>
  <si>
    <t>Kaila</t>
  </si>
  <si>
    <t>Walters</t>
  </si>
  <si>
    <t>kaila.walters@msn.com</t>
  </si>
  <si>
    <t xml:space="preserve">57 Gates Drive </t>
  </si>
  <si>
    <t>aleta.stone@aol.com</t>
  </si>
  <si>
    <t xml:space="preserve">8 Elm Dr. </t>
  </si>
  <si>
    <t>Leif</t>
  </si>
  <si>
    <t>Short</t>
  </si>
  <si>
    <t>leif.short@gmail.com</t>
  </si>
  <si>
    <t xml:space="preserve">962 Carpenter Ave. </t>
  </si>
  <si>
    <t>Pollard</t>
  </si>
  <si>
    <t>lorrie.pollard@yahoo.com</t>
  </si>
  <si>
    <t xml:space="preserve">7834 Shore Ave. </t>
  </si>
  <si>
    <t>Vernita</t>
  </si>
  <si>
    <t>Ball</t>
  </si>
  <si>
    <t>vernita.ball@gmail.com</t>
  </si>
  <si>
    <t xml:space="preserve">126 Arnold Dr. </t>
  </si>
  <si>
    <t>Los Banos</t>
  </si>
  <si>
    <t>Cyndi</t>
  </si>
  <si>
    <t>Bush</t>
  </si>
  <si>
    <t>cyndi.bush@gmail.com</t>
  </si>
  <si>
    <t xml:space="preserve">18 Smoky Hollow Drive </t>
  </si>
  <si>
    <t>Gertrude</t>
  </si>
  <si>
    <t>Terry</t>
  </si>
  <si>
    <t>gertrude.terry@hotmail.com</t>
  </si>
  <si>
    <t xml:space="preserve">34 Airport Dr. </t>
  </si>
  <si>
    <t>Virgen</t>
  </si>
  <si>
    <t>Clemons</t>
  </si>
  <si>
    <t>virgen.clemons@gmail.com</t>
  </si>
  <si>
    <t xml:space="preserve">354 Cactus Drive </t>
  </si>
  <si>
    <t>Fairy</t>
  </si>
  <si>
    <t>Robinson</t>
  </si>
  <si>
    <t>fairy.robinson@msn.com</t>
  </si>
  <si>
    <t xml:space="preserve">8837 Joy Ridge St. </t>
  </si>
  <si>
    <t>Laverna</t>
  </si>
  <si>
    <t>Hernandez</t>
  </si>
  <si>
    <t>laverna.hernandez@hotmail.com</t>
  </si>
  <si>
    <t xml:space="preserve">34 South Longfellow St. </t>
  </si>
  <si>
    <t>Jeannie</t>
  </si>
  <si>
    <t>Wilcox</t>
  </si>
  <si>
    <t>jeannie.wilcox@yahoo.com</t>
  </si>
  <si>
    <t xml:space="preserve">7744 Miles Dr. </t>
  </si>
  <si>
    <t>Suellen</t>
  </si>
  <si>
    <t>Mercado</t>
  </si>
  <si>
    <t>suellen.mercado@yahoo.com</t>
  </si>
  <si>
    <t xml:space="preserve">3 Taylor Drive </t>
  </si>
  <si>
    <t>Bart</t>
  </si>
  <si>
    <t>bart.hess@aol.com</t>
  </si>
  <si>
    <t xml:space="preserve">799 N. Maiden Street </t>
  </si>
  <si>
    <t>Alfredo</t>
  </si>
  <si>
    <t>Dodson</t>
  </si>
  <si>
    <t>alfredo.dodson@hotmail.com</t>
  </si>
  <si>
    <t xml:space="preserve">8960 Glenholme Dr. </t>
  </si>
  <si>
    <t>Depew</t>
  </si>
  <si>
    <t>Shaunda</t>
  </si>
  <si>
    <t>shaunda.barnett@gmail.com</t>
  </si>
  <si>
    <t xml:space="preserve">9366 San Carlos Lane </t>
  </si>
  <si>
    <t>Kerrie</t>
  </si>
  <si>
    <t>kerrie.morton@hotmail.com</t>
  </si>
  <si>
    <t xml:space="preserve">8772 State St. </t>
  </si>
  <si>
    <t>Elouise</t>
  </si>
  <si>
    <t>Fry</t>
  </si>
  <si>
    <t>elouise.fry@aol.com</t>
  </si>
  <si>
    <t xml:space="preserve">49 Bohemia Street </t>
  </si>
  <si>
    <t>Augustus</t>
  </si>
  <si>
    <t>augustus.steele@aol.com</t>
  </si>
  <si>
    <t xml:space="preserve">7474 N. Orchard St. </t>
  </si>
  <si>
    <t>Greta</t>
  </si>
  <si>
    <t>greta.page@hotmail.com</t>
  </si>
  <si>
    <t xml:space="preserve">8316 Augusta Drive </t>
  </si>
  <si>
    <t>kerrie.o'neill@gmail.com</t>
  </si>
  <si>
    <t xml:space="preserve">69 Wellington Ave. </t>
  </si>
  <si>
    <t>Shirley</t>
  </si>
  <si>
    <t>Dannette</t>
  </si>
  <si>
    <t>Guerrero</t>
  </si>
  <si>
    <t>dannette.guerrero@gmail.com</t>
  </si>
  <si>
    <t xml:space="preserve">68 Carriage Street </t>
  </si>
  <si>
    <t>Edra</t>
  </si>
  <si>
    <t>Fitzgerald</t>
  </si>
  <si>
    <t>edra.fitzgerald@msn.com</t>
  </si>
  <si>
    <t xml:space="preserve">8892 Birchwood St. </t>
  </si>
  <si>
    <t>Jerome</t>
  </si>
  <si>
    <t>jerome.bolton@msn.com</t>
  </si>
  <si>
    <t xml:space="preserve">9921 Argyle Street </t>
  </si>
  <si>
    <t>Carmel</t>
  </si>
  <si>
    <t>Conception</t>
  </si>
  <si>
    <t>conception.slater@gmail.com</t>
  </si>
  <si>
    <t xml:space="preserve">5 Sunset Street </t>
  </si>
  <si>
    <t>Octavia</t>
  </si>
  <si>
    <t>Case</t>
  </si>
  <si>
    <t>(212) 171-1335</t>
  </si>
  <si>
    <t>octavia.case@aol.com</t>
  </si>
  <si>
    <t xml:space="preserve">40 Charles Road </t>
  </si>
  <si>
    <t>Dexter</t>
  </si>
  <si>
    <t>Roberts</t>
  </si>
  <si>
    <t>dexter.roberts@gmail.com</t>
  </si>
  <si>
    <t xml:space="preserve">84 Thatcher Court </t>
  </si>
  <si>
    <t>Ginette</t>
  </si>
  <si>
    <t>Edwards</t>
  </si>
  <si>
    <t>ginette.edwards@hotmail.com</t>
  </si>
  <si>
    <t xml:space="preserve">9262 NW. Center Ave. </t>
  </si>
  <si>
    <t>Romaine</t>
  </si>
  <si>
    <t>Haley</t>
  </si>
  <si>
    <t>romaine.haley@aol.com</t>
  </si>
  <si>
    <t xml:space="preserve">737 Edgefield Drive </t>
  </si>
  <si>
    <t>Gwendolyn</t>
  </si>
  <si>
    <t>Miller</t>
  </si>
  <si>
    <t>gwendolyn.miller@msn.com</t>
  </si>
  <si>
    <t xml:space="preserve">90 Fordham Ave. </t>
  </si>
  <si>
    <t>Harlingen</t>
  </si>
  <si>
    <t>Luke</t>
  </si>
  <si>
    <t>Fuller</t>
  </si>
  <si>
    <t>(516) 363-2253</t>
  </si>
  <si>
    <t>luke.fuller@hotmail.com</t>
  </si>
  <si>
    <t xml:space="preserve">576 Cleveland Lane </t>
  </si>
  <si>
    <t>Zoraida</t>
  </si>
  <si>
    <t>Patton</t>
  </si>
  <si>
    <t>zoraida.patton@aol.com</t>
  </si>
  <si>
    <t xml:space="preserve">95 Grand Dr. </t>
  </si>
  <si>
    <t>Georgeanna</t>
  </si>
  <si>
    <t>(805) 885-8830</t>
  </si>
  <si>
    <t>georgeanna.webster@msn.com</t>
  </si>
  <si>
    <t xml:space="preserve">40 Creekside Circle </t>
  </si>
  <si>
    <t>Krystin</t>
  </si>
  <si>
    <t>Marshall</t>
  </si>
  <si>
    <t>krystin.marshall@hotmail.com</t>
  </si>
  <si>
    <t xml:space="preserve">10 Old Proctor Lane </t>
  </si>
  <si>
    <t>Vince</t>
  </si>
  <si>
    <t>Schneider</t>
  </si>
  <si>
    <t>vince.schneider@hotmail.com</t>
  </si>
  <si>
    <t xml:space="preserve">473 Corona Ave. </t>
  </si>
  <si>
    <t>Iola</t>
  </si>
  <si>
    <t>iola.rasmussen@yahoo.com</t>
  </si>
  <si>
    <t xml:space="preserve">283 N. Manor Station Dr. </t>
  </si>
  <si>
    <t>Valery</t>
  </si>
  <si>
    <t>Saunders</t>
  </si>
  <si>
    <t>valery.saunders@msn.com</t>
  </si>
  <si>
    <t xml:space="preserve">42 Marlborough St. </t>
  </si>
  <si>
    <t>Johna</t>
  </si>
  <si>
    <t>johna.powers@hotmail.com</t>
  </si>
  <si>
    <t xml:space="preserve">379 Central Ave. </t>
  </si>
  <si>
    <t>Charleen</t>
  </si>
  <si>
    <t>Hurst</t>
  </si>
  <si>
    <t>charleen.hurst@yahoo.com</t>
  </si>
  <si>
    <t xml:space="preserve">87 Country Avenue </t>
  </si>
  <si>
    <t>Augustina</t>
  </si>
  <si>
    <t>augustina.joyner@aol.com</t>
  </si>
  <si>
    <t xml:space="preserve">7931 Honey Creek Court </t>
  </si>
  <si>
    <t>Daisy</t>
  </si>
  <si>
    <t>daisy.ward@msn.com</t>
  </si>
  <si>
    <t xml:space="preserve">45 Silver Spear Ave. </t>
  </si>
  <si>
    <t>Latonya</t>
  </si>
  <si>
    <t>Dixon</t>
  </si>
  <si>
    <t>latonya.dixon@hotmail.com</t>
  </si>
  <si>
    <t xml:space="preserve">9399 Evergreen Street </t>
  </si>
  <si>
    <t>Hipolito</t>
  </si>
  <si>
    <t>Padilla</t>
  </si>
  <si>
    <t>hipolito.padilla@hotmail.com</t>
  </si>
  <si>
    <t xml:space="preserve">311 E. Rose Avenue </t>
  </si>
  <si>
    <t>New Rochelle</t>
  </si>
  <si>
    <t>Emmett</t>
  </si>
  <si>
    <t>emmett.casey@yahoo.com</t>
  </si>
  <si>
    <t xml:space="preserve">893 Logan St. </t>
  </si>
  <si>
    <t>Kandi</t>
  </si>
  <si>
    <t>Mcneil</t>
  </si>
  <si>
    <t>kandi.mcneil@msn.com</t>
  </si>
  <si>
    <t xml:space="preserve">402 Border Street </t>
  </si>
  <si>
    <t>Luciano</t>
  </si>
  <si>
    <t>Marsh</t>
  </si>
  <si>
    <t>luciano.marsh@aol.com</t>
  </si>
  <si>
    <t xml:space="preserve">7685 South Willow Drive </t>
  </si>
  <si>
    <t>Julius</t>
  </si>
  <si>
    <t>Holt</t>
  </si>
  <si>
    <t>julius.holt@aol.com</t>
  </si>
  <si>
    <t xml:space="preserve">386 Lower River Street </t>
  </si>
  <si>
    <t>Holly</t>
  </si>
  <si>
    <t>Nieves</t>
  </si>
  <si>
    <t>holly.nieves@aol.com</t>
  </si>
  <si>
    <t xml:space="preserve">60 Cleveland St. </t>
  </si>
  <si>
    <t>Douglass</t>
  </si>
  <si>
    <t>douglass.little@hotmail.com</t>
  </si>
  <si>
    <t xml:space="preserve">294 Harvey Drive </t>
  </si>
  <si>
    <t>Izola</t>
  </si>
  <si>
    <t>Hobbs</t>
  </si>
  <si>
    <t>izola.hobbs@gmail.com</t>
  </si>
  <si>
    <t xml:space="preserve">685 Beacon Dr. </t>
  </si>
  <si>
    <t>Honey</t>
  </si>
  <si>
    <t>Camacho</t>
  </si>
  <si>
    <t>honey.camacho@gmail.com</t>
  </si>
  <si>
    <t xml:space="preserve">934 2nd St. </t>
  </si>
  <si>
    <t>laureen.barry@yahoo.com</t>
  </si>
  <si>
    <t xml:space="preserve">909 Ridge St. </t>
  </si>
  <si>
    <t>Katharine</t>
  </si>
  <si>
    <t>Herrera</t>
  </si>
  <si>
    <t>katharine.herrera@hotmail.com</t>
  </si>
  <si>
    <t xml:space="preserve">395 SE. Branch St. </t>
  </si>
  <si>
    <t>Sunshine</t>
  </si>
  <si>
    <t>sunshine.rosario@aol.com</t>
  </si>
  <si>
    <t xml:space="preserve">1 Chestnut Lane </t>
  </si>
  <si>
    <t>Yevette</t>
  </si>
  <si>
    <t>yevette.todd@aol.com</t>
  </si>
  <si>
    <t xml:space="preserve">119 Lakewood Rd. </t>
  </si>
  <si>
    <t>Dorthea</t>
  </si>
  <si>
    <t>Walker</t>
  </si>
  <si>
    <t>dorthea.walker@aol.com</t>
  </si>
  <si>
    <t xml:space="preserve">11 Third St. </t>
  </si>
  <si>
    <t>Munoz</t>
  </si>
  <si>
    <t>(914) 706-7576</t>
  </si>
  <si>
    <t>alane.munoz@gmail.com</t>
  </si>
  <si>
    <t xml:space="preserve">8 Strawberry Dr. </t>
  </si>
  <si>
    <t>Yonkers</t>
  </si>
  <si>
    <t>Ayana</t>
  </si>
  <si>
    <t>Keith</t>
  </si>
  <si>
    <t>(805) 230-2101</t>
  </si>
  <si>
    <t>ayana.keith@hotmail.com</t>
  </si>
  <si>
    <t xml:space="preserve">182 Thorne Road </t>
  </si>
  <si>
    <t>Caridad</t>
  </si>
  <si>
    <t>Compton</t>
  </si>
  <si>
    <t>caridad.compton@aol.com</t>
  </si>
  <si>
    <t xml:space="preserve">9575 SW. Kingston Court </t>
  </si>
  <si>
    <t>Earline</t>
  </si>
  <si>
    <t>Ballard</t>
  </si>
  <si>
    <t>earline.ballard@hotmail.com</t>
  </si>
  <si>
    <t xml:space="preserve">939 Lyme Road </t>
  </si>
  <si>
    <t>Nathanael</t>
  </si>
  <si>
    <t>Bradley</t>
  </si>
  <si>
    <t>nathanael.bradley@aol.com</t>
  </si>
  <si>
    <t xml:space="preserve">58 Third St. </t>
  </si>
  <si>
    <t>Amsterdam</t>
  </si>
  <si>
    <t>Chasidy</t>
  </si>
  <si>
    <t>Tran</t>
  </si>
  <si>
    <t>chasidy.tran@msn.com</t>
  </si>
  <si>
    <t xml:space="preserve">9286 Anderson Street </t>
  </si>
  <si>
    <t>Vista</t>
  </si>
  <si>
    <t>Janella</t>
  </si>
  <si>
    <t>Bright</t>
  </si>
  <si>
    <t>(507) 616-2958</t>
  </si>
  <si>
    <t>janella.bright@aol.com</t>
  </si>
  <si>
    <t xml:space="preserve">7317 Tower Dr. </t>
  </si>
  <si>
    <t>Rochester</t>
  </si>
  <si>
    <t>Josie</t>
  </si>
  <si>
    <t>Schultz</t>
  </si>
  <si>
    <t>josie.schultz@hotmail.com</t>
  </si>
  <si>
    <t xml:space="preserve">225 Mammoth Street </t>
  </si>
  <si>
    <t>Ellsworth</t>
  </si>
  <si>
    <t>ellsworth.michael@yahoo.com</t>
  </si>
  <si>
    <t xml:space="preserve">9982 White St. </t>
  </si>
  <si>
    <t>Jennette</t>
  </si>
  <si>
    <t>Wooten</t>
  </si>
  <si>
    <t>jennette.wooten@msn.com</t>
  </si>
  <si>
    <t xml:space="preserve">8221 Bow Ridge Lane </t>
  </si>
  <si>
    <t>Cassandra</t>
  </si>
  <si>
    <t>cassandra.nichols@yahoo.com</t>
  </si>
  <si>
    <t xml:space="preserve">4 Glenwood Circle </t>
  </si>
  <si>
    <t>Courtney</t>
  </si>
  <si>
    <t>courtney.wyatt@gmail.com</t>
  </si>
  <si>
    <t xml:space="preserve">369 Arrowhead St. </t>
  </si>
  <si>
    <t>Terese</t>
  </si>
  <si>
    <t>Palmer</t>
  </si>
  <si>
    <t>terese.palmer@hotmail.com</t>
  </si>
  <si>
    <t xml:space="preserve">8 Sugar Drive </t>
  </si>
  <si>
    <t>Sherita</t>
  </si>
  <si>
    <t>Cherry</t>
  </si>
  <si>
    <t>sherita.cherry@gmail.com</t>
  </si>
  <si>
    <t xml:space="preserve">9636 Old Cedarwood Street </t>
  </si>
  <si>
    <t>Serina</t>
  </si>
  <si>
    <t>serina.hensley@yahoo.com</t>
  </si>
  <si>
    <t xml:space="preserve">53 Proctor Drive </t>
  </si>
  <si>
    <t>jeni.farley@aol.com</t>
  </si>
  <si>
    <t xml:space="preserve">4 Mill Lane </t>
  </si>
  <si>
    <t>everett.vega@yahoo.com</t>
  </si>
  <si>
    <t xml:space="preserve">7859 James Ave. </t>
  </si>
  <si>
    <t>Latosha</t>
  </si>
  <si>
    <t>Dalton</t>
  </si>
  <si>
    <t>(661) 529-4501</t>
  </si>
  <si>
    <t>latosha.dalton@yahoo.com</t>
  </si>
  <si>
    <t xml:space="preserve">59 E. Wintergreen Ave. </t>
  </si>
  <si>
    <t>Bakersfield</t>
  </si>
  <si>
    <t>Romelia</t>
  </si>
  <si>
    <t>Myers</t>
  </si>
  <si>
    <t>romelia.myers@msn.com</t>
  </si>
  <si>
    <t xml:space="preserve">8630 Brook St. </t>
  </si>
  <si>
    <t>Effie</t>
  </si>
  <si>
    <t>(631) 477-1277</t>
  </si>
  <si>
    <t>effie.jenkins@msn.com</t>
  </si>
  <si>
    <t xml:space="preserve">75 South Glen Eagles Court </t>
  </si>
  <si>
    <t>Efren</t>
  </si>
  <si>
    <t>Oliver</t>
  </si>
  <si>
    <t>efren.oliver@gmail.com</t>
  </si>
  <si>
    <t xml:space="preserve">9343 1st Rd. </t>
  </si>
  <si>
    <t>Nanuet</t>
  </si>
  <si>
    <t>Jerlene</t>
  </si>
  <si>
    <t>Rios</t>
  </si>
  <si>
    <t>jerlene.rios@yahoo.com</t>
  </si>
  <si>
    <t xml:space="preserve">32 Griffin St. </t>
  </si>
  <si>
    <t>Bess</t>
  </si>
  <si>
    <t>Mcbride</t>
  </si>
  <si>
    <t>bess.mcbride@yahoo.com</t>
  </si>
  <si>
    <t xml:space="preserve">9832 Winchester St. </t>
  </si>
  <si>
    <t>Birdie</t>
  </si>
  <si>
    <t>Kramer</t>
  </si>
  <si>
    <t>(248) 725-2174</t>
  </si>
  <si>
    <t>birdie.kramer@hotmail.com</t>
  </si>
  <si>
    <t xml:space="preserve">311 Newcastle Dr. </t>
  </si>
  <si>
    <t>Collen</t>
  </si>
  <si>
    <t>collen.hayes@yahoo.com</t>
  </si>
  <si>
    <t xml:space="preserve">117 Eagle St. </t>
  </si>
  <si>
    <t>Clare</t>
  </si>
  <si>
    <t>clare.neal@msn.com</t>
  </si>
  <si>
    <t xml:space="preserve">8922 Shady Ave. </t>
  </si>
  <si>
    <t>Jeanett</t>
  </si>
  <si>
    <t>Herman</t>
  </si>
  <si>
    <t>jeanett.herman@hotmail.com</t>
  </si>
  <si>
    <t xml:space="preserve">839 East Arch Street </t>
  </si>
  <si>
    <t>Micki</t>
  </si>
  <si>
    <t>Rutledge</t>
  </si>
  <si>
    <t>micki.rutledge@aol.com</t>
  </si>
  <si>
    <t xml:space="preserve">9868 Marvon Street </t>
  </si>
  <si>
    <t>Loise</t>
  </si>
  <si>
    <t>loise.walker@aol.com</t>
  </si>
  <si>
    <t xml:space="preserve">201 Glen Eagles St. </t>
  </si>
  <si>
    <t>Burma</t>
  </si>
  <si>
    <t>Summers</t>
  </si>
  <si>
    <t>burma.summers@yahoo.com</t>
  </si>
  <si>
    <t xml:space="preserve">890 East Elmwood Street </t>
  </si>
  <si>
    <t>Freeport</t>
  </si>
  <si>
    <t>Myron</t>
  </si>
  <si>
    <t>Ruiz</t>
  </si>
  <si>
    <t>myron.ruiz@gmail.com</t>
  </si>
  <si>
    <t xml:space="preserve">45 Shadow Brook Lane </t>
  </si>
  <si>
    <t>Lashawna</t>
  </si>
  <si>
    <t>lashawna.richardson@hotmail.com</t>
  </si>
  <si>
    <t xml:space="preserve">9920 Purple Finch St. </t>
  </si>
  <si>
    <t>Lavern</t>
  </si>
  <si>
    <t>Orr</t>
  </si>
  <si>
    <t>lavern.orr@hotmail.com</t>
  </si>
  <si>
    <t xml:space="preserve">913 N. Young Street </t>
  </si>
  <si>
    <t>Alec</t>
  </si>
  <si>
    <t>alec.peck@hotmail.com</t>
  </si>
  <si>
    <t xml:space="preserve">4 W. Belmont St. </t>
  </si>
  <si>
    <t>Christopher</t>
  </si>
  <si>
    <t>christopher.richardson@gmail.com</t>
  </si>
  <si>
    <t xml:space="preserve">7846 Windfall Dr. </t>
  </si>
  <si>
    <t>Arminda</t>
  </si>
  <si>
    <t>Weber</t>
  </si>
  <si>
    <t>arminda.weber@yahoo.com</t>
  </si>
  <si>
    <t xml:space="preserve">6 Hill Field St. </t>
  </si>
  <si>
    <t>emmett.hahn@hotmail.com</t>
  </si>
  <si>
    <t xml:space="preserve">7727 6th St. </t>
  </si>
  <si>
    <t>Gertha</t>
  </si>
  <si>
    <t>Mejia</t>
  </si>
  <si>
    <t>gertha.mejia@yahoo.com</t>
  </si>
  <si>
    <t xml:space="preserve">518 Orchard St. </t>
  </si>
  <si>
    <t>Weaver</t>
  </si>
  <si>
    <t>garland.weaver@gmail.com</t>
  </si>
  <si>
    <t xml:space="preserve">7161 Goldfield Court </t>
  </si>
  <si>
    <t>Jayson</t>
  </si>
  <si>
    <t>jayson.rutledge@yahoo.com</t>
  </si>
  <si>
    <t xml:space="preserve">8672 Coffee St. </t>
  </si>
  <si>
    <t>Lake Jackson</t>
  </si>
  <si>
    <t>Narcisa</t>
  </si>
  <si>
    <t>narcisa.knapp@aol.com</t>
  </si>
  <si>
    <t xml:space="preserve">435 Dogwood Dr. </t>
  </si>
  <si>
    <t>Gayla</t>
  </si>
  <si>
    <t>Sims</t>
  </si>
  <si>
    <t>gayla.sims@gmail.com</t>
  </si>
  <si>
    <t xml:space="preserve">98 Hall Street </t>
  </si>
  <si>
    <t>chelsey.boyd@yahoo.com</t>
  </si>
  <si>
    <t xml:space="preserve">9569 Birchpond Ave. </t>
  </si>
  <si>
    <t>Catherine</t>
  </si>
  <si>
    <t>Miles</t>
  </si>
  <si>
    <t>catherine.miles@msn.com</t>
  </si>
  <si>
    <t xml:space="preserve">7189 Elm Dr. </t>
  </si>
  <si>
    <t>Valeri</t>
  </si>
  <si>
    <t>valeri.marshall@hotmail.com</t>
  </si>
  <si>
    <t xml:space="preserve">494 East Brewery Dr. </t>
  </si>
  <si>
    <t>Grace</t>
  </si>
  <si>
    <t>Madden</t>
  </si>
  <si>
    <t>grace.madden@gmail.com</t>
  </si>
  <si>
    <t xml:space="preserve">606 East Rocky River St. </t>
  </si>
  <si>
    <t>Joaquin</t>
  </si>
  <si>
    <t>Hawkins</t>
  </si>
  <si>
    <t>(657) 557-1746</t>
  </si>
  <si>
    <t>joaquin.hawkins@aol.com</t>
  </si>
  <si>
    <t xml:space="preserve">3 Oklahoma Lane </t>
  </si>
  <si>
    <t>Kirstie</t>
  </si>
  <si>
    <t>kirstie.vazquez@gmail.com</t>
  </si>
  <si>
    <t xml:space="preserve">8006 Rockland Ave. </t>
  </si>
  <si>
    <t>Yu</t>
  </si>
  <si>
    <t>Mcdonald</t>
  </si>
  <si>
    <t>yu.mcdonald@aol.com</t>
  </si>
  <si>
    <t xml:space="preserve">784 Pheasant Rd. </t>
  </si>
  <si>
    <t>Celestine</t>
  </si>
  <si>
    <t>Jacobs</t>
  </si>
  <si>
    <t>celestine.jacobs@gmail.com</t>
  </si>
  <si>
    <t xml:space="preserve">87 Hanover Rd. </t>
  </si>
  <si>
    <t>Justa</t>
  </si>
  <si>
    <t>Thompson</t>
  </si>
  <si>
    <t>justa.thompson@aol.com</t>
  </si>
  <si>
    <t xml:space="preserve">43 Manor Ave. </t>
  </si>
  <si>
    <t>Corona</t>
  </si>
  <si>
    <t>Lise</t>
  </si>
  <si>
    <t>Alvarado</t>
  </si>
  <si>
    <t>lise.alvarado@gmail.com</t>
  </si>
  <si>
    <t xml:space="preserve">9816 Newcastle Dr. </t>
  </si>
  <si>
    <t>Pearl</t>
  </si>
  <si>
    <t>Fox</t>
  </si>
  <si>
    <t>pearl.fox@yahoo.com</t>
  </si>
  <si>
    <t xml:space="preserve">9415 Honey Creek Dr. </t>
  </si>
  <si>
    <t>Travis</t>
  </si>
  <si>
    <t>travis.goodman@yahoo.com</t>
  </si>
  <si>
    <t xml:space="preserve">65 Rockcrest Dr. </t>
  </si>
  <si>
    <t>Shu</t>
  </si>
  <si>
    <t>Mays</t>
  </si>
  <si>
    <t>shu.mays@gmail.com</t>
  </si>
  <si>
    <t xml:space="preserve">996 St Margarets Lane </t>
  </si>
  <si>
    <t>Ezra</t>
  </si>
  <si>
    <t>Fowler</t>
  </si>
  <si>
    <t>ezra.fowler@hotmail.com</t>
  </si>
  <si>
    <t xml:space="preserve">16 Pearl St. </t>
  </si>
  <si>
    <t>Edda</t>
  </si>
  <si>
    <t>Young</t>
  </si>
  <si>
    <t>edda.young@gmail.com</t>
  </si>
  <si>
    <t xml:space="preserve">50 S. Airport Street </t>
  </si>
  <si>
    <t>Lidia</t>
  </si>
  <si>
    <t>Ashley</t>
  </si>
  <si>
    <t>lidia.ashley@hotmail.com</t>
  </si>
  <si>
    <t xml:space="preserve">8436 Meadow St. </t>
  </si>
  <si>
    <t>Moira</t>
  </si>
  <si>
    <t>Lester</t>
  </si>
  <si>
    <t>moira.lester@msn.com</t>
  </si>
  <si>
    <t xml:space="preserve">496 Greystone Court </t>
  </si>
  <si>
    <t>Tony</t>
  </si>
  <si>
    <t>Hicks</t>
  </si>
  <si>
    <t>(657) 260-6783</t>
  </si>
  <si>
    <t>tony.hicks@gmail.com</t>
  </si>
  <si>
    <t xml:space="preserve">226 Carriage Street </t>
  </si>
  <si>
    <t>Malinda</t>
  </si>
  <si>
    <t>Baxter</t>
  </si>
  <si>
    <t>malinda.baxter@yahoo.com</t>
  </si>
  <si>
    <t xml:space="preserve">7698 Briarwood Ave. </t>
  </si>
  <si>
    <t>Marlo</t>
  </si>
  <si>
    <t>Jefferson</t>
  </si>
  <si>
    <t>marlo.jefferson@gmail.com</t>
  </si>
  <si>
    <t xml:space="preserve">39 Trenton Rd. </t>
  </si>
  <si>
    <t>Tiana</t>
  </si>
  <si>
    <t>Henderson</t>
  </si>
  <si>
    <t>tiana.henderson@aol.com</t>
  </si>
  <si>
    <t xml:space="preserve">62 Orange St. </t>
  </si>
  <si>
    <t>Wilda</t>
  </si>
  <si>
    <t>Petersen</t>
  </si>
  <si>
    <t>wilda.petersen@aol.com</t>
  </si>
  <si>
    <t xml:space="preserve">899 Helen St. </t>
  </si>
  <si>
    <t>Irving</t>
  </si>
  <si>
    <t>irving.pitts@msn.com</t>
  </si>
  <si>
    <t xml:space="preserve">346 College Court </t>
  </si>
  <si>
    <t>Sheree</t>
  </si>
  <si>
    <t>sheree.pena@yahoo.com</t>
  </si>
  <si>
    <t xml:space="preserve">822 Virginia Court </t>
  </si>
  <si>
    <t>Taylor</t>
  </si>
  <si>
    <t>(717) 218-5607</t>
  </si>
  <si>
    <t>vance.taylor@msn.com</t>
  </si>
  <si>
    <t xml:space="preserve">8279 Military Dr. </t>
  </si>
  <si>
    <t>Terra</t>
  </si>
  <si>
    <t>Pickett</t>
  </si>
  <si>
    <t>terra.pickett@aol.com</t>
  </si>
  <si>
    <t xml:space="preserve">7822 Depot Avenue </t>
  </si>
  <si>
    <t>Faustino</t>
  </si>
  <si>
    <t>faustino.delacruz@msn.com</t>
  </si>
  <si>
    <t xml:space="preserve">88 West Greenview Street </t>
  </si>
  <si>
    <t>South Richmond Hill</t>
  </si>
  <si>
    <t>Julienne</t>
  </si>
  <si>
    <t>Moody</t>
  </si>
  <si>
    <t>(682) 841-4643</t>
  </si>
  <si>
    <t>julienne.moody@hotmail.com</t>
  </si>
  <si>
    <t xml:space="preserve">35 South Oxford Rd. </t>
  </si>
  <si>
    <t>Fort Worth</t>
  </si>
  <si>
    <t>Hee</t>
  </si>
  <si>
    <t>hee.greer@hotmail.com</t>
  </si>
  <si>
    <t xml:space="preserve">41 North Garfield Ave. </t>
  </si>
  <si>
    <t>Cash</t>
  </si>
  <si>
    <t>whitney.cash@gmail.com</t>
  </si>
  <si>
    <t xml:space="preserve">8 Surrey Street </t>
  </si>
  <si>
    <t>Clarita</t>
  </si>
  <si>
    <t>Curry</t>
  </si>
  <si>
    <t>clarita.curry@hotmail.com</t>
  </si>
  <si>
    <t xml:space="preserve">661 Tanglewood Street </t>
  </si>
  <si>
    <t>Reita</t>
  </si>
  <si>
    <t>Dickson</t>
  </si>
  <si>
    <t>reita.dickson@hotmail.com</t>
  </si>
  <si>
    <t xml:space="preserve">7506 Mechanic Dr. </t>
  </si>
  <si>
    <t>Rosa</t>
  </si>
  <si>
    <t>Kinney</t>
  </si>
  <si>
    <t>rosa.kinney@yahoo.com</t>
  </si>
  <si>
    <t xml:space="preserve">330 Highland Drive </t>
  </si>
  <si>
    <t>Gilbert</t>
  </si>
  <si>
    <t>buford.gilbert@yahoo.com</t>
  </si>
  <si>
    <t xml:space="preserve">9 East Ketch Harbour Street </t>
  </si>
  <si>
    <t>Homer</t>
  </si>
  <si>
    <t>homer.powers@msn.com</t>
  </si>
  <si>
    <t xml:space="preserve">8207 East El Dorado Ave. </t>
  </si>
  <si>
    <t>Rudolf</t>
  </si>
  <si>
    <t>rudolf.gilliam@aol.com</t>
  </si>
  <si>
    <t xml:space="preserve">17 Marlborough Circle </t>
  </si>
  <si>
    <t>Andreas</t>
  </si>
  <si>
    <t>andreas.herman@msn.com</t>
  </si>
  <si>
    <t xml:space="preserve">456 Rock Creek Street </t>
  </si>
  <si>
    <t>Max</t>
  </si>
  <si>
    <t>max.charles@gmail.com</t>
  </si>
  <si>
    <t xml:space="preserve">695 St Paul Street </t>
  </si>
  <si>
    <t>Glen Cove</t>
  </si>
  <si>
    <t>Tammera</t>
  </si>
  <si>
    <t>(510) 534-8845</t>
  </si>
  <si>
    <t>tammera.fischer@hotmail.com</t>
  </si>
  <si>
    <t xml:space="preserve">405 Olive St. </t>
  </si>
  <si>
    <t>Joshua</t>
  </si>
  <si>
    <t>Robertson</t>
  </si>
  <si>
    <t>joshua.robertson@gmail.com</t>
  </si>
  <si>
    <t xml:space="preserve">81 Campfire Court </t>
  </si>
  <si>
    <t>Larraine</t>
  </si>
  <si>
    <t>Horn</t>
  </si>
  <si>
    <t>larraine.horn@msn.com</t>
  </si>
  <si>
    <t xml:space="preserve">368 South Summerhouse Dr. </t>
  </si>
  <si>
    <t>Mayer</t>
  </si>
  <si>
    <t>andreas.mayer@hotmail.com</t>
  </si>
  <si>
    <t xml:space="preserve">8577 Galvin Circle </t>
  </si>
  <si>
    <t>Lazaro</t>
  </si>
  <si>
    <t>Moran</t>
  </si>
  <si>
    <t>lazaro.moran@gmail.com</t>
  </si>
  <si>
    <t xml:space="preserve">83 E. Buttonwood Street </t>
  </si>
  <si>
    <t>Afton</t>
  </si>
  <si>
    <t>afton.juarez@gmail.com</t>
  </si>
  <si>
    <t xml:space="preserve">8330 Riverview Drive </t>
  </si>
  <si>
    <t>Angele</t>
  </si>
  <si>
    <t>Schroeder</t>
  </si>
  <si>
    <t>(845) 804-6312</t>
  </si>
  <si>
    <t>angele.schroeder@yahoo.com</t>
  </si>
  <si>
    <t xml:space="preserve">33 S. Shadow Brook Street </t>
  </si>
  <si>
    <t>New City</t>
  </si>
  <si>
    <t>Ellena</t>
  </si>
  <si>
    <t>Clements</t>
  </si>
  <si>
    <t>ellena.clements@aol.com</t>
  </si>
  <si>
    <t xml:space="preserve">7918 Mulberry Street </t>
  </si>
  <si>
    <t>Santa Monica</t>
  </si>
  <si>
    <t>Selene</t>
  </si>
  <si>
    <t>Austin</t>
  </si>
  <si>
    <t>selene.austin@msn.com</t>
  </si>
  <si>
    <t xml:space="preserve">9042 Linda Circle </t>
  </si>
  <si>
    <t>Kimberely</t>
  </si>
  <si>
    <t>Bowen</t>
  </si>
  <si>
    <t>(248) 199-2582</t>
  </si>
  <si>
    <t>kimberely.bowen@hotmail.com</t>
  </si>
  <si>
    <t xml:space="preserve">88 Belmont Street </t>
  </si>
  <si>
    <t>Mia</t>
  </si>
  <si>
    <t>Delgado</t>
  </si>
  <si>
    <t>mia.delgado@yahoo.com</t>
  </si>
  <si>
    <t xml:space="preserve">850 Wakehurst Drive </t>
  </si>
  <si>
    <t>Garret</t>
  </si>
  <si>
    <t>Clay</t>
  </si>
  <si>
    <t>(361) 687-9477</t>
  </si>
  <si>
    <t>garret.clay@yahoo.com</t>
  </si>
  <si>
    <t xml:space="preserve">9516 College Drive </t>
  </si>
  <si>
    <t>Alejandro</t>
  </si>
  <si>
    <t>Haney</t>
  </si>
  <si>
    <t>alejandro.haney@msn.com</t>
  </si>
  <si>
    <t xml:space="preserve">3 Griffin Street </t>
  </si>
  <si>
    <t>Inge</t>
  </si>
  <si>
    <t>Olsen</t>
  </si>
  <si>
    <t>(562) 719-5041</t>
  </si>
  <si>
    <t>inge.olsen@msn.com</t>
  </si>
  <si>
    <t xml:space="preserve">295 Iroquois Rd. </t>
  </si>
  <si>
    <t>Christiane</t>
  </si>
  <si>
    <t>Bradford</t>
  </si>
  <si>
    <t>christiane.bradford@gmail.com</t>
  </si>
  <si>
    <t xml:space="preserve">9043 Woodland Ave. </t>
  </si>
  <si>
    <t>Bentley</t>
  </si>
  <si>
    <t>carter.bentley@yahoo.com</t>
  </si>
  <si>
    <t xml:space="preserve">145 North Bridle Ave. </t>
  </si>
  <si>
    <t>Sherie</t>
  </si>
  <si>
    <t>Ayala</t>
  </si>
  <si>
    <t>sherie.ayala@msn.com</t>
  </si>
  <si>
    <t xml:space="preserve">5 Beech Ave. </t>
  </si>
  <si>
    <t>Jamika</t>
  </si>
  <si>
    <t>Acevedo</t>
  </si>
  <si>
    <t>jamika.acevedo@yahoo.com</t>
  </si>
  <si>
    <t xml:space="preserve">8027 NW. Poplar St. </t>
  </si>
  <si>
    <t>Shery</t>
  </si>
  <si>
    <t>shery.randolph@hotmail.com</t>
  </si>
  <si>
    <t xml:space="preserve">602 Laurel Street </t>
  </si>
  <si>
    <t>Ontario</t>
  </si>
  <si>
    <t>Lanita</t>
  </si>
  <si>
    <t>Burton</t>
  </si>
  <si>
    <t>lanita.burton@msn.com</t>
  </si>
  <si>
    <t xml:space="preserve">8980 Aspen Avenue </t>
  </si>
  <si>
    <t>Timothy</t>
  </si>
  <si>
    <t>timothy.byers@msn.com</t>
  </si>
  <si>
    <t xml:space="preserve">8645 Devonshire Lane </t>
  </si>
  <si>
    <t>Jasmin</t>
  </si>
  <si>
    <t>jasmin.young@gmail.com</t>
  </si>
  <si>
    <t xml:space="preserve">337 Beach Street </t>
  </si>
  <si>
    <t>Catarina</t>
  </si>
  <si>
    <t>Mendez</t>
  </si>
  <si>
    <t>catarina.mendez@hotmail.com</t>
  </si>
  <si>
    <t xml:space="preserve">444 Hanover Court </t>
  </si>
  <si>
    <t>Tajuana</t>
  </si>
  <si>
    <t>tajuana.rollins@msn.com</t>
  </si>
  <si>
    <t xml:space="preserve">724 N. Glen Creek Street </t>
  </si>
  <si>
    <t>Thad</t>
  </si>
  <si>
    <t>Castro</t>
  </si>
  <si>
    <t>(631) 943-1407</t>
  </si>
  <si>
    <t>thad.castro@msn.com</t>
  </si>
  <si>
    <t xml:space="preserve">71 Surrey Ave. </t>
  </si>
  <si>
    <t>Huber</t>
  </si>
  <si>
    <t>tena.huber@gmail.com</t>
  </si>
  <si>
    <t xml:space="preserve">185 East Littleton St. </t>
  </si>
  <si>
    <t>Dori</t>
  </si>
  <si>
    <t>dori.alvarez@msn.com</t>
  </si>
  <si>
    <t xml:space="preserve">8208 Brandywine St. </t>
  </si>
  <si>
    <t>Elmo</t>
  </si>
  <si>
    <t>Arnold</t>
  </si>
  <si>
    <t>(562) 841-9339</t>
  </si>
  <si>
    <t>elmo.arnold@aol.com</t>
  </si>
  <si>
    <t xml:space="preserve">7616 Lyme Rd. </t>
  </si>
  <si>
    <t>Felicidad</t>
  </si>
  <si>
    <t>felicidad.golden@yahoo.com</t>
  </si>
  <si>
    <t xml:space="preserve">9712 Coffee Ave. </t>
  </si>
  <si>
    <t>Jenine</t>
  </si>
  <si>
    <t>Crane</t>
  </si>
  <si>
    <t>(682) 183-6555</t>
  </si>
  <si>
    <t>jenine.crane@msn.com</t>
  </si>
  <si>
    <t xml:space="preserve">7381 Alderwood Drive </t>
  </si>
  <si>
    <t>Lea</t>
  </si>
  <si>
    <t>Key</t>
  </si>
  <si>
    <t>lea.key@yahoo.com</t>
  </si>
  <si>
    <t xml:space="preserve">7 Ocean St. </t>
  </si>
  <si>
    <t>Rory</t>
  </si>
  <si>
    <t>rory.cooper@gmail.com</t>
  </si>
  <si>
    <t xml:space="preserve">459 West Street </t>
  </si>
  <si>
    <t>Hilde</t>
  </si>
  <si>
    <t>hilde.nieves@gmail.com</t>
  </si>
  <si>
    <t xml:space="preserve">9437 Fordham Lane </t>
  </si>
  <si>
    <t>Marry</t>
  </si>
  <si>
    <t>Benjamin</t>
  </si>
  <si>
    <t>marry.benjamin@yahoo.com</t>
  </si>
  <si>
    <t xml:space="preserve">33 Amerige Street </t>
  </si>
  <si>
    <t>Vernell</t>
  </si>
  <si>
    <t>vernell.goff@msn.com</t>
  </si>
  <si>
    <t xml:space="preserve">77 Cobblestone St. </t>
  </si>
  <si>
    <t>Erlene</t>
  </si>
  <si>
    <t>Cook</t>
  </si>
  <si>
    <t>erlene.cook@gmail.com</t>
  </si>
  <si>
    <t xml:space="preserve">89 Blue Spring Street </t>
  </si>
  <si>
    <t>Kelly</t>
  </si>
  <si>
    <t>carroll.kelly@yahoo.com</t>
  </si>
  <si>
    <t xml:space="preserve">346 Grant Circle </t>
  </si>
  <si>
    <t>Basilia</t>
  </si>
  <si>
    <t>Thornton</t>
  </si>
  <si>
    <t>(631) 592-9548</t>
  </si>
  <si>
    <t>basilia.thornton@hotmail.com</t>
  </si>
  <si>
    <t xml:space="preserve">9033 Pine Dr. </t>
  </si>
  <si>
    <t>Tricia</t>
  </si>
  <si>
    <t>Daniels</t>
  </si>
  <si>
    <t>tricia.daniels@gmail.com</t>
  </si>
  <si>
    <t xml:space="preserve">8628 Crescent Court </t>
  </si>
  <si>
    <t>Hughes</t>
  </si>
  <si>
    <t>kandace.hughes@hotmail.com</t>
  </si>
  <si>
    <t xml:space="preserve">482 Ryan Ave. </t>
  </si>
  <si>
    <t>Norman</t>
  </si>
  <si>
    <t>alejandro.norman@yahoo.com</t>
  </si>
  <si>
    <t xml:space="preserve">8918 Marsh Lane </t>
  </si>
  <si>
    <t>Rodney</t>
  </si>
  <si>
    <t>rodney.odom@yahoo.com</t>
  </si>
  <si>
    <t xml:space="preserve">7782 North Deerfield Lane </t>
  </si>
  <si>
    <t>Pierce</t>
  </si>
  <si>
    <t>bettie.pierce@gmail.com</t>
  </si>
  <si>
    <t xml:space="preserve">787 North Vernon Lane </t>
  </si>
  <si>
    <t>Dagny</t>
  </si>
  <si>
    <t>Owen</t>
  </si>
  <si>
    <t>dagny.owen@hotmail.com</t>
  </si>
  <si>
    <t xml:space="preserve">8028 Thompson Drive </t>
  </si>
  <si>
    <t>Cinthia</t>
  </si>
  <si>
    <t>Poole</t>
  </si>
  <si>
    <t>cinthia.poole@aol.com</t>
  </si>
  <si>
    <t xml:space="preserve">7 Central Ave. </t>
  </si>
  <si>
    <t>Sheila</t>
  </si>
  <si>
    <t>sheila.travis@yahoo.com</t>
  </si>
  <si>
    <t xml:space="preserve">9285 Front St. </t>
  </si>
  <si>
    <t>Arcelia</t>
  </si>
  <si>
    <t>arcelia.vinson@gmail.com</t>
  </si>
  <si>
    <t xml:space="preserve">40 Dogwood St. </t>
  </si>
  <si>
    <t>Lucas</t>
  </si>
  <si>
    <t>lucas.estes@yahoo.com</t>
  </si>
  <si>
    <t xml:space="preserve">99 Old Church St. </t>
  </si>
  <si>
    <t>Marissa</t>
  </si>
  <si>
    <t>marissa.summers@msn.com</t>
  </si>
  <si>
    <t xml:space="preserve">81 Carpenter St. </t>
  </si>
  <si>
    <t>Kaley</t>
  </si>
  <si>
    <t>Blanchard</t>
  </si>
  <si>
    <t>kaley.blanchard@msn.com</t>
  </si>
  <si>
    <t xml:space="preserve">74 Evergreen Court </t>
  </si>
  <si>
    <t>Wm</t>
  </si>
  <si>
    <t>wm.pope@msn.com</t>
  </si>
  <si>
    <t xml:space="preserve">212 Marsh Court </t>
  </si>
  <si>
    <t>Auburn</t>
  </si>
  <si>
    <t>Rubye</t>
  </si>
  <si>
    <t>(248) 764-3359</t>
  </si>
  <si>
    <t>rubye.mccall@hotmail.com</t>
  </si>
  <si>
    <t xml:space="preserve">71 Sherwood Dr. </t>
  </si>
  <si>
    <t>Adriene</t>
  </si>
  <si>
    <t>adriene.rivera@hotmail.com</t>
  </si>
  <si>
    <t xml:space="preserve">973 Yukon Avenue </t>
  </si>
  <si>
    <t>Laurence</t>
  </si>
  <si>
    <t>Christian</t>
  </si>
  <si>
    <t>laurence.christian@gmail.com</t>
  </si>
  <si>
    <t xml:space="preserve">2 Maple St. </t>
  </si>
  <si>
    <t>Shirely</t>
  </si>
  <si>
    <t>(915) 437-6113</t>
  </si>
  <si>
    <t>shirely.stanley@gmail.com</t>
  </si>
  <si>
    <t xml:space="preserve">73 White Avenue </t>
  </si>
  <si>
    <t>Danille</t>
  </si>
  <si>
    <t>Mcfarland</t>
  </si>
  <si>
    <t>danille.mcfarland@msn.com</t>
  </si>
  <si>
    <t xml:space="preserve">14 Tailwater St. </t>
  </si>
  <si>
    <t>Salena</t>
  </si>
  <si>
    <t>salena.day@msn.com</t>
  </si>
  <si>
    <t xml:space="preserve">8067 Park Court </t>
  </si>
  <si>
    <t>Matilda</t>
  </si>
  <si>
    <t>matilda.larson@hotmail.com</t>
  </si>
  <si>
    <t xml:space="preserve">336 Saxon Court </t>
  </si>
  <si>
    <t>(424) 151-6481</t>
  </si>
  <si>
    <t>mellisa.kim@aol.com</t>
  </si>
  <si>
    <t xml:space="preserve">17 Lyme Dr. </t>
  </si>
  <si>
    <t>Los Angeles</t>
  </si>
  <si>
    <t>Vonda</t>
  </si>
  <si>
    <t>Berger</t>
  </si>
  <si>
    <t>vonda.berger@yahoo.com</t>
  </si>
  <si>
    <t xml:space="preserve">615 S. Proctor Ave. </t>
  </si>
  <si>
    <t>Soledad</t>
  </si>
  <si>
    <t>soledad.moses@yahoo.com</t>
  </si>
  <si>
    <t xml:space="preserve">85 Hickory Ave. </t>
  </si>
  <si>
    <t>Lashandra</t>
  </si>
  <si>
    <t>Turner</t>
  </si>
  <si>
    <t>(562) 327-9469</t>
  </si>
  <si>
    <t>lashandra.turner@hotmail.com</t>
  </si>
  <si>
    <t xml:space="preserve">11 Marlborough Rd. </t>
  </si>
  <si>
    <t>Lynne</t>
  </si>
  <si>
    <t>(915) 789-6666</t>
  </si>
  <si>
    <t>lynne.anderson@msn.com</t>
  </si>
  <si>
    <t xml:space="preserve">325 Inverness St. </t>
  </si>
  <si>
    <t>chasidy.webster@msn.com</t>
  </si>
  <si>
    <t xml:space="preserve">8296 S. Lookout Lane </t>
  </si>
  <si>
    <t>Ulysses</t>
  </si>
  <si>
    <t>Gaines</t>
  </si>
  <si>
    <t>ulysses.gaines@aol.com</t>
  </si>
  <si>
    <t xml:space="preserve">22 Gregory Lane </t>
  </si>
  <si>
    <t>Euna</t>
  </si>
  <si>
    <t>Lopez</t>
  </si>
  <si>
    <t>euna.lopez@gmail.com</t>
  </si>
  <si>
    <t xml:space="preserve">7979 South Mountainview Ave. </t>
  </si>
  <si>
    <t>Cherelle</t>
  </si>
  <si>
    <t>cherelle.key@msn.com</t>
  </si>
  <si>
    <t xml:space="preserve">7739 Snake Hill Lane </t>
  </si>
  <si>
    <t>Jeffry</t>
  </si>
  <si>
    <t>Church</t>
  </si>
  <si>
    <t>jeffry.church@msn.com</t>
  </si>
  <si>
    <t xml:space="preserve">426 Grandrose Ave. </t>
  </si>
  <si>
    <t>Dyer</t>
  </si>
  <si>
    <t>cyndi.dyer@msn.com</t>
  </si>
  <si>
    <t xml:space="preserve">313 West Argyle Ave. </t>
  </si>
  <si>
    <t>Danilo</t>
  </si>
  <si>
    <t>danilo.holmes@gmail.com</t>
  </si>
  <si>
    <t xml:space="preserve">657 Manor Station Dr. </t>
  </si>
  <si>
    <t>Joni</t>
  </si>
  <si>
    <t>joni.lee@gmail.com</t>
  </si>
  <si>
    <t xml:space="preserve">8573 Proctor Street </t>
  </si>
  <si>
    <t>Antony</t>
  </si>
  <si>
    <t>Atkinson</t>
  </si>
  <si>
    <t>antony.atkinson@msn.com</t>
  </si>
  <si>
    <t xml:space="preserve">680 East Birchwood Lane </t>
  </si>
  <si>
    <t>Deanne</t>
  </si>
  <si>
    <t>deanne.parsons@aol.com</t>
  </si>
  <si>
    <t xml:space="preserve">76 Amherst Drive </t>
  </si>
  <si>
    <t>Frederica</t>
  </si>
  <si>
    <t>frederica.rojas@yahoo.com</t>
  </si>
  <si>
    <t xml:space="preserve">7835 West Jockey Hollow Rd. </t>
  </si>
  <si>
    <t>Emelda</t>
  </si>
  <si>
    <t>Dickerson</t>
  </si>
  <si>
    <t>emelda.dickerson@aol.com</t>
  </si>
  <si>
    <t xml:space="preserve">7457 6th St. </t>
  </si>
  <si>
    <t>rudolf.moran@gmail.com</t>
  </si>
  <si>
    <t xml:space="preserve">5 Birchwood Rd. </t>
  </si>
  <si>
    <t>Benito</t>
  </si>
  <si>
    <t>Hendrix</t>
  </si>
  <si>
    <t>benito.hendrix@gmail.com</t>
  </si>
  <si>
    <t xml:space="preserve">676 S. Bowman Lane </t>
  </si>
  <si>
    <t>Jonell</t>
  </si>
  <si>
    <t>Rivas</t>
  </si>
  <si>
    <t>jonell.rivas@msn.com</t>
  </si>
  <si>
    <t xml:space="preserve">8415 East High Point St. </t>
  </si>
  <si>
    <t>Joi</t>
  </si>
  <si>
    <t>Reeves</t>
  </si>
  <si>
    <t>(619) 952-9613</t>
  </si>
  <si>
    <t>joi.reeves@msn.com</t>
  </si>
  <si>
    <t xml:space="preserve">9101 Williams Court </t>
  </si>
  <si>
    <t>Leland</t>
  </si>
  <si>
    <t>Mcdowell</t>
  </si>
  <si>
    <t>leland.mcdowell@gmail.com</t>
  </si>
  <si>
    <t xml:space="preserve">8034 E. Washington Lane </t>
  </si>
  <si>
    <t>Delaine</t>
  </si>
  <si>
    <t>delaine.estes@yahoo.com</t>
  </si>
  <si>
    <t xml:space="preserve">8916 Hartford Rd. </t>
  </si>
  <si>
    <t>Genevieve</t>
  </si>
  <si>
    <t>genevieve.juarez@gmail.com</t>
  </si>
  <si>
    <t xml:space="preserve">93 Goldfield Drive </t>
  </si>
  <si>
    <t>New Hyde Park</t>
  </si>
  <si>
    <t>Kylee</t>
  </si>
  <si>
    <t>kylee.dickson@gmail.com</t>
  </si>
  <si>
    <t xml:space="preserve">7908 Sherwood Street </t>
  </si>
  <si>
    <t>Renita</t>
  </si>
  <si>
    <t>renita.henry@msn.com</t>
  </si>
  <si>
    <t xml:space="preserve">474 Woodland Ave. </t>
  </si>
  <si>
    <t>Sarah</t>
  </si>
  <si>
    <t>sarah.kirkland@aol.com</t>
  </si>
  <si>
    <t xml:space="preserve">42 N. Glendale Avenue </t>
  </si>
  <si>
    <t>paul.lester@gmail.com</t>
  </si>
  <si>
    <t xml:space="preserve">275 Clay St. </t>
  </si>
  <si>
    <t>Taisha</t>
  </si>
  <si>
    <t>Vang</t>
  </si>
  <si>
    <t>taisha.vang@yahoo.com</t>
  </si>
  <si>
    <t xml:space="preserve">660 East Foster Lane </t>
  </si>
  <si>
    <t>eliana.reese@hotmail.com</t>
  </si>
  <si>
    <t xml:space="preserve">7079 NE. Cross Drive </t>
  </si>
  <si>
    <t>Leonore</t>
  </si>
  <si>
    <t>leonore.dorsey@yahoo.com</t>
  </si>
  <si>
    <t xml:space="preserve">8213 South Branch Avenue </t>
  </si>
  <si>
    <t>Ashleigh</t>
  </si>
  <si>
    <t>ashleigh.frank@gmail.com</t>
  </si>
  <si>
    <t xml:space="preserve">9008 Plymouth Street </t>
  </si>
  <si>
    <t>Gabriel</t>
  </si>
  <si>
    <t>Wagner</t>
  </si>
  <si>
    <t>gabriel.wagner@msn.com</t>
  </si>
  <si>
    <t xml:space="preserve">7921 Manhattan Ave. </t>
  </si>
  <si>
    <t>Margene</t>
  </si>
  <si>
    <t>margene.eaton@yahoo.com</t>
  </si>
  <si>
    <t xml:space="preserve">43 Sugar Street </t>
  </si>
  <si>
    <t>Toshia</t>
  </si>
  <si>
    <t>Cardenas</t>
  </si>
  <si>
    <t>toshia.cardenas@gmail.com</t>
  </si>
  <si>
    <t xml:space="preserve">878 Bayberry Street </t>
  </si>
  <si>
    <t>jamika.blanchard@gmail.com</t>
  </si>
  <si>
    <t xml:space="preserve">420 Cambridge Street </t>
  </si>
  <si>
    <t>Fresh Meadows</t>
  </si>
  <si>
    <t>Acosta</t>
  </si>
  <si>
    <t>shery.acosta@yahoo.com</t>
  </si>
  <si>
    <t xml:space="preserve">17 Canal Ave. </t>
  </si>
  <si>
    <t>Jenna</t>
  </si>
  <si>
    <t>jenna.saunders@aol.com</t>
  </si>
  <si>
    <t xml:space="preserve">4 Young St. </t>
  </si>
  <si>
    <t>Yorktown Heights</t>
  </si>
  <si>
    <t>Skye</t>
  </si>
  <si>
    <t>skye.pope@yahoo.com</t>
  </si>
  <si>
    <t xml:space="preserve">121 S. Bay Meadows Ave. </t>
  </si>
  <si>
    <t>Ana</t>
  </si>
  <si>
    <t>(657) 323-8684</t>
  </si>
  <si>
    <t>ana.palmer@yahoo.com</t>
  </si>
  <si>
    <t xml:space="preserve">7 Buckingham St. </t>
  </si>
  <si>
    <t>Eric</t>
  </si>
  <si>
    <t>eric.hardin@gmail.com</t>
  </si>
  <si>
    <t xml:space="preserve">39 S. Parker Drive </t>
  </si>
  <si>
    <t>Basil</t>
  </si>
  <si>
    <t>basil.ballard@yahoo.com</t>
  </si>
  <si>
    <t xml:space="preserve">7477 Belmont Ave. </t>
  </si>
  <si>
    <t>gabriel.pitts@gmail.com</t>
  </si>
  <si>
    <t xml:space="preserve">8462 Marshall Drive </t>
  </si>
  <si>
    <t>Clifton Park</t>
  </si>
  <si>
    <t>Cayla</t>
  </si>
  <si>
    <t>cayla.johnson@msn.com</t>
  </si>
  <si>
    <t xml:space="preserve">7091 Rockaway Avenue </t>
  </si>
  <si>
    <t>Sharika</t>
  </si>
  <si>
    <t>Colon</t>
  </si>
  <si>
    <t>(562) 452-6136</t>
  </si>
  <si>
    <t>sharika.colon@gmail.com</t>
  </si>
  <si>
    <t xml:space="preserve">509 Henry Smith St. </t>
  </si>
  <si>
    <t>Donnetta</t>
  </si>
  <si>
    <t>Henson</t>
  </si>
  <si>
    <t>donnetta.henson@hotmail.com</t>
  </si>
  <si>
    <t xml:space="preserve">2 Tallwood Drive </t>
  </si>
  <si>
    <t>Leigh</t>
  </si>
  <si>
    <t>leigh.burke@hotmail.com</t>
  </si>
  <si>
    <t xml:space="preserve">7651 Creek St. </t>
  </si>
  <si>
    <t>deloris.larson@aol.com</t>
  </si>
  <si>
    <t xml:space="preserve">242 Branch Street </t>
  </si>
  <si>
    <t>Ehtel</t>
  </si>
  <si>
    <t>Cobb</t>
  </si>
  <si>
    <t>ehtel.cobb@hotmail.com</t>
  </si>
  <si>
    <t xml:space="preserve">741 Rockville Drive </t>
  </si>
  <si>
    <t>Evelina</t>
  </si>
  <si>
    <t>Byrd</t>
  </si>
  <si>
    <t>(716) 601-7704</t>
  </si>
  <si>
    <t>evelina.byrd@msn.com</t>
  </si>
  <si>
    <t xml:space="preserve">628 S. Church St. </t>
  </si>
  <si>
    <t>Zulema</t>
  </si>
  <si>
    <t>zulema.browning@gmail.com</t>
  </si>
  <si>
    <t xml:space="preserve">12 NW. Lafayette St. </t>
  </si>
  <si>
    <t>Tressa</t>
  </si>
  <si>
    <t>tressa.weiss@msn.com</t>
  </si>
  <si>
    <t xml:space="preserve">52 Wild Rose Avenue </t>
  </si>
  <si>
    <t>Yvette</t>
  </si>
  <si>
    <t>Rogers</t>
  </si>
  <si>
    <t>yvette.rogers@aol.com</t>
  </si>
  <si>
    <t xml:space="preserve">3 SE. Oklahoma Drive </t>
  </si>
  <si>
    <t>Kiara</t>
  </si>
  <si>
    <t>(657) 378-8011</t>
  </si>
  <si>
    <t>kiara.deleon@gmail.com</t>
  </si>
  <si>
    <t xml:space="preserve">164 Addison Drive </t>
  </si>
  <si>
    <t>taylor.cole@gmail.com</t>
  </si>
  <si>
    <t xml:space="preserve">9408 Holly Lane </t>
  </si>
  <si>
    <t>Myrtie</t>
  </si>
  <si>
    <t>James</t>
  </si>
  <si>
    <t>myrtie.james@yahoo.com</t>
  </si>
  <si>
    <t xml:space="preserve">566 North Livingston Ave. </t>
  </si>
  <si>
    <t>Ashton</t>
  </si>
  <si>
    <t>Lott</t>
  </si>
  <si>
    <t>ashton.lott@hotmail.com</t>
  </si>
  <si>
    <t xml:space="preserve">609 Windfall Lane </t>
  </si>
  <si>
    <t>Kara</t>
  </si>
  <si>
    <t>kara.higgins@aol.com</t>
  </si>
  <si>
    <t xml:space="preserve">758 Jennings Street </t>
  </si>
  <si>
    <t>Tomeka</t>
  </si>
  <si>
    <t>tomeka.higgins@msn.com</t>
  </si>
  <si>
    <t xml:space="preserve">591 W. Corona St. </t>
  </si>
  <si>
    <t>Ronald</t>
  </si>
  <si>
    <t>ronald.parsons@msn.com</t>
  </si>
  <si>
    <t xml:space="preserve">268 Pin Oak Rd. </t>
  </si>
  <si>
    <t>Allison</t>
  </si>
  <si>
    <t>Nolan</t>
  </si>
  <si>
    <t>(845) 276-5729</t>
  </si>
  <si>
    <t>allison.nolan@gmail.com</t>
  </si>
  <si>
    <t xml:space="preserve">7421 Victoria St. </t>
  </si>
  <si>
    <t>Derrick</t>
  </si>
  <si>
    <t>derrick.marks@yahoo.com</t>
  </si>
  <si>
    <t xml:space="preserve">7247 East Prairie Lane </t>
  </si>
  <si>
    <t>Roth</t>
  </si>
  <si>
    <t>yang.roth@aol.com</t>
  </si>
  <si>
    <t xml:space="preserve">234 E. Shub Farm Ave. </t>
  </si>
  <si>
    <t>Melba</t>
  </si>
  <si>
    <t>Wilkinson</t>
  </si>
  <si>
    <t>melba.wilkinson@gmail.com</t>
  </si>
  <si>
    <t xml:space="preserve">255 Harvard Dr. </t>
  </si>
  <si>
    <t>Valentin</t>
  </si>
  <si>
    <t>Mclaughlin</t>
  </si>
  <si>
    <t>valentin.mclaughlin@hotmail.com</t>
  </si>
  <si>
    <t xml:space="preserve">56 Squaw Creek Street </t>
  </si>
  <si>
    <t>Lewis</t>
  </si>
  <si>
    <t>(631) 871-2512</t>
  </si>
  <si>
    <t>lewis.garner@gmail.com</t>
  </si>
  <si>
    <t xml:space="preserve">9550 East Greenrose St. </t>
  </si>
  <si>
    <t>Ann</t>
  </si>
  <si>
    <t>Heath</t>
  </si>
  <si>
    <t>ann.heath@msn.com</t>
  </si>
  <si>
    <t xml:space="preserve">413 East St. </t>
  </si>
  <si>
    <t>Janelle</t>
  </si>
  <si>
    <t>Maldonado</t>
  </si>
  <si>
    <t>janelle.maldonado@gmail.com</t>
  </si>
  <si>
    <t xml:space="preserve">34 Mammoth Street </t>
  </si>
  <si>
    <t>Catrice</t>
  </si>
  <si>
    <t>catrice.hicks@yahoo.com</t>
  </si>
  <si>
    <t xml:space="preserve">403 Inverness Street </t>
  </si>
  <si>
    <t>Eli</t>
  </si>
  <si>
    <t>eli.contreras@hotmail.com</t>
  </si>
  <si>
    <t xml:space="preserve">35 Highland Ave. </t>
  </si>
  <si>
    <t>Rita</t>
  </si>
  <si>
    <t>Bailey</t>
  </si>
  <si>
    <t>rita.bailey@hotmail.com</t>
  </si>
  <si>
    <t xml:space="preserve">69 Glenwood Street </t>
  </si>
  <si>
    <t>Laure</t>
  </si>
  <si>
    <t>laure.pena@yahoo.com</t>
  </si>
  <si>
    <t xml:space="preserve">9849 West Elmwood St. </t>
  </si>
  <si>
    <t>Tilda</t>
  </si>
  <si>
    <t>(248) 767-4165</t>
  </si>
  <si>
    <t>tilda.melton@msn.com</t>
  </si>
  <si>
    <t xml:space="preserve">237 Elmwood Drive </t>
  </si>
  <si>
    <t>Florencio</t>
  </si>
  <si>
    <t>florencio.davenport@yahoo.com</t>
  </si>
  <si>
    <t xml:space="preserve">8759 Brookside Ave. </t>
  </si>
  <si>
    <t>Jamestown</t>
  </si>
  <si>
    <t>Eun</t>
  </si>
  <si>
    <t>(619) 378-2432</t>
  </si>
  <si>
    <t>eun.harris@gmail.com</t>
  </si>
  <si>
    <t xml:space="preserve">623 Jones St. </t>
  </si>
  <si>
    <t>Marylyn</t>
  </si>
  <si>
    <t>marylyn.browning@msn.com</t>
  </si>
  <si>
    <t xml:space="preserve">915 Lakeshore Street </t>
  </si>
  <si>
    <t>Romana</t>
  </si>
  <si>
    <t>Barnes</t>
  </si>
  <si>
    <t>romana.barnes@yahoo.com</t>
  </si>
  <si>
    <t xml:space="preserve">9776 Shipley Rd. </t>
  </si>
  <si>
    <t>Sam</t>
  </si>
  <si>
    <t>sam.lester@gmail.com</t>
  </si>
  <si>
    <t xml:space="preserve">563 South Beacon Lane </t>
  </si>
  <si>
    <t>Nicki</t>
  </si>
  <si>
    <t>nicki.larson@yahoo.com</t>
  </si>
  <si>
    <t xml:space="preserve">8317 West Leatherwood Dr. </t>
  </si>
  <si>
    <t>Antonetta</t>
  </si>
  <si>
    <t>Rocha</t>
  </si>
  <si>
    <t>antonetta.rocha@yahoo.com</t>
  </si>
  <si>
    <t xml:space="preserve">9858 Newcastle St. </t>
  </si>
  <si>
    <t>Shara</t>
  </si>
  <si>
    <t>shara.pope@msn.com</t>
  </si>
  <si>
    <t xml:space="preserve">194 Amherst Dr. </t>
  </si>
  <si>
    <t>Trena</t>
  </si>
  <si>
    <t>trena.hudson@hotmail.com</t>
  </si>
  <si>
    <t xml:space="preserve">135 Grand Ave. </t>
  </si>
  <si>
    <t>Loraine</t>
  </si>
  <si>
    <t>loraine.sykes@yahoo.com</t>
  </si>
  <si>
    <t xml:space="preserve">9239 Windsor Ave. </t>
  </si>
  <si>
    <t>Alissa</t>
  </si>
  <si>
    <t>Hood</t>
  </si>
  <si>
    <t>alissa.hood@gmail.com</t>
  </si>
  <si>
    <t xml:space="preserve">8032 Maple Drive </t>
  </si>
  <si>
    <t>Schmidt</t>
  </si>
  <si>
    <t>augustus.schmidt@msn.com</t>
  </si>
  <si>
    <t xml:space="preserve">624 Jones Dr. </t>
  </si>
  <si>
    <t>Stacie</t>
  </si>
  <si>
    <t>(510) 194-5117</t>
  </si>
  <si>
    <t>stacie.sims@hotmail.com</t>
  </si>
  <si>
    <t xml:space="preserve">47 Orange Ave. </t>
  </si>
  <si>
    <t>Brittni</t>
  </si>
  <si>
    <t>Green</t>
  </si>
  <si>
    <t>brittni.green@msn.com</t>
  </si>
  <si>
    <t xml:space="preserve">842 El Dorado Lane </t>
  </si>
  <si>
    <t>Etsuko</t>
  </si>
  <si>
    <t>Garrison</t>
  </si>
  <si>
    <t>etsuko.garrison@yahoo.com</t>
  </si>
  <si>
    <t xml:space="preserve">1 Arrowhead Street </t>
  </si>
  <si>
    <t>Calandra</t>
  </si>
  <si>
    <t>calandra.stanton@aol.com</t>
  </si>
  <si>
    <t xml:space="preserve">36 Livingston Dr. </t>
  </si>
  <si>
    <t>Willis</t>
  </si>
  <si>
    <t>willis.randolph@yahoo.com</t>
  </si>
  <si>
    <t xml:space="preserve">332 Constitution St. </t>
  </si>
  <si>
    <t>Shawnda</t>
  </si>
  <si>
    <t>shawnda.glover@gmail.com</t>
  </si>
  <si>
    <t xml:space="preserve">138 Belmont Ave. </t>
  </si>
  <si>
    <t>jennette.baker@gmail.com</t>
  </si>
  <si>
    <t xml:space="preserve">798 Marvon St. </t>
  </si>
  <si>
    <t>Elma</t>
  </si>
  <si>
    <t>Molina</t>
  </si>
  <si>
    <t>elma.molina@msn.com</t>
  </si>
  <si>
    <t xml:space="preserve">8565 Devon Ave. </t>
  </si>
  <si>
    <t>Adam</t>
  </si>
  <si>
    <t>adam.henderson@hotmail.com</t>
  </si>
  <si>
    <t xml:space="preserve">167 James St. </t>
  </si>
  <si>
    <t>Ira</t>
  </si>
  <si>
    <t>ira.moore@gmail.com</t>
  </si>
  <si>
    <t xml:space="preserve">1 Pineknoll Court </t>
  </si>
  <si>
    <t>Kermit</t>
  </si>
  <si>
    <t>Bowman</t>
  </si>
  <si>
    <t>(915) 996-5952</t>
  </si>
  <si>
    <t>kermit.bowman@gmail.com</t>
  </si>
  <si>
    <t xml:space="preserve">3 Airport Street </t>
  </si>
  <si>
    <t>Gayle</t>
  </si>
  <si>
    <t>gayle.wilkinson@yahoo.com</t>
  </si>
  <si>
    <t xml:space="preserve">4 Riverside Ave. </t>
  </si>
  <si>
    <t>Launa</t>
  </si>
  <si>
    <t>Hull</t>
  </si>
  <si>
    <t>launa.hull@yahoo.com</t>
  </si>
  <si>
    <t xml:space="preserve">936 Grove Street </t>
  </si>
  <si>
    <t>myron.johns@msn.com</t>
  </si>
  <si>
    <t xml:space="preserve">5 N. Woodsman Rd. </t>
  </si>
  <si>
    <t>Tuan</t>
  </si>
  <si>
    <t>Wolfe</t>
  </si>
  <si>
    <t>tuan.wolfe@aol.com</t>
  </si>
  <si>
    <t xml:space="preserve">7641 Oak Meadow Dr. </t>
  </si>
  <si>
    <t>West Babylon</t>
  </si>
  <si>
    <t>Mathilda</t>
  </si>
  <si>
    <t>Pennington</t>
  </si>
  <si>
    <t>(845) 407-9524</t>
  </si>
  <si>
    <t>mathilda.pennington@gmail.com</t>
  </si>
  <si>
    <t xml:space="preserve">14 S. Argyle Ave. </t>
  </si>
  <si>
    <t>Reatha</t>
  </si>
  <si>
    <t>Perez</t>
  </si>
  <si>
    <t>reatha.perez@aol.com</t>
  </si>
  <si>
    <t xml:space="preserve">9917 1st St. </t>
  </si>
  <si>
    <t>Arnita</t>
  </si>
  <si>
    <t>Thomas</t>
  </si>
  <si>
    <t>arnita.thomas@gmail.com</t>
  </si>
  <si>
    <t xml:space="preserve">154 2nd St. </t>
  </si>
  <si>
    <t>Amparo</t>
  </si>
  <si>
    <t>amparo.burks@aol.com</t>
  </si>
  <si>
    <t xml:space="preserve">7781 Augusta St. </t>
  </si>
  <si>
    <t>Jenny</t>
  </si>
  <si>
    <t>Bell</t>
  </si>
  <si>
    <t>jenny.bell@hotmail.com</t>
  </si>
  <si>
    <t xml:space="preserve">38 Crescent St. </t>
  </si>
  <si>
    <t>Laverne</t>
  </si>
  <si>
    <t>Craft</t>
  </si>
  <si>
    <t>laverne.craft@aol.com</t>
  </si>
  <si>
    <t xml:space="preserve">829 N. Pierce Street </t>
  </si>
  <si>
    <t>Darcel</t>
  </si>
  <si>
    <t>Harmon</t>
  </si>
  <si>
    <t>darcel.harmon@msn.com</t>
  </si>
  <si>
    <t xml:space="preserve">966 Hickory Street </t>
  </si>
  <si>
    <t>Cecilia</t>
  </si>
  <si>
    <t>cecilia.camacho@yahoo.com</t>
  </si>
  <si>
    <t xml:space="preserve">682 Mountainview Rd. </t>
  </si>
  <si>
    <t>Pearlie</t>
  </si>
  <si>
    <t>Cochran</t>
  </si>
  <si>
    <t>pearlie.cochran@msn.com</t>
  </si>
  <si>
    <t xml:space="preserve">23 Homewood Rd. </t>
  </si>
  <si>
    <t>Deirdre</t>
  </si>
  <si>
    <t>Ryan</t>
  </si>
  <si>
    <t>deirdre.ryan@yahoo.com</t>
  </si>
  <si>
    <t xml:space="preserve">83 Jefferson Lane </t>
  </si>
  <si>
    <t>yevette.elliott@aol.com</t>
  </si>
  <si>
    <t xml:space="preserve">182 Euclid Street </t>
  </si>
  <si>
    <t>Ladawn</t>
  </si>
  <si>
    <t>Downs</t>
  </si>
  <si>
    <t>(281) 165-2090</t>
  </si>
  <si>
    <t>ladawn.downs@yahoo.com</t>
  </si>
  <si>
    <t xml:space="preserve">7452 S. Airport Court </t>
  </si>
  <si>
    <t>Dorothea</t>
  </si>
  <si>
    <t>dorothea.chang@gmail.com</t>
  </si>
  <si>
    <t xml:space="preserve">75 Oak Ave. </t>
  </si>
  <si>
    <t>Merlin</t>
  </si>
  <si>
    <t>(516) 150-1321</t>
  </si>
  <si>
    <t>merlin.foreman@msn.com</t>
  </si>
  <si>
    <t xml:space="preserve">8198 North Rockaway St. </t>
  </si>
  <si>
    <t>Lanie</t>
  </si>
  <si>
    <t>Dunn</t>
  </si>
  <si>
    <t>lanie.dunn@gmail.com</t>
  </si>
  <si>
    <t xml:space="preserve">7583 Pilgrim Ave. </t>
  </si>
  <si>
    <t>christoper.gould@aol.com</t>
  </si>
  <si>
    <t xml:space="preserve">8718 South Constitution St. </t>
  </si>
  <si>
    <t>Norine</t>
  </si>
  <si>
    <t>norine.huffman@aol.com</t>
  </si>
  <si>
    <t xml:space="preserve">363 Dunbar Drive </t>
  </si>
  <si>
    <t>Mccarty</t>
  </si>
  <si>
    <t>(619) 377-8586</t>
  </si>
  <si>
    <t>alane.mccarty@hotmail.com</t>
  </si>
  <si>
    <t xml:space="preserve">8254 Hilldale Street </t>
  </si>
  <si>
    <t>charleen.joyner@aol.com</t>
  </si>
  <si>
    <t xml:space="preserve">735 N. John Dr. </t>
  </si>
  <si>
    <t>Zella</t>
  </si>
  <si>
    <t>zella.fernandez@yahoo.com</t>
  </si>
  <si>
    <t xml:space="preserve">8 Marshall Dr. </t>
  </si>
  <si>
    <t>Knox</t>
  </si>
  <si>
    <t>(361) 760-1523</t>
  </si>
  <si>
    <t>collene.knox@msn.com</t>
  </si>
  <si>
    <t xml:space="preserve">7 North Branch Lane </t>
  </si>
  <si>
    <t>Alysia</t>
  </si>
  <si>
    <t>(805) 493-7311</t>
  </si>
  <si>
    <t>alysia.nicholson@hotmail.com</t>
  </si>
  <si>
    <t xml:space="preserve">868 Trusel St. </t>
  </si>
  <si>
    <t>Whitaker</t>
  </si>
  <si>
    <t>sharie.whitaker@hotmail.com</t>
  </si>
  <si>
    <t xml:space="preserve">7 Bayport Lane </t>
  </si>
  <si>
    <t>diana.cobb@hotmail.com</t>
  </si>
  <si>
    <t xml:space="preserve">558 Vale St. </t>
  </si>
  <si>
    <t>Barron</t>
  </si>
  <si>
    <t>(661) 386-4884</t>
  </si>
  <si>
    <t>morton.barron@msn.com</t>
  </si>
  <si>
    <t xml:space="preserve">542 Circle Rd. </t>
  </si>
  <si>
    <t>Camille</t>
  </si>
  <si>
    <t>Harvey</t>
  </si>
  <si>
    <t>camille.harvey@hotmail.com</t>
  </si>
  <si>
    <t xml:space="preserve">859 Beaver Ridge Ave. </t>
  </si>
  <si>
    <t>lolita.o'neill@aol.com</t>
  </si>
  <si>
    <t xml:space="preserve">36 Prairie Dr. </t>
  </si>
  <si>
    <t>Briggs</t>
  </si>
  <si>
    <t>terese.briggs@msn.com</t>
  </si>
  <si>
    <t xml:space="preserve">16 N. Oak Valley St. </t>
  </si>
  <si>
    <t>majorie.glover@msn.com</t>
  </si>
  <si>
    <t xml:space="preserve">4 Garden Ave. </t>
  </si>
  <si>
    <t>Vinnie</t>
  </si>
  <si>
    <t>Chan</t>
  </si>
  <si>
    <t>vinnie.chan@aol.com</t>
  </si>
  <si>
    <t xml:space="preserve">8750 Surrey St. </t>
  </si>
  <si>
    <t>ezra.silva@msn.com</t>
  </si>
  <si>
    <t xml:space="preserve">8629 Catherine Rd. </t>
  </si>
  <si>
    <t>Jovita</t>
  </si>
  <si>
    <t>Bishop</t>
  </si>
  <si>
    <t>jovita.bishop@aol.com</t>
  </si>
  <si>
    <t xml:space="preserve">8123 Wild Horse St. </t>
  </si>
  <si>
    <t>Kecia</t>
  </si>
  <si>
    <t>kecia.olsen@msn.com</t>
  </si>
  <si>
    <t xml:space="preserve">8389 Central St. </t>
  </si>
  <si>
    <t>Ilona</t>
  </si>
  <si>
    <t>Spears</t>
  </si>
  <si>
    <t>ilona.spears@gmail.com</t>
  </si>
  <si>
    <t xml:space="preserve">984 Canterbury Lane </t>
  </si>
  <si>
    <t>Senaida</t>
  </si>
  <si>
    <t>senaida.thompson@msn.com</t>
  </si>
  <si>
    <t xml:space="preserve">578 Golf Drive </t>
  </si>
  <si>
    <t>Larae</t>
  </si>
  <si>
    <t>Carney</t>
  </si>
  <si>
    <t>larae.carney@msn.com</t>
  </si>
  <si>
    <t xml:space="preserve">9322 Glen Ridge Dr. </t>
  </si>
  <si>
    <t>Sebrina</t>
  </si>
  <si>
    <t>Hart</t>
  </si>
  <si>
    <t>sebrina.hart@yahoo.com</t>
  </si>
  <si>
    <t xml:space="preserve">7679 Pacific St. </t>
  </si>
  <si>
    <t>Kristofer</t>
  </si>
  <si>
    <t>Craig</t>
  </si>
  <si>
    <t>kristofer.craig@yahoo.com</t>
  </si>
  <si>
    <t xml:space="preserve">6 Delaware Lane </t>
  </si>
  <si>
    <t>Luciana</t>
  </si>
  <si>
    <t>Mcgee</t>
  </si>
  <si>
    <t>luciana.mcgee@msn.com</t>
  </si>
  <si>
    <t xml:space="preserve">8002 Cross St. </t>
  </si>
  <si>
    <t>nicki.fry@hotmail.com</t>
  </si>
  <si>
    <t xml:space="preserve">950 Snake Hill Lane </t>
  </si>
  <si>
    <t>Endicott</t>
  </si>
  <si>
    <t>Devin</t>
  </si>
  <si>
    <t>Shaffer</t>
  </si>
  <si>
    <t>(507) 557-2191</t>
  </si>
  <si>
    <t>devin.shaffer@gmail.com</t>
  </si>
  <si>
    <t xml:space="preserve">382 Third Ave. </t>
  </si>
  <si>
    <t>Osborne</t>
  </si>
  <si>
    <t>erlinda.osborne@yahoo.com</t>
  </si>
  <si>
    <t xml:space="preserve">148 Elm St. </t>
  </si>
  <si>
    <t>Camila</t>
  </si>
  <si>
    <t>(210) 436-8676</t>
  </si>
  <si>
    <t>camila.carroll@yahoo.com</t>
  </si>
  <si>
    <t xml:space="preserve">72 Shub Farm Avenue </t>
  </si>
  <si>
    <t>San Antonio</t>
  </si>
  <si>
    <t>Vicki</t>
  </si>
  <si>
    <t>vicki.wiggins@hotmail.com</t>
  </si>
  <si>
    <t xml:space="preserve">71 Broad Ave. </t>
  </si>
  <si>
    <t>Lois</t>
  </si>
  <si>
    <t>lois.steele@yahoo.com</t>
  </si>
  <si>
    <t xml:space="preserve">7501 South Marlborough Street </t>
  </si>
  <si>
    <t>Mcpherson</t>
  </si>
  <si>
    <t>carola.mcpherson@hotmail.com</t>
  </si>
  <si>
    <t xml:space="preserve">578 Shirley Dr. </t>
  </si>
  <si>
    <t>Rochell</t>
  </si>
  <si>
    <t>rochell.cantrell@yahoo.com</t>
  </si>
  <si>
    <t xml:space="preserve">437 Water Dr. </t>
  </si>
  <si>
    <t>Sullivan</t>
  </si>
  <si>
    <t>kasha.sullivan@hotmail.com</t>
  </si>
  <si>
    <t xml:space="preserve">48 Foster Rd. </t>
  </si>
  <si>
    <t>Viva</t>
  </si>
  <si>
    <t>viva.dawson@yahoo.com</t>
  </si>
  <si>
    <t xml:space="preserve">446 Princess Ave. </t>
  </si>
  <si>
    <t>Hue</t>
  </si>
  <si>
    <t>hue.dalton@hotmail.com</t>
  </si>
  <si>
    <t xml:space="preserve">7940 Oakwood Street </t>
  </si>
  <si>
    <t>Andria</t>
  </si>
  <si>
    <t>Rivers</t>
  </si>
  <si>
    <t>andria.rivers@aol.com</t>
  </si>
  <si>
    <t xml:space="preserve">183 Ohio Ave. </t>
  </si>
  <si>
    <t>Hilary</t>
  </si>
  <si>
    <t>Savage</t>
  </si>
  <si>
    <t>(805) 753-6881</t>
  </si>
  <si>
    <t>hilary.savage@yahoo.com</t>
  </si>
  <si>
    <t xml:space="preserve">696 Howard Court </t>
  </si>
  <si>
    <t>Lavona</t>
  </si>
  <si>
    <t>lavona.austin@yahoo.com</t>
  </si>
  <si>
    <t xml:space="preserve">926 South Euclid St. </t>
  </si>
  <si>
    <t>Doreatha</t>
  </si>
  <si>
    <t>Ford</t>
  </si>
  <si>
    <t>doreatha.ford@yahoo.com</t>
  </si>
  <si>
    <t xml:space="preserve">9413 Ryan Ave. </t>
  </si>
  <si>
    <t>Alina</t>
  </si>
  <si>
    <t>Mcleod</t>
  </si>
  <si>
    <t>alina.mcleod@msn.com</t>
  </si>
  <si>
    <t xml:space="preserve">20 Winchester Street </t>
  </si>
  <si>
    <t>Aide</t>
  </si>
  <si>
    <t>aide.franco@msn.com</t>
  </si>
  <si>
    <t xml:space="preserve">8017 Lake Forest St. </t>
  </si>
  <si>
    <t>Genny</t>
  </si>
  <si>
    <t>genny.hensley@yahoo.com</t>
  </si>
  <si>
    <t xml:space="preserve">8849 Marconi Ave. </t>
  </si>
  <si>
    <t>Melita</t>
  </si>
  <si>
    <t>Dominguez</t>
  </si>
  <si>
    <t>melita.dominguez@msn.com</t>
  </si>
  <si>
    <t xml:space="preserve">9903 Santa Clara Lane </t>
  </si>
  <si>
    <t>Fannie</t>
  </si>
  <si>
    <t>(805) 774-5696</t>
  </si>
  <si>
    <t>fannie.jenkins@msn.com</t>
  </si>
  <si>
    <t xml:space="preserve">7858 E. Pawnee Dr. </t>
  </si>
  <si>
    <t>Bobbi</t>
  </si>
  <si>
    <t>Banks</t>
  </si>
  <si>
    <t>bobbi.banks@yahoo.com</t>
  </si>
  <si>
    <t xml:space="preserve">396 Wagon Rd. </t>
  </si>
  <si>
    <t>Gwenn</t>
  </si>
  <si>
    <t>gwenn.melton@yahoo.com</t>
  </si>
  <si>
    <t xml:space="preserve">9545 Wakehurst Drive </t>
  </si>
  <si>
    <t>Laci</t>
  </si>
  <si>
    <t>laci.castro@hotmail.com</t>
  </si>
  <si>
    <t xml:space="preserve">130 Birchpond Street </t>
  </si>
  <si>
    <t>Manning</t>
  </si>
  <si>
    <t>evelina.manning@aol.com</t>
  </si>
  <si>
    <t xml:space="preserve">7515 Spring St. </t>
  </si>
  <si>
    <t>Tania</t>
  </si>
  <si>
    <t>Swanson</t>
  </si>
  <si>
    <t>tania.swanson@yahoo.com</t>
  </si>
  <si>
    <t xml:space="preserve">8646 Glen Eagles Ave. </t>
  </si>
  <si>
    <t>Laurel</t>
  </si>
  <si>
    <t>laurel.schultz@hotmail.com</t>
  </si>
  <si>
    <t xml:space="preserve">812 E. 1st Lane </t>
  </si>
  <si>
    <t>Carolyne</t>
  </si>
  <si>
    <t>Conley</t>
  </si>
  <si>
    <t>carolyne.conley@gmail.com</t>
  </si>
  <si>
    <t xml:space="preserve">431 Lees Creek Drive </t>
  </si>
  <si>
    <t>Eldridge</t>
  </si>
  <si>
    <t>eldridge.greer@aol.com</t>
  </si>
  <si>
    <t xml:space="preserve">131 E. Madison St. </t>
  </si>
  <si>
    <t>Margret</t>
  </si>
  <si>
    <t>margret.barnett@gmail.com</t>
  </si>
  <si>
    <t xml:space="preserve">7509 Depot Rd. </t>
  </si>
  <si>
    <t>Oliva</t>
  </si>
  <si>
    <t>Blackwell</t>
  </si>
  <si>
    <t>oliva.blackwell@hotmail.com</t>
  </si>
  <si>
    <t xml:space="preserve">54 Ramblewood St. </t>
  </si>
  <si>
    <t>Oralia</t>
  </si>
  <si>
    <t>oralia.farley@hotmail.com</t>
  </si>
  <si>
    <t xml:space="preserve">747B E. Coffee Street </t>
  </si>
  <si>
    <t>Salazar</t>
  </si>
  <si>
    <t>romaine.salazar@yahoo.com</t>
  </si>
  <si>
    <t xml:space="preserve">7700 Wentworth Rd. </t>
  </si>
  <si>
    <t>Hermila</t>
  </si>
  <si>
    <t>Mckay</t>
  </si>
  <si>
    <t>hermila.mckay@yahoo.com</t>
  </si>
  <si>
    <t xml:space="preserve">23 Garfield Dr. </t>
  </si>
  <si>
    <t>Miranda</t>
  </si>
  <si>
    <t>lloyd.miranda@hotmail.com</t>
  </si>
  <si>
    <t xml:space="preserve">9098 Jennings St. </t>
  </si>
  <si>
    <t>Mandi</t>
  </si>
  <si>
    <t>Gibbs</t>
  </si>
  <si>
    <t>mandi.gibbs@gmail.com</t>
  </si>
  <si>
    <t xml:space="preserve">80 Sycamore Drive </t>
  </si>
  <si>
    <t>May</t>
  </si>
  <si>
    <t>hue.may@aol.com</t>
  </si>
  <si>
    <t xml:space="preserve">19 S. Lawrence Dr. </t>
  </si>
  <si>
    <t>tomika.wilder@aol.com</t>
  </si>
  <si>
    <t xml:space="preserve">142 South Ocean St. </t>
  </si>
  <si>
    <t>Graig</t>
  </si>
  <si>
    <t>graig.roth@aol.com</t>
  </si>
  <si>
    <t xml:space="preserve">7516 Wrangler Street </t>
  </si>
  <si>
    <t>Lamar</t>
  </si>
  <si>
    <t>lamar.greer@gmail.com</t>
  </si>
  <si>
    <t xml:space="preserve">7909 Golden Star Ave. </t>
  </si>
  <si>
    <t>Raymonde</t>
  </si>
  <si>
    <t>Garcia</t>
  </si>
  <si>
    <t>raymonde.garcia@aol.com</t>
  </si>
  <si>
    <t xml:space="preserve">55 NE. North St. </t>
  </si>
  <si>
    <t>Cira</t>
  </si>
  <si>
    <t>(510) 788-4456</t>
  </si>
  <si>
    <t>cira.downs@gmail.com</t>
  </si>
  <si>
    <t xml:space="preserve">672 Sussex Ave. </t>
  </si>
  <si>
    <t>Marisa</t>
  </si>
  <si>
    <t>Chambers</t>
  </si>
  <si>
    <t>marisa.chambers@msn.com</t>
  </si>
  <si>
    <t xml:space="preserve">15 E. Rock Creek Ave. </t>
  </si>
  <si>
    <t>Rod</t>
  </si>
  <si>
    <t>Hatfield</t>
  </si>
  <si>
    <t>rod.hatfield@hotmail.com</t>
  </si>
  <si>
    <t xml:space="preserve">7090 Bridge Dr. </t>
  </si>
  <si>
    <t>Quyen</t>
  </si>
  <si>
    <t>quyen.houston@gmail.com</t>
  </si>
  <si>
    <t xml:space="preserve">7758 Homewood Dr. </t>
  </si>
  <si>
    <t>Han</t>
  </si>
  <si>
    <t>han.schneider@gmail.com</t>
  </si>
  <si>
    <t xml:space="preserve">40 Holly Street </t>
  </si>
  <si>
    <t>Terrell</t>
  </si>
  <si>
    <t>terrell.mathis@aol.com</t>
  </si>
  <si>
    <t xml:space="preserve">9320 Center Ave. </t>
  </si>
  <si>
    <t>Spring</t>
  </si>
  <si>
    <t>spring.hayes@hotmail.com</t>
  </si>
  <si>
    <t xml:space="preserve">8591 Wentworth St. </t>
  </si>
  <si>
    <t>Lecia</t>
  </si>
  <si>
    <t>Hancock</t>
  </si>
  <si>
    <t>lecia.hancock@hotmail.com</t>
  </si>
  <si>
    <t xml:space="preserve">9167 Pineknoll St. </t>
  </si>
  <si>
    <t>Twana</t>
  </si>
  <si>
    <t>(657) 988-1904</t>
  </si>
  <si>
    <t>twana.arnold@msn.com</t>
  </si>
  <si>
    <t xml:space="preserve">47 North Fairground Lane </t>
  </si>
  <si>
    <t>Yvone</t>
  </si>
  <si>
    <t>yvone.yates@gmail.com</t>
  </si>
  <si>
    <t xml:space="preserve">9269 Blue Spring Ave. </t>
  </si>
  <si>
    <t>Agatha</t>
  </si>
  <si>
    <t>agatha.melton@yahoo.com</t>
  </si>
  <si>
    <t xml:space="preserve">89 East Illinois Street </t>
  </si>
  <si>
    <t>Lavonda</t>
  </si>
  <si>
    <t>Stephenson</t>
  </si>
  <si>
    <t>lavonda.stephenson@gmail.com</t>
  </si>
  <si>
    <t xml:space="preserve">37 Birchwood Dr. </t>
  </si>
  <si>
    <t>Agnes</t>
  </si>
  <si>
    <t>(716) 780-9901</t>
  </si>
  <si>
    <t>agnes.sims@aol.com</t>
  </si>
  <si>
    <t xml:space="preserve">170 Queen Lane </t>
  </si>
  <si>
    <t>Latricia</t>
  </si>
  <si>
    <t>Lindsey</t>
  </si>
  <si>
    <t>latricia.lindsey@hotmail.com</t>
  </si>
  <si>
    <t xml:space="preserve">288 Campfire Dr. </t>
  </si>
  <si>
    <t>Yolando</t>
  </si>
  <si>
    <t>Wade</t>
  </si>
  <si>
    <t>yolando.wade@hotmail.com</t>
  </si>
  <si>
    <t xml:space="preserve">310 Wilson Ave. </t>
  </si>
  <si>
    <t>Nenita</t>
  </si>
  <si>
    <t>nenita.mooney@hotmail.com</t>
  </si>
  <si>
    <t xml:space="preserve">10 W. Bishop Street </t>
  </si>
  <si>
    <t>Hyde</t>
  </si>
  <si>
    <t>kermit.hyde@hotmail.com</t>
  </si>
  <si>
    <t xml:space="preserve">87 SE. Carson St. </t>
  </si>
  <si>
    <t>Angelique</t>
  </si>
  <si>
    <t>Merrill</t>
  </si>
  <si>
    <t>angelique.merrill@gmail.com</t>
  </si>
  <si>
    <t xml:space="preserve">8490 West High Noon Ave. </t>
  </si>
  <si>
    <t>Ilda</t>
  </si>
  <si>
    <t>ilda.roberson@aol.com</t>
  </si>
  <si>
    <t xml:space="preserve">8853 Lake St. </t>
  </si>
  <si>
    <t>Corrinne</t>
  </si>
  <si>
    <t>corrinne.garrison@yahoo.com</t>
  </si>
  <si>
    <t xml:space="preserve">81 East Glenwood Ave. </t>
  </si>
  <si>
    <t>Major</t>
  </si>
  <si>
    <t>major.merrill@aol.com</t>
  </si>
  <si>
    <t xml:space="preserve">78 Thatcher Court </t>
  </si>
  <si>
    <t>Ouida</t>
  </si>
  <si>
    <t>Gregory</t>
  </si>
  <si>
    <t>ouida.gregory@aol.com</t>
  </si>
  <si>
    <t xml:space="preserve">7984 8th Street </t>
  </si>
  <si>
    <t>tajuana.riddle@hotmail.com</t>
  </si>
  <si>
    <t xml:space="preserve">24 St Margarets Ave. </t>
  </si>
  <si>
    <t>Ricki</t>
  </si>
  <si>
    <t>ricki.bullock@hotmail.com</t>
  </si>
  <si>
    <t xml:space="preserve">79 Pennington Rd. </t>
  </si>
  <si>
    <t>Kent</t>
  </si>
  <si>
    <t>(717) 890-4260</t>
  </si>
  <si>
    <t>celestine.kent@aol.com</t>
  </si>
  <si>
    <t xml:space="preserve">697 Fordham Street </t>
  </si>
  <si>
    <t>Debbra</t>
  </si>
  <si>
    <t>Jacobson</t>
  </si>
  <si>
    <t>debbra.jacobson@yahoo.com</t>
  </si>
  <si>
    <t xml:space="preserve">8316 West Bedford Ave. </t>
  </si>
  <si>
    <t>Kandis</t>
  </si>
  <si>
    <t>kandis.mills@hotmail.com</t>
  </si>
  <si>
    <t xml:space="preserve">64 Beechwood Drive </t>
  </si>
  <si>
    <t>Wallace</t>
  </si>
  <si>
    <t>Lane</t>
  </si>
  <si>
    <t>wallace.lane@aol.com</t>
  </si>
  <si>
    <t xml:space="preserve">901 Liberty St. </t>
  </si>
  <si>
    <t>Malisa</t>
  </si>
  <si>
    <t>Mitchell</t>
  </si>
  <si>
    <t>malisa.mitchell@msn.com</t>
  </si>
  <si>
    <t xml:space="preserve">87 Ridgewood Court </t>
  </si>
  <si>
    <t>Lilliam</t>
  </si>
  <si>
    <t>lilliam.nolan@msn.com</t>
  </si>
  <si>
    <t xml:space="preserve">8976 Berkshire Court </t>
  </si>
  <si>
    <t>Copperas Cove</t>
  </si>
  <si>
    <t>Tad</t>
  </si>
  <si>
    <t>Gardner</t>
  </si>
  <si>
    <t>tad.gardner@hotmail.com</t>
  </si>
  <si>
    <t xml:space="preserve">9745 E. Wilson St. </t>
  </si>
  <si>
    <t>petronila.gallegos@gmail.com</t>
  </si>
  <si>
    <t xml:space="preserve">8053 Aspen St. </t>
  </si>
  <si>
    <t>Yun</t>
  </si>
  <si>
    <t>Nelson</t>
  </si>
  <si>
    <t>yun.nelson@hotmail.com</t>
  </si>
  <si>
    <t xml:space="preserve">529 Durham Street </t>
  </si>
  <si>
    <t>Edgar</t>
  </si>
  <si>
    <t>edgar.horn@aol.com</t>
  </si>
  <si>
    <t xml:space="preserve">7270 W. Cherry Hill Lane </t>
  </si>
  <si>
    <t>Chantay</t>
  </si>
  <si>
    <t>Maynard</t>
  </si>
  <si>
    <t>chantay.maynard@gmail.com</t>
  </si>
  <si>
    <t xml:space="preserve">7483 1st Ave. </t>
  </si>
  <si>
    <t>Donette</t>
  </si>
  <si>
    <t>Mccarthy</t>
  </si>
  <si>
    <t>donette.mccarthy@yahoo.com</t>
  </si>
  <si>
    <t xml:space="preserve">500 NW. Maiden Dr. </t>
  </si>
  <si>
    <t>Mariam</t>
  </si>
  <si>
    <t>mariam.miranda@aol.com</t>
  </si>
  <si>
    <t xml:space="preserve">18 East Washington Avenue </t>
  </si>
  <si>
    <t>Rosalie</t>
  </si>
  <si>
    <t>rosalie.coffey@gmail.com</t>
  </si>
  <si>
    <t xml:space="preserve">789 Amerige Dr. </t>
  </si>
  <si>
    <t>Cathey</t>
  </si>
  <si>
    <t>Lamb</t>
  </si>
  <si>
    <t>cathey.lamb@msn.com</t>
  </si>
  <si>
    <t xml:space="preserve">9621 Ryan Drive </t>
  </si>
  <si>
    <t>Alyse</t>
  </si>
  <si>
    <t>alyse.jacobson@yahoo.com</t>
  </si>
  <si>
    <t xml:space="preserve">10 West Devon Lane </t>
  </si>
  <si>
    <t>India</t>
  </si>
  <si>
    <t>india.barron@msn.com</t>
  </si>
  <si>
    <t xml:space="preserve">834 W. Pleasant Rd. </t>
  </si>
  <si>
    <t>Cris</t>
  </si>
  <si>
    <t>cris.dunn@yahoo.com</t>
  </si>
  <si>
    <t xml:space="preserve">1 Pawnee Street </t>
  </si>
  <si>
    <t>Ophelia</t>
  </si>
  <si>
    <t>Rodgers</t>
  </si>
  <si>
    <t>ophelia.rodgers@gmail.com</t>
  </si>
  <si>
    <t xml:space="preserve">133 Joy Ridge Drive </t>
  </si>
  <si>
    <t>Barrett</t>
  </si>
  <si>
    <t>Sanders</t>
  </si>
  <si>
    <t>barrett.sanders@aol.com</t>
  </si>
  <si>
    <t xml:space="preserve">32 Hawthorne St. </t>
  </si>
  <si>
    <t>Bernardina</t>
  </si>
  <si>
    <t>bernardina.cooper@msn.com</t>
  </si>
  <si>
    <t xml:space="preserve">223 Glen Creek Ave. </t>
  </si>
  <si>
    <t>Douglas</t>
  </si>
  <si>
    <t>Richards</t>
  </si>
  <si>
    <t>douglas.richards@hotmail.com</t>
  </si>
  <si>
    <t xml:space="preserve">221 Arcadia Lane </t>
  </si>
  <si>
    <t>Phillis</t>
  </si>
  <si>
    <t>phillis.fowler@aol.com</t>
  </si>
  <si>
    <t xml:space="preserve">8976 N. Hall Street </t>
  </si>
  <si>
    <t>Reyes</t>
  </si>
  <si>
    <t>reyes.merritt@yahoo.com</t>
  </si>
  <si>
    <t xml:space="preserve">48 Lexington Rd. </t>
  </si>
  <si>
    <t>Nathalie</t>
  </si>
  <si>
    <t>Knowles</t>
  </si>
  <si>
    <t>nathalie.knowles@aol.com</t>
  </si>
  <si>
    <t xml:space="preserve">4 Cactus Street </t>
  </si>
  <si>
    <t>Vallie</t>
  </si>
  <si>
    <t>vallie.dixon@yahoo.com</t>
  </si>
  <si>
    <t xml:space="preserve">85 E. Ann Drive </t>
  </si>
  <si>
    <t>Elnora</t>
  </si>
  <si>
    <t>Simpson</t>
  </si>
  <si>
    <t>elnora.simpson@yahoo.com</t>
  </si>
  <si>
    <t xml:space="preserve">7157 Shore Ave. </t>
  </si>
  <si>
    <t>Ivelisse</t>
  </si>
  <si>
    <t>Nixon</t>
  </si>
  <si>
    <t>(281) 941-4933</t>
  </si>
  <si>
    <t>ivelisse.nixon@aol.com</t>
  </si>
  <si>
    <t xml:space="preserve">782 Boston Ave. </t>
  </si>
  <si>
    <t>Shanti</t>
  </si>
  <si>
    <t>shanti.johnston@gmail.com</t>
  </si>
  <si>
    <t xml:space="preserve">722 Alderwood Drive </t>
  </si>
  <si>
    <t>Martha</t>
  </si>
  <si>
    <t>martha.burgess@msn.com</t>
  </si>
  <si>
    <t xml:space="preserve">9631 St Margarets Lane </t>
  </si>
  <si>
    <t>Neville</t>
  </si>
  <si>
    <t>Mcclain</t>
  </si>
  <si>
    <t>neville.mcclain@yahoo.com</t>
  </si>
  <si>
    <t xml:space="preserve">781 Buttonwood Ave. </t>
  </si>
  <si>
    <t>Ghislaine</t>
  </si>
  <si>
    <t>ghislaine.compton@aol.com</t>
  </si>
  <si>
    <t xml:space="preserve">8930 Princess St. </t>
  </si>
  <si>
    <t>Leanna</t>
  </si>
  <si>
    <t>leanna.manning@yahoo.com</t>
  </si>
  <si>
    <t xml:space="preserve">39 E. Stillwater Ave. </t>
  </si>
  <si>
    <t>marshall.johnson@yahoo.com</t>
  </si>
  <si>
    <t xml:space="preserve">44 Greenview St. </t>
  </si>
  <si>
    <t>Zelda</t>
  </si>
  <si>
    <t>(717) 428-4018</t>
  </si>
  <si>
    <t>zelda.pratt@gmail.com</t>
  </si>
  <si>
    <t xml:space="preserve">74 Trusel Drive </t>
  </si>
  <si>
    <t>Joel</t>
  </si>
  <si>
    <t>(619) 210-6032</t>
  </si>
  <si>
    <t>joel.wynn@aol.com</t>
  </si>
  <si>
    <t xml:space="preserve">7 North Oak Ave. </t>
  </si>
  <si>
    <t>Yahaira</t>
  </si>
  <si>
    <t>yahaira.robertson@yahoo.com</t>
  </si>
  <si>
    <t xml:space="preserve">142 Roehampton Dr. </t>
  </si>
  <si>
    <t>Sandy</t>
  </si>
  <si>
    <t>sandy.mills@gmail.com</t>
  </si>
  <si>
    <t xml:space="preserve">333 Olive Ave. </t>
  </si>
  <si>
    <t>Cassidy</t>
  </si>
  <si>
    <t>Clark</t>
  </si>
  <si>
    <t>cassidy.clark@hotmail.com</t>
  </si>
  <si>
    <t xml:space="preserve">9879 Old Kingston Road </t>
  </si>
  <si>
    <t>Kristy</t>
  </si>
  <si>
    <t>Watkins</t>
  </si>
  <si>
    <t>kristy.watkins@gmail.com</t>
  </si>
  <si>
    <t xml:space="preserve">977 South Brook Ave. </t>
  </si>
  <si>
    <t>Tina</t>
  </si>
  <si>
    <t>tina.bush@aol.com</t>
  </si>
  <si>
    <t xml:space="preserve">8038 Bellevue Street </t>
  </si>
  <si>
    <t>Veronika</t>
  </si>
  <si>
    <t>veronika.rollins@yahoo.com</t>
  </si>
  <si>
    <t xml:space="preserve">94 Arnold Ave. </t>
  </si>
  <si>
    <t>Kristel</t>
  </si>
  <si>
    <t>kristel.byrd@hotmail.com</t>
  </si>
  <si>
    <t xml:space="preserve">9967 Piper Street </t>
  </si>
  <si>
    <t>Shay</t>
  </si>
  <si>
    <t>shay.stephenson@aol.com</t>
  </si>
  <si>
    <t xml:space="preserve">9569 4th Lane </t>
  </si>
  <si>
    <t>George</t>
  </si>
  <si>
    <t>george.pickett@msn.com</t>
  </si>
  <si>
    <t xml:space="preserve">691 Rocky River St. </t>
  </si>
  <si>
    <t>Renato</t>
  </si>
  <si>
    <t>renato.morton@msn.com</t>
  </si>
  <si>
    <t xml:space="preserve">8526 Sherwood Street </t>
  </si>
  <si>
    <t>Marcy</t>
  </si>
  <si>
    <t>Rodriguez</t>
  </si>
  <si>
    <t>marcy.rodriguez@gmail.com</t>
  </si>
  <si>
    <t xml:space="preserve">97 Trusel Drive </t>
  </si>
  <si>
    <t>Edmund</t>
  </si>
  <si>
    <t>edmund.gaines@gmail.com</t>
  </si>
  <si>
    <t xml:space="preserve">8643 Gartner St. </t>
  </si>
  <si>
    <t>lory.berg@aol.com</t>
  </si>
  <si>
    <t xml:space="preserve">64 Vine Drive </t>
  </si>
  <si>
    <t>pamala.fowler@gmail.com</t>
  </si>
  <si>
    <t xml:space="preserve">399 Leatherwood St. </t>
  </si>
  <si>
    <t>Leone</t>
  </si>
  <si>
    <t>Emerson</t>
  </si>
  <si>
    <t>leone.emerson@msn.com</t>
  </si>
  <si>
    <t xml:space="preserve">460 Smith Store Ave. </t>
  </si>
  <si>
    <t>Brain</t>
  </si>
  <si>
    <t>Skinner</t>
  </si>
  <si>
    <t>brain.skinner@hotmail.com</t>
  </si>
  <si>
    <t xml:space="preserve">8676 Ketch Harbour Ave. </t>
  </si>
  <si>
    <t>Roseanne</t>
  </si>
  <si>
    <t>roseanne.maynard@yahoo.com</t>
  </si>
  <si>
    <t xml:space="preserve">219 Old Paris Hill Dr. </t>
  </si>
  <si>
    <t>Corinna</t>
  </si>
  <si>
    <t>Adams</t>
  </si>
  <si>
    <t>corinna.adams@msn.com</t>
  </si>
  <si>
    <t xml:space="preserve">38 Trenton Court </t>
  </si>
  <si>
    <t>Kellye</t>
  </si>
  <si>
    <t>kellye.campbell@gmail.com</t>
  </si>
  <si>
    <t xml:space="preserve">75 Marsh St. </t>
  </si>
  <si>
    <t>Erna</t>
  </si>
  <si>
    <t>Sloan</t>
  </si>
  <si>
    <t>erna.sloan@aol.com</t>
  </si>
  <si>
    <t xml:space="preserve">9449 Fifth Avenue </t>
  </si>
  <si>
    <t>Carolann</t>
  </si>
  <si>
    <t>Russell</t>
  </si>
  <si>
    <t>carolann.russell@hotmail.com</t>
  </si>
  <si>
    <t xml:space="preserve">9308 Selby Ave. </t>
  </si>
  <si>
    <t>Calhoun</t>
  </si>
  <si>
    <t>gilbert.calhoun@msn.com</t>
  </si>
  <si>
    <t xml:space="preserve">7339 Summer Drive </t>
  </si>
  <si>
    <t>Maxwell</t>
  </si>
  <si>
    <t>manie.maxwell@gmail.com</t>
  </si>
  <si>
    <t xml:space="preserve">85 Brickell Ave. </t>
  </si>
  <si>
    <t>Giselle</t>
  </si>
  <si>
    <t>Robles</t>
  </si>
  <si>
    <t>giselle.robles@hotmail.com</t>
  </si>
  <si>
    <t xml:space="preserve">9747 N. El Dorado Dr. </t>
  </si>
  <si>
    <t>Tessie</t>
  </si>
  <si>
    <t>Farmer</t>
  </si>
  <si>
    <t>tessie.farmer@msn.com</t>
  </si>
  <si>
    <t xml:space="preserve">870 Cottage Ave. </t>
  </si>
  <si>
    <t>Felica</t>
  </si>
  <si>
    <t>felica.munoz@aol.com</t>
  </si>
  <si>
    <t xml:space="preserve">24 West Rockwell Dr. </t>
  </si>
  <si>
    <t>Kathyrn</t>
  </si>
  <si>
    <t>kathyrn.bush@gmail.com</t>
  </si>
  <si>
    <t xml:space="preserve">90 Devon St. </t>
  </si>
  <si>
    <t>Sylvester</t>
  </si>
  <si>
    <t>sylvester.chan@hotmail.com</t>
  </si>
  <si>
    <t xml:space="preserve">659 Arcadia Street </t>
  </si>
  <si>
    <t>Lizette</t>
  </si>
  <si>
    <t>Ellison</t>
  </si>
  <si>
    <t>lizette.ellison@hotmail.com</t>
  </si>
  <si>
    <t xml:space="preserve">865 Sunbeam Street </t>
  </si>
  <si>
    <t>Ernestina</t>
  </si>
  <si>
    <t>ernestina.skinner@hotmail.com</t>
  </si>
  <si>
    <t xml:space="preserve">52 Spring Drive </t>
  </si>
  <si>
    <t>Phyllis</t>
  </si>
  <si>
    <t>phyllis.hill@yahoo.com</t>
  </si>
  <si>
    <t xml:space="preserve">576 Devon Ave. </t>
  </si>
  <si>
    <t>Stephanie</t>
  </si>
  <si>
    <t>stephanie.browning@yahoo.com</t>
  </si>
  <si>
    <t xml:space="preserve">9156 Lantern St. </t>
  </si>
  <si>
    <t>Arlena</t>
  </si>
  <si>
    <t>arlena.buckner@hotmail.com</t>
  </si>
  <si>
    <t xml:space="preserve">629 Locust Ave. </t>
  </si>
  <si>
    <t>Lezlie</t>
  </si>
  <si>
    <t>lezlie.thompson@yahoo.com</t>
  </si>
  <si>
    <t xml:space="preserve">73 Vernon St. </t>
  </si>
  <si>
    <t>brittney.rojas@aol.com</t>
  </si>
  <si>
    <t xml:space="preserve">2 E. Overlook Ave. </t>
  </si>
  <si>
    <t>Phylis</t>
  </si>
  <si>
    <t>Adkins</t>
  </si>
  <si>
    <t>(212) 325-9145</t>
  </si>
  <si>
    <t>phylis.adkins@msn.com</t>
  </si>
  <si>
    <t xml:space="preserve">7781 James Ave. </t>
  </si>
  <si>
    <t>Lean</t>
  </si>
  <si>
    <t>Stark</t>
  </si>
  <si>
    <t>lean.stark@msn.com</t>
  </si>
  <si>
    <t xml:space="preserve">215 Old Pumpkin Hill St. </t>
  </si>
  <si>
    <t>Lara</t>
  </si>
  <si>
    <t>Guy</t>
  </si>
  <si>
    <t>lara.guy@aol.com</t>
  </si>
  <si>
    <t xml:space="preserve">9809 E. Walnut Drive </t>
  </si>
  <si>
    <t>Inga</t>
  </si>
  <si>
    <t>Koch</t>
  </si>
  <si>
    <t>inga.koch@msn.com</t>
  </si>
  <si>
    <t xml:space="preserve">8445 South New Court </t>
  </si>
  <si>
    <t>klara.kim@gmail.com</t>
  </si>
  <si>
    <t xml:space="preserve">9660 Sherman Lane </t>
  </si>
  <si>
    <t>Julianne</t>
  </si>
  <si>
    <t>Shannon</t>
  </si>
  <si>
    <t>julianne.shannon@hotmail.com</t>
  </si>
  <si>
    <t xml:space="preserve">28 Applegate Street </t>
  </si>
  <si>
    <t>Mullen</t>
  </si>
  <si>
    <t>loni.mullen@msn.com</t>
  </si>
  <si>
    <t xml:space="preserve">55 Thompson Avenue </t>
  </si>
  <si>
    <t>Olympia</t>
  </si>
  <si>
    <t>Figueroa</t>
  </si>
  <si>
    <t>olympia.figueroa@hotmail.com</t>
  </si>
  <si>
    <t xml:space="preserve">587 Surrey St. </t>
  </si>
  <si>
    <t>Mellie</t>
  </si>
  <si>
    <t>mellie.puckett@yahoo.com</t>
  </si>
  <si>
    <t xml:space="preserve">64 Van Dyke St. </t>
  </si>
  <si>
    <t>shonta.preston@msn.com</t>
  </si>
  <si>
    <t xml:space="preserve">74 Division St. </t>
  </si>
  <si>
    <t>Lore</t>
  </si>
  <si>
    <t>(716) 382-5169</t>
  </si>
  <si>
    <t>lore.sykes@aol.com</t>
  </si>
  <si>
    <t xml:space="preserve">7050 Beach Drive </t>
  </si>
  <si>
    <t>Julia</t>
  </si>
  <si>
    <t>julia.joyner@msn.com</t>
  </si>
  <si>
    <t xml:space="preserve">2 Valley View Dr. </t>
  </si>
  <si>
    <t>Lynwood</t>
  </si>
  <si>
    <t>lynwood.jackson@aol.com</t>
  </si>
  <si>
    <t xml:space="preserve">9449 Linda Street </t>
  </si>
  <si>
    <t>Rosalva</t>
  </si>
  <si>
    <t>rosalva.hamilton@aol.com</t>
  </si>
  <si>
    <t xml:space="preserve">9883 Cedar Dr. </t>
  </si>
  <si>
    <t>Domingo</t>
  </si>
  <si>
    <t>(408) 761-9212</t>
  </si>
  <si>
    <t>domingo.casey@msn.com</t>
  </si>
  <si>
    <t xml:space="preserve">8665 Cypress Street </t>
  </si>
  <si>
    <t>Rodrigo</t>
  </si>
  <si>
    <t>Durham</t>
  </si>
  <si>
    <t>rodrigo.durham@aol.com</t>
  </si>
  <si>
    <t xml:space="preserve">82 Old Church Road </t>
  </si>
  <si>
    <t>Dwain</t>
  </si>
  <si>
    <t>Carlson</t>
  </si>
  <si>
    <t>dwain.carlson@gmail.com</t>
  </si>
  <si>
    <t xml:space="preserve">951 North Trusel Ave. </t>
  </si>
  <si>
    <t>Humphrey</t>
  </si>
  <si>
    <t>erlinda.humphrey@hotmail.com</t>
  </si>
  <si>
    <t xml:space="preserve">532 South Victoria St. </t>
  </si>
  <si>
    <t>Silas</t>
  </si>
  <si>
    <t>(361) 219-2149</t>
  </si>
  <si>
    <t>silas.tate@yahoo.com</t>
  </si>
  <si>
    <t xml:space="preserve">9754 53rd Court </t>
  </si>
  <si>
    <t>Patience</t>
  </si>
  <si>
    <t>Clayton</t>
  </si>
  <si>
    <t>patience.clayton@hotmail.com</t>
  </si>
  <si>
    <t xml:space="preserve">68 Chestnut Dr. </t>
  </si>
  <si>
    <t>Mila</t>
  </si>
  <si>
    <t>Good</t>
  </si>
  <si>
    <t>mila.good@yahoo.com</t>
  </si>
  <si>
    <t xml:space="preserve">812 East Longbranch Ave. </t>
  </si>
  <si>
    <t>tanesha.sawyer@aol.com</t>
  </si>
  <si>
    <t xml:space="preserve">9B Kingston Lane </t>
  </si>
  <si>
    <t>Macdonald</t>
  </si>
  <si>
    <t>onita.macdonald@yahoo.com</t>
  </si>
  <si>
    <t xml:space="preserve">94 Wood St. </t>
  </si>
  <si>
    <t>Janine</t>
  </si>
  <si>
    <t>janine.manning@gmail.com</t>
  </si>
  <si>
    <t xml:space="preserve">9118B Campfire St. </t>
  </si>
  <si>
    <t>Melodie</t>
  </si>
  <si>
    <t>melodie.melton@yahoo.com</t>
  </si>
  <si>
    <t xml:space="preserve">12 S. 8th Road </t>
  </si>
  <si>
    <t>Ethelyn</t>
  </si>
  <si>
    <t>Ray</t>
  </si>
  <si>
    <t>ethelyn.ray@yahoo.com</t>
  </si>
  <si>
    <t xml:space="preserve">80 South Sutor Lane </t>
  </si>
  <si>
    <t>Phebe</t>
  </si>
  <si>
    <t>phebe.turner@aol.com</t>
  </si>
  <si>
    <t xml:space="preserve">4 West York Street </t>
  </si>
  <si>
    <t>Chloe</t>
  </si>
  <si>
    <t>Patel</t>
  </si>
  <si>
    <t>chloe.patel@yahoo.com</t>
  </si>
  <si>
    <t xml:space="preserve">407 Homewood Street </t>
  </si>
  <si>
    <t>Hilda</t>
  </si>
  <si>
    <t>hilda.harvey@gmail.com</t>
  </si>
  <si>
    <t xml:space="preserve">9808 W. Cleveland Ave. </t>
  </si>
  <si>
    <t>Gilberte</t>
  </si>
  <si>
    <t>Duke</t>
  </si>
  <si>
    <t>(915) 903-7860</t>
  </si>
  <si>
    <t>gilberte.duke@gmail.com</t>
  </si>
  <si>
    <t xml:space="preserve">12 Birchwood Dr. </t>
  </si>
  <si>
    <t>Willian</t>
  </si>
  <si>
    <t>willian.hardin@msn.com</t>
  </si>
  <si>
    <t xml:space="preserve">836 West Street </t>
  </si>
  <si>
    <t>Janna</t>
  </si>
  <si>
    <t>janna.hayden@msn.com</t>
  </si>
  <si>
    <t xml:space="preserve">32 Hilldale Street </t>
  </si>
  <si>
    <t>Letisha</t>
  </si>
  <si>
    <t>letisha.may@yahoo.com</t>
  </si>
  <si>
    <t xml:space="preserve">9965 Princeton Lane </t>
  </si>
  <si>
    <t>Cannon</t>
  </si>
  <si>
    <t>graig.cannon@gmail.com</t>
  </si>
  <si>
    <t xml:space="preserve">36 Oklahoma Ave. </t>
  </si>
  <si>
    <t>Coleen</t>
  </si>
  <si>
    <t>Navarro</t>
  </si>
  <si>
    <t>coleen.navarro@aol.com</t>
  </si>
  <si>
    <t xml:space="preserve">990 Broad Rd. </t>
  </si>
  <si>
    <t>Lucilla</t>
  </si>
  <si>
    <t>Williams</t>
  </si>
  <si>
    <t>lucilla.williams@hotmail.com</t>
  </si>
  <si>
    <t xml:space="preserve">42 Cedar Street </t>
  </si>
  <si>
    <t>Rosanne</t>
  </si>
  <si>
    <t>rosanne.george@yahoo.com</t>
  </si>
  <si>
    <t xml:space="preserve">38 Pleasant St. </t>
  </si>
  <si>
    <t>Ashlie</t>
  </si>
  <si>
    <t>Parrish</t>
  </si>
  <si>
    <t>ashlie.parrish@hotmail.com</t>
  </si>
  <si>
    <t xml:space="preserve">48 Mill Drive </t>
  </si>
  <si>
    <t>alissa.craft@hotmail.com</t>
  </si>
  <si>
    <t xml:space="preserve">249 Maple Street </t>
  </si>
  <si>
    <t>Letty</t>
  </si>
  <si>
    <t>letty.cobb@msn.com</t>
  </si>
  <si>
    <t xml:space="preserve">8652 Wellington Street </t>
  </si>
  <si>
    <t>Nathaniel</t>
  </si>
  <si>
    <t>Richard</t>
  </si>
  <si>
    <t>nathaniel.richard@gmail.com</t>
  </si>
  <si>
    <t xml:space="preserve">3 Nicolls Lane </t>
  </si>
  <si>
    <t>Elaina</t>
  </si>
  <si>
    <t>elaina.key@msn.com</t>
  </si>
  <si>
    <t xml:space="preserve">1 Main St. </t>
  </si>
  <si>
    <t>Stefani</t>
  </si>
  <si>
    <t>(845) 724-2996</t>
  </si>
  <si>
    <t>stefani.gamble@aol.com</t>
  </si>
  <si>
    <t xml:space="preserve">9119 W. Victoria St. </t>
  </si>
  <si>
    <t>Bettyann</t>
  </si>
  <si>
    <t>(717) 746-6658</t>
  </si>
  <si>
    <t>bettyann.acosta@gmail.com</t>
  </si>
  <si>
    <t xml:space="preserve">7949 Chapel St. </t>
  </si>
  <si>
    <t>Crysta</t>
  </si>
  <si>
    <t>Velez</t>
  </si>
  <si>
    <t>(281) 529-3469</t>
  </si>
  <si>
    <t>crysta.velez@yahoo.com</t>
  </si>
  <si>
    <t xml:space="preserve">64 South Front Street </t>
  </si>
  <si>
    <t>Carisa</t>
  </si>
  <si>
    <t>Carpenter</t>
  </si>
  <si>
    <t>carisa.carpenter@hotmail.com</t>
  </si>
  <si>
    <t xml:space="preserve">551 Belmont Lane </t>
  </si>
  <si>
    <t>Jule</t>
  </si>
  <si>
    <t>jule.davenport@aol.com</t>
  </si>
  <si>
    <t xml:space="preserve">19 River St. </t>
  </si>
  <si>
    <t>Lonna</t>
  </si>
  <si>
    <t>Franks</t>
  </si>
  <si>
    <t>lonna.franks@yahoo.com</t>
  </si>
  <si>
    <t xml:space="preserve">667 Brickyard Street </t>
  </si>
  <si>
    <t>Elease</t>
  </si>
  <si>
    <t>elease.dejesus@gmail.com</t>
  </si>
  <si>
    <t xml:space="preserve">7800 Magnolia Street </t>
  </si>
  <si>
    <t>Maira</t>
  </si>
  <si>
    <t>maira.long@msn.com</t>
  </si>
  <si>
    <t xml:space="preserve">7587 Bear Hill Street </t>
  </si>
  <si>
    <t>Jana</t>
  </si>
  <si>
    <t>(408) 624-8137</t>
  </si>
  <si>
    <t>jana.thomas@yahoo.com</t>
  </si>
  <si>
    <t xml:space="preserve">283 E. Spring Dr. </t>
  </si>
  <si>
    <t>Hae</t>
  </si>
  <si>
    <t>hae.ramirez@hotmail.com</t>
  </si>
  <si>
    <t xml:space="preserve">9367 Lake Street </t>
  </si>
  <si>
    <t>Erik</t>
  </si>
  <si>
    <t>Leblanc</t>
  </si>
  <si>
    <t>erik.leblanc@aol.com</t>
  </si>
  <si>
    <t xml:space="preserve">7 East Nut Swamp Street </t>
  </si>
  <si>
    <t>Daina</t>
  </si>
  <si>
    <t>Sampson</t>
  </si>
  <si>
    <t>daina.sampson@msn.com</t>
  </si>
  <si>
    <t xml:space="preserve">556 Wellington St. </t>
  </si>
  <si>
    <t>Delmar</t>
  </si>
  <si>
    <t>delmar.wise@yahoo.com</t>
  </si>
  <si>
    <t xml:space="preserve">8355 Kingston Avenue </t>
  </si>
  <si>
    <t>Alita</t>
  </si>
  <si>
    <t>alita.salinas@hotmail.com</t>
  </si>
  <si>
    <t xml:space="preserve">8550 Bear Hill Ave. </t>
  </si>
  <si>
    <t>elenore.william@msn.com</t>
  </si>
  <si>
    <t xml:space="preserve">23 Rockland St. </t>
  </si>
  <si>
    <t>Nikita</t>
  </si>
  <si>
    <t>Roy</t>
  </si>
  <si>
    <t>nikita.roy@aol.com</t>
  </si>
  <si>
    <t xml:space="preserve">9703 N. Snake Hill St. </t>
  </si>
  <si>
    <t>Inocencia</t>
  </si>
  <si>
    <t>inocencia.key@hotmail.com</t>
  </si>
  <si>
    <t xml:space="preserve">36 Wild Rose Ave. </t>
  </si>
  <si>
    <t>Liliana</t>
  </si>
  <si>
    <t>Kerr</t>
  </si>
  <si>
    <t>liliana.kerr@yahoo.com</t>
  </si>
  <si>
    <t xml:space="preserve">3 Cherry Drive </t>
  </si>
  <si>
    <t>O'neil</t>
  </si>
  <si>
    <t>hortencia.o'neil@hotmail.com</t>
  </si>
  <si>
    <t xml:space="preserve">1 Gulf Rd. </t>
  </si>
  <si>
    <t>Beryl</t>
  </si>
  <si>
    <t>(916) 422-6956</t>
  </si>
  <si>
    <t>beryl.bennett@aol.com</t>
  </si>
  <si>
    <t xml:space="preserve">9563 Edgemont St. </t>
  </si>
  <si>
    <t>Alishia</t>
  </si>
  <si>
    <t>alishia.elliott@aol.com</t>
  </si>
  <si>
    <t xml:space="preserve">8905 Courtland Ave. </t>
  </si>
  <si>
    <t>Vernia</t>
  </si>
  <si>
    <t>(248) 206-3697</t>
  </si>
  <si>
    <t>vernia.madden@aol.com</t>
  </si>
  <si>
    <t xml:space="preserve">5 Iroquois Street </t>
  </si>
  <si>
    <t>kristel.bullock@yahoo.com</t>
  </si>
  <si>
    <t xml:space="preserve">7292 Armstrong Drive </t>
  </si>
  <si>
    <t>Ruthanne</t>
  </si>
  <si>
    <t>Hoover</t>
  </si>
  <si>
    <t>ruthanne.hoover@aol.com</t>
  </si>
  <si>
    <t xml:space="preserve">835 Paris Hill Road </t>
  </si>
  <si>
    <t>james.robles@aol.com</t>
  </si>
  <si>
    <t xml:space="preserve">9 Chapel Lane </t>
  </si>
  <si>
    <t>Evelin</t>
  </si>
  <si>
    <t>evelin.vargas@msn.com</t>
  </si>
  <si>
    <t xml:space="preserve">7049 Pin Oak Ave. </t>
  </si>
  <si>
    <t>Elvia</t>
  </si>
  <si>
    <t>elvia.cardenas@hotmail.com</t>
  </si>
  <si>
    <t xml:space="preserve">8 Paris Hill St. </t>
  </si>
  <si>
    <t>Randee</t>
  </si>
  <si>
    <t>randee.pitts@msn.com</t>
  </si>
  <si>
    <t xml:space="preserve">7371B Essex Street </t>
  </si>
  <si>
    <t>lea.irwin@gmail.com</t>
  </si>
  <si>
    <t xml:space="preserve">845 Adams Lane </t>
  </si>
  <si>
    <t>Bryce</t>
  </si>
  <si>
    <t>bryce.monroe@aol.com</t>
  </si>
  <si>
    <t xml:space="preserve">52 Cooper Lane </t>
  </si>
  <si>
    <t>Katina</t>
  </si>
  <si>
    <t>Mcintosh</t>
  </si>
  <si>
    <t>(661) 464-1523</t>
  </si>
  <si>
    <t>katina.mcintosh@yahoo.com</t>
  </si>
  <si>
    <t xml:space="preserve">263 Swanson Dr. </t>
  </si>
  <si>
    <t>Guillermo</t>
  </si>
  <si>
    <t>(212) 652-7198</t>
  </si>
  <si>
    <t>guillermo.hart@hotmail.com</t>
  </si>
  <si>
    <t xml:space="preserve">81 Indian Summer Drive </t>
  </si>
  <si>
    <t>Joann</t>
  </si>
  <si>
    <t>joann.barber@gmail.com</t>
  </si>
  <si>
    <t xml:space="preserve">8945 Courtland Street </t>
  </si>
  <si>
    <t>Thurman</t>
  </si>
  <si>
    <t>Ellis</t>
  </si>
  <si>
    <t>thurman.ellis@gmail.com</t>
  </si>
  <si>
    <t xml:space="preserve">20 Augusta Road </t>
  </si>
  <si>
    <t>delana.wagner@aol.com</t>
  </si>
  <si>
    <t xml:space="preserve">8499 Mill Pond Road </t>
  </si>
  <si>
    <t>Porter</t>
  </si>
  <si>
    <t>porter.bass@hotmail.com</t>
  </si>
  <si>
    <t xml:space="preserve">370 North Alderwood Dr. </t>
  </si>
  <si>
    <t>Yvonne</t>
  </si>
  <si>
    <t>yvonne.bean@yahoo.com</t>
  </si>
  <si>
    <t xml:space="preserve">20 W. Marsh Ave. </t>
  </si>
  <si>
    <t>Lurline</t>
  </si>
  <si>
    <t>lurline.rivers@msn.com</t>
  </si>
  <si>
    <t xml:space="preserve">69 Pine Street </t>
  </si>
  <si>
    <t>Ocie</t>
  </si>
  <si>
    <t>ocie.slater@msn.com</t>
  </si>
  <si>
    <t xml:space="preserve">7799 W. Bohemia Dr. </t>
  </si>
  <si>
    <t>Genevie</t>
  </si>
  <si>
    <t>genevie.miles@aol.com</t>
  </si>
  <si>
    <t xml:space="preserve">45 West Sulphur Springs Ave. </t>
  </si>
  <si>
    <t>Sherilyn</t>
  </si>
  <si>
    <t>sherilyn.wilcox@gmail.com</t>
  </si>
  <si>
    <t xml:space="preserve">905 North Buckingham Lane </t>
  </si>
  <si>
    <t>Aida</t>
  </si>
  <si>
    <t>aida.koch@gmail.com</t>
  </si>
  <si>
    <t xml:space="preserve">9778 3rd Drive </t>
  </si>
  <si>
    <t>Emory</t>
  </si>
  <si>
    <t>O'connor</t>
  </si>
  <si>
    <t>(507) 606-2192</t>
  </si>
  <si>
    <t>emory.o'connor@gmail.com</t>
  </si>
  <si>
    <t xml:space="preserve">34 Foxrun Street </t>
  </si>
  <si>
    <t>Maximina</t>
  </si>
  <si>
    <t>(361) 164-3098</t>
  </si>
  <si>
    <t>maximina.hutchinson@hotmail.com</t>
  </si>
  <si>
    <t xml:space="preserve">53 Stillwater Avenue </t>
  </si>
  <si>
    <t>Marina</t>
  </si>
  <si>
    <t>Hinton</t>
  </si>
  <si>
    <t>marina.hinton@yahoo.com</t>
  </si>
  <si>
    <t xml:space="preserve">7440 North Oxford St. </t>
  </si>
  <si>
    <t>Danyell</t>
  </si>
  <si>
    <t>danyell.dickerson@msn.com</t>
  </si>
  <si>
    <t xml:space="preserve">8306 Fieldstone Dr. </t>
  </si>
  <si>
    <t>Davis</t>
  </si>
  <si>
    <t>(717) 653-1755</t>
  </si>
  <si>
    <t>davis.long@msn.com</t>
  </si>
  <si>
    <t xml:space="preserve">929 Elmwood Dr. </t>
  </si>
  <si>
    <t>lynn.mcmahon@msn.com</t>
  </si>
  <si>
    <t xml:space="preserve">9 Surrey St. </t>
  </si>
  <si>
    <t>Tonja</t>
  </si>
  <si>
    <t>tonja.henderson@aol.com</t>
  </si>
  <si>
    <t xml:space="preserve">82 Alton St. </t>
  </si>
  <si>
    <t>Krissy</t>
  </si>
  <si>
    <t>krissy.ochoa@msn.com</t>
  </si>
  <si>
    <t xml:space="preserve">80 Queen Ave. </t>
  </si>
  <si>
    <t>Angella</t>
  </si>
  <si>
    <t>angella.bridges@yahoo.com</t>
  </si>
  <si>
    <t xml:space="preserve">8708 Sycamore St. </t>
  </si>
  <si>
    <t>angele.castro@yahoo.com</t>
  </si>
  <si>
    <t xml:space="preserve">15 Acacia Drive </t>
  </si>
  <si>
    <t>Siobhan</t>
  </si>
  <si>
    <t>Lang</t>
  </si>
  <si>
    <t>siobhan.lang@gmail.com</t>
  </si>
  <si>
    <t xml:space="preserve">3 Monroe Lane </t>
  </si>
  <si>
    <t>Venessa</t>
  </si>
  <si>
    <t>venessa.frost@msn.com</t>
  </si>
  <si>
    <t xml:space="preserve">621 West School Rd. </t>
  </si>
  <si>
    <t>Verna</t>
  </si>
  <si>
    <t>Solis</t>
  </si>
  <si>
    <t>(507) 115-1633</t>
  </si>
  <si>
    <t>verna.solis@yahoo.com</t>
  </si>
  <si>
    <t xml:space="preserve">7 Lincoln Lane </t>
  </si>
  <si>
    <t>Steve</t>
  </si>
  <si>
    <t>Bender</t>
  </si>
  <si>
    <t>steve.bender@gmail.com</t>
  </si>
  <si>
    <t xml:space="preserve">908 N. Pennington Dr. </t>
  </si>
  <si>
    <t>Aileen</t>
  </si>
  <si>
    <t>aileen.marquez@msn.com</t>
  </si>
  <si>
    <t xml:space="preserve">8899 Newbridge Street </t>
  </si>
  <si>
    <t>Kattie</t>
  </si>
  <si>
    <t>Stevenson</t>
  </si>
  <si>
    <t>kattie.stevenson@aol.com</t>
  </si>
  <si>
    <t xml:space="preserve">52 Carson Street </t>
  </si>
  <si>
    <t>Hassan</t>
  </si>
  <si>
    <t>Nash</t>
  </si>
  <si>
    <t>hassan.nash@yahoo.com</t>
  </si>
  <si>
    <t xml:space="preserve">8105 University Lane </t>
  </si>
  <si>
    <t>Delfina</t>
  </si>
  <si>
    <t>delfina.gilliam@hotmail.com</t>
  </si>
  <si>
    <t xml:space="preserve">9463 Bayberry Rd. </t>
  </si>
  <si>
    <t>Venus</t>
  </si>
  <si>
    <t>Hewitt</t>
  </si>
  <si>
    <t>venus.hewitt@msn.com</t>
  </si>
  <si>
    <t xml:space="preserve">9835 Old Cemetery Lane </t>
  </si>
  <si>
    <t>Stephen</t>
  </si>
  <si>
    <t>(657) 288-3778</t>
  </si>
  <si>
    <t>stephen.vega@msn.com</t>
  </si>
  <si>
    <t xml:space="preserve">5 Briarwood St. </t>
  </si>
  <si>
    <t>Ciera</t>
  </si>
  <si>
    <t>ciera.koch@gmail.com</t>
  </si>
  <si>
    <t xml:space="preserve">881 Lawrence Drive </t>
  </si>
  <si>
    <t>Christel</t>
  </si>
  <si>
    <t>(916) 679-3547</t>
  </si>
  <si>
    <t>christel.barber@hotmail.com</t>
  </si>
  <si>
    <t xml:space="preserve">320 Briarwood Lane </t>
  </si>
  <si>
    <t>Arline</t>
  </si>
  <si>
    <t>Lawson</t>
  </si>
  <si>
    <t>(516) 792-3395</t>
  </si>
  <si>
    <t>arline.lawson@gmail.com</t>
  </si>
  <si>
    <t xml:space="preserve">48 Whitemarsh Lane </t>
  </si>
  <si>
    <t>Iva</t>
  </si>
  <si>
    <t>iva.wilcox@aol.com</t>
  </si>
  <si>
    <t xml:space="preserve">452 South Mayflower Drive </t>
  </si>
  <si>
    <t>Maple</t>
  </si>
  <si>
    <t>Griffin</t>
  </si>
  <si>
    <t>maple.griffin@gmail.com</t>
  </si>
  <si>
    <t xml:space="preserve">20 Glendale Drive </t>
  </si>
  <si>
    <t>Anisha</t>
  </si>
  <si>
    <t>anisha.lang@aol.com</t>
  </si>
  <si>
    <t xml:space="preserve">265 Peachtree St. </t>
  </si>
  <si>
    <t>Brent</t>
  </si>
  <si>
    <t>(361) 981-8725</t>
  </si>
  <si>
    <t>brent.calderon@aol.com</t>
  </si>
  <si>
    <t xml:space="preserve">3 Thomas St. </t>
  </si>
  <si>
    <t>Margit</t>
  </si>
  <si>
    <t>margit.osborn@yahoo.com</t>
  </si>
  <si>
    <t xml:space="preserve">909 Gulf Drive </t>
  </si>
  <si>
    <t>Novella</t>
  </si>
  <si>
    <t>novella.patel@gmail.com</t>
  </si>
  <si>
    <t xml:space="preserve">500 Livingston Street </t>
  </si>
  <si>
    <t>Laurette</t>
  </si>
  <si>
    <t>laurette.hebert@msn.com</t>
  </si>
  <si>
    <t xml:space="preserve">18 South Constitution Court </t>
  </si>
  <si>
    <t>Jonna</t>
  </si>
  <si>
    <t>Brown</t>
  </si>
  <si>
    <t>jonna.brown@aol.com</t>
  </si>
  <si>
    <t xml:space="preserve">1 Spring Drive </t>
  </si>
  <si>
    <t>Jennell</t>
  </si>
  <si>
    <t>(507) 421-7354</t>
  </si>
  <si>
    <t>jennell.solis@hotmail.com</t>
  </si>
  <si>
    <t xml:space="preserve">194 2nd Rd. </t>
  </si>
  <si>
    <t>Ruth</t>
  </si>
  <si>
    <t>Horton</t>
  </si>
  <si>
    <t>ruth.horton@gmail.com</t>
  </si>
  <si>
    <t xml:space="preserve">488 Mulberry Ave. </t>
  </si>
  <si>
    <t>Samual</t>
  </si>
  <si>
    <t>Warner</t>
  </si>
  <si>
    <t>(631) 151-4988</t>
  </si>
  <si>
    <t>samual.warner@gmail.com</t>
  </si>
  <si>
    <t xml:space="preserve">8735 Thatcher Dr. </t>
  </si>
  <si>
    <t>(562) 924-3079</t>
  </si>
  <si>
    <t>damian.mills@yahoo.com</t>
  </si>
  <si>
    <t xml:space="preserve">7747 Elm Dr. </t>
  </si>
  <si>
    <t>Margaretta</t>
  </si>
  <si>
    <t>margaretta.clayton@yahoo.com</t>
  </si>
  <si>
    <t xml:space="preserve">524 San Pablo Ave. </t>
  </si>
  <si>
    <t>Marcell</t>
  </si>
  <si>
    <t>marcell.barrett@gmail.com</t>
  </si>
  <si>
    <t xml:space="preserve">266 Elm Drive </t>
  </si>
  <si>
    <t>Annis</t>
  </si>
  <si>
    <t>(424) 352-6275</t>
  </si>
  <si>
    <t>annis.sanchez@aol.com</t>
  </si>
  <si>
    <t xml:space="preserve">4 Edgewater Road </t>
  </si>
  <si>
    <t>ayanna.cherry@yahoo.com</t>
  </si>
  <si>
    <t xml:space="preserve">8829 Galvin Rd. </t>
  </si>
  <si>
    <t>Cox</t>
  </si>
  <si>
    <t>barton.cox@yahoo.com</t>
  </si>
  <si>
    <t xml:space="preserve">8220 Creekside Street </t>
  </si>
  <si>
    <t>diana.reyes@msn.com</t>
  </si>
  <si>
    <t xml:space="preserve">7415 Annadale St. </t>
  </si>
  <si>
    <t>Ingeborg</t>
  </si>
  <si>
    <t>ingeborg.ellison@yahoo.com</t>
  </si>
  <si>
    <t xml:space="preserve">360 Trusel St. </t>
  </si>
  <si>
    <t>carter.booth@msn.com</t>
  </si>
  <si>
    <t xml:space="preserve">82 Beech Drive </t>
  </si>
  <si>
    <t>(562) 342-8083</t>
  </si>
  <si>
    <t>christel.cardenas@aol.com</t>
  </si>
  <si>
    <t xml:space="preserve">428 S. Swanson Drive </t>
  </si>
  <si>
    <t>Orval</t>
  </si>
  <si>
    <t>orval.hunter@aol.com</t>
  </si>
  <si>
    <t xml:space="preserve">35 Wagon Drive </t>
  </si>
  <si>
    <t>Marguerite</t>
  </si>
  <si>
    <t>marguerite.berger@aol.com</t>
  </si>
  <si>
    <t xml:space="preserve">875 Arch Lane </t>
  </si>
  <si>
    <t>Ivette</t>
  </si>
  <si>
    <t>Warren</t>
  </si>
  <si>
    <t>ivette.warren@gmail.com</t>
  </si>
  <si>
    <t xml:space="preserve">8408 Thomas Street </t>
  </si>
  <si>
    <t>Milagros</t>
  </si>
  <si>
    <t>milagros.weber@hotmail.com</t>
  </si>
  <si>
    <t xml:space="preserve">7591 Glendale Ave. </t>
  </si>
  <si>
    <t>Marcel</t>
  </si>
  <si>
    <t>marcel.lindsay@hotmail.com</t>
  </si>
  <si>
    <t xml:space="preserve">249 Peninsula St. </t>
  </si>
  <si>
    <t>Louis</t>
  </si>
  <si>
    <t>Powell</t>
  </si>
  <si>
    <t>louis.powell@aol.com</t>
  </si>
  <si>
    <t xml:space="preserve">368 Sugar Rd. </t>
  </si>
  <si>
    <t>Vanda</t>
  </si>
  <si>
    <t>vanda.holmes@aol.com</t>
  </si>
  <si>
    <t xml:space="preserve">9835 Wild Rose Drive </t>
  </si>
  <si>
    <t>Loreen</t>
  </si>
  <si>
    <t>loreen.byers@yahoo.com</t>
  </si>
  <si>
    <t xml:space="preserve">83 S. Rockledge Circle </t>
  </si>
  <si>
    <t>Casimira</t>
  </si>
  <si>
    <t>Chapman</t>
  </si>
  <si>
    <t>casimira.chapman@yahoo.com</t>
  </si>
  <si>
    <t xml:space="preserve">67 Snake Hill St. </t>
  </si>
  <si>
    <t>Brigida</t>
  </si>
  <si>
    <t>brigida.larson@hotmail.com</t>
  </si>
  <si>
    <t xml:space="preserve">8789 Sycamore Lane </t>
  </si>
  <si>
    <t>Alston</t>
  </si>
  <si>
    <t>chere.alston@gmail.com</t>
  </si>
  <si>
    <t xml:space="preserve">16 Lower River Street </t>
  </si>
  <si>
    <t>Giovanna</t>
  </si>
  <si>
    <t>giovanna.jefferson@gmail.com</t>
  </si>
  <si>
    <t xml:space="preserve">9394 Riverside St. </t>
  </si>
  <si>
    <t>Demarcus</t>
  </si>
  <si>
    <t>demarcus.reese@gmail.com</t>
  </si>
  <si>
    <t xml:space="preserve">8087 Armstrong Dr. </t>
  </si>
  <si>
    <t>Amina</t>
  </si>
  <si>
    <t>amina.salazar@aol.com</t>
  </si>
  <si>
    <t xml:space="preserve">944 Wellington Street </t>
  </si>
  <si>
    <t>Serafina</t>
  </si>
  <si>
    <t>serafina.clemons@gmail.com</t>
  </si>
  <si>
    <t xml:space="preserve">851 Brown Ave. </t>
  </si>
  <si>
    <t>Trinidad</t>
  </si>
  <si>
    <t>trinidad.mcclain@msn.com</t>
  </si>
  <si>
    <t xml:space="preserve">98 Tunnel Drive </t>
  </si>
  <si>
    <t>Heather</t>
  </si>
  <si>
    <t>heather.chaney@yahoo.com</t>
  </si>
  <si>
    <t xml:space="preserve">4 Morris Dr. </t>
  </si>
  <si>
    <t>Latoya</t>
  </si>
  <si>
    <t>latoya.johns@hotmail.com</t>
  </si>
  <si>
    <t xml:space="preserve">7914 W. Woodsman St. </t>
  </si>
  <si>
    <t>Shiloh</t>
  </si>
  <si>
    <t>shiloh.reeves@msn.com</t>
  </si>
  <si>
    <t xml:space="preserve">818 Kirkland Lane </t>
  </si>
  <si>
    <t>(631) 913-6967</t>
  </si>
  <si>
    <t>lee.roman@gmail.com</t>
  </si>
  <si>
    <t xml:space="preserve">4 Canal Ave. </t>
  </si>
  <si>
    <t>Cami</t>
  </si>
  <si>
    <t>Williamson</t>
  </si>
  <si>
    <t>cami.williamson@hotmail.com</t>
  </si>
  <si>
    <t xml:space="preserve">9511A Windsor Drive </t>
  </si>
  <si>
    <t>Sharell</t>
  </si>
  <si>
    <t>sharell.ross@msn.com</t>
  </si>
  <si>
    <t xml:space="preserve">7830 Devonshire Ave. </t>
  </si>
  <si>
    <t>Jerald</t>
  </si>
  <si>
    <t>jerald.blackwell@hotmail.com</t>
  </si>
  <si>
    <t xml:space="preserve">8364 South Wakehurst Ave. </t>
  </si>
  <si>
    <t>ruthanne.franco@yahoo.com</t>
  </si>
  <si>
    <t xml:space="preserve">61 Applegate St. </t>
  </si>
  <si>
    <t>Marjory</t>
  </si>
  <si>
    <t>Leonard</t>
  </si>
  <si>
    <t>marjory.leonard@msn.com</t>
  </si>
  <si>
    <t xml:space="preserve">800 Greystone Lane </t>
  </si>
  <si>
    <t>Jimmy</t>
  </si>
  <si>
    <t>jimmy.russell@hotmail.com</t>
  </si>
  <si>
    <t xml:space="preserve">33 Iroquois Ave. </t>
  </si>
  <si>
    <t>Berneice</t>
  </si>
  <si>
    <t>berneice.pollard@hotmail.com</t>
  </si>
  <si>
    <t xml:space="preserve">607 Bohemia Street </t>
  </si>
  <si>
    <t>Deangelo</t>
  </si>
  <si>
    <t>Cooley</t>
  </si>
  <si>
    <t>deangelo.cooley@aol.com</t>
  </si>
  <si>
    <t xml:space="preserve">3 NE. Edgewood Rd. </t>
  </si>
  <si>
    <t>Katia</t>
  </si>
  <si>
    <t>katia.henry@msn.com</t>
  </si>
  <si>
    <t xml:space="preserve">69 E. Columbia Ave. </t>
  </si>
  <si>
    <t>Gross</t>
  </si>
  <si>
    <t>sebrina.gross@yahoo.com</t>
  </si>
  <si>
    <t xml:space="preserve">993 Glendale Drive </t>
  </si>
  <si>
    <t>Josephine</t>
  </si>
  <si>
    <t>Dale</t>
  </si>
  <si>
    <t>josephine.dale@aol.com</t>
  </si>
  <si>
    <t xml:space="preserve">8214 West Drive </t>
  </si>
  <si>
    <t>Alma</t>
  </si>
  <si>
    <t>alma.peck@aol.com</t>
  </si>
  <si>
    <t xml:space="preserve">298 South Bay Meadows Drive </t>
  </si>
  <si>
    <t>Ling</t>
  </si>
  <si>
    <t>ling.newman@msn.com</t>
  </si>
  <si>
    <t xml:space="preserve">832 Spring Road </t>
  </si>
  <si>
    <t>nichelle.rosario@hotmail.com</t>
  </si>
  <si>
    <t xml:space="preserve">709 Dunbar Ave. </t>
  </si>
  <si>
    <t>Shenna</t>
  </si>
  <si>
    <t>Benton</t>
  </si>
  <si>
    <t>(212) 578-2912</t>
  </si>
  <si>
    <t>shenna.benton@msn.com</t>
  </si>
  <si>
    <t xml:space="preserve">57 Shadow Brook Road </t>
  </si>
  <si>
    <t>Philip</t>
  </si>
  <si>
    <t>(510) 533-4262</t>
  </si>
  <si>
    <t>philip.bryan@hotmail.com</t>
  </si>
  <si>
    <t xml:space="preserve">914 Devonshire Court </t>
  </si>
  <si>
    <t>Carita</t>
  </si>
  <si>
    <t>carita.salinas@yahoo.com</t>
  </si>
  <si>
    <t xml:space="preserve">90 Griffin Street </t>
  </si>
  <si>
    <t>Janie</t>
  </si>
  <si>
    <t>janie.herrera@gmail.com</t>
  </si>
  <si>
    <t xml:space="preserve">652 Westport Street </t>
  </si>
  <si>
    <t>Lorraine</t>
  </si>
  <si>
    <t>lorraine.marks@msn.com</t>
  </si>
  <si>
    <t xml:space="preserve">160 North Pearl Street </t>
  </si>
  <si>
    <t>Nicolas</t>
  </si>
  <si>
    <t>nicolas.carlson@yahoo.com</t>
  </si>
  <si>
    <t xml:space="preserve">7899 Spruce Street </t>
  </si>
  <si>
    <t>Hye</t>
  </si>
  <si>
    <t>hye.mercer@gmail.com</t>
  </si>
  <si>
    <t xml:space="preserve">9681 Redwood St. </t>
  </si>
  <si>
    <t>Adena</t>
  </si>
  <si>
    <t>Blake</t>
  </si>
  <si>
    <t>adena.blake@hotmail.com</t>
  </si>
  <si>
    <t xml:space="preserve">684 Westport Drive </t>
  </si>
  <si>
    <t>Coleman</t>
  </si>
  <si>
    <t>(915) 607-6336</t>
  </si>
  <si>
    <t>coleman.boyd@yahoo.com</t>
  </si>
  <si>
    <t xml:space="preserve">9740 Bay Meadows Drive </t>
  </si>
  <si>
    <t>Daphine</t>
  </si>
  <si>
    <t>daphine.willis@msn.com</t>
  </si>
  <si>
    <t xml:space="preserve">152 Shady St. </t>
  </si>
  <si>
    <t>jenine.dawson@msn.com</t>
  </si>
  <si>
    <t xml:space="preserve">17 Park Street </t>
  </si>
  <si>
    <t>Shanita</t>
  </si>
  <si>
    <t>Wiley</t>
  </si>
  <si>
    <t>shanita.wiley@yahoo.com</t>
  </si>
  <si>
    <t xml:space="preserve">121 Bridge Lane </t>
  </si>
  <si>
    <t>Shanna</t>
  </si>
  <si>
    <t>shanna.bonner@msn.com</t>
  </si>
  <si>
    <t xml:space="preserve">386 Lafayette Road </t>
  </si>
  <si>
    <t>Ping</t>
  </si>
  <si>
    <t>ping.quinn@gmail.com</t>
  </si>
  <si>
    <t xml:space="preserve">9051 Hanover Dr. </t>
  </si>
  <si>
    <t>Saran</t>
  </si>
  <si>
    <t>saran.moses@yahoo.com</t>
  </si>
  <si>
    <t xml:space="preserve">94 Hall Dr. </t>
  </si>
  <si>
    <t>tonja.bean@aol.com</t>
  </si>
  <si>
    <t xml:space="preserve">9 Middle River St. </t>
  </si>
  <si>
    <t>Vernon</t>
  </si>
  <si>
    <t>vernon.knowles@yahoo.com</t>
  </si>
  <si>
    <t xml:space="preserve">5 Olive Lane </t>
  </si>
  <si>
    <t>Jeannette</t>
  </si>
  <si>
    <t>jeannette.skinner@yahoo.com</t>
  </si>
  <si>
    <t xml:space="preserve">8886 High Point Drive </t>
  </si>
  <si>
    <t>Rico</t>
  </si>
  <si>
    <t>Salas</t>
  </si>
  <si>
    <t>rico.salas@msn.com</t>
  </si>
  <si>
    <t xml:space="preserve">8041 Walt Whitman St. </t>
  </si>
  <si>
    <t>Hurley</t>
  </si>
  <si>
    <t>tangela.hurley@msn.com</t>
  </si>
  <si>
    <t xml:space="preserve">49 North Cross St. </t>
  </si>
  <si>
    <t>randee.lester@gmail.com</t>
  </si>
  <si>
    <t xml:space="preserve">81 Bear Hill Street </t>
  </si>
  <si>
    <t>Hammond</t>
  </si>
  <si>
    <t>ashanti.hammond@msn.com</t>
  </si>
  <si>
    <t xml:space="preserve">9202 W. Lyme Ave. </t>
  </si>
  <si>
    <t>garry.juarez@hotmail.com</t>
  </si>
  <si>
    <t xml:space="preserve">670 Nut Swamp Drive </t>
  </si>
  <si>
    <t>Bee</t>
  </si>
  <si>
    <t>bee.baker@aol.com</t>
  </si>
  <si>
    <t xml:space="preserve">307 E. Magnolia St. </t>
  </si>
  <si>
    <t>Shantae</t>
  </si>
  <si>
    <t>shantae.hammond@hotmail.com</t>
  </si>
  <si>
    <t xml:space="preserve">526 Harvard Drive </t>
  </si>
  <si>
    <t>Bettye</t>
  </si>
  <si>
    <t>bettye.espinoza@yahoo.com</t>
  </si>
  <si>
    <t xml:space="preserve">76 Rockwell Street </t>
  </si>
  <si>
    <t>Larissa</t>
  </si>
  <si>
    <t>larissa.hays@aol.com</t>
  </si>
  <si>
    <t xml:space="preserve">66 2nd Drive </t>
  </si>
  <si>
    <t>Diane</t>
  </si>
  <si>
    <t>Jones</t>
  </si>
  <si>
    <t>diane.jones@gmail.com</t>
  </si>
  <si>
    <t xml:space="preserve">859 Prince St. </t>
  </si>
  <si>
    <t>Zenia</t>
  </si>
  <si>
    <t>Bruce</t>
  </si>
  <si>
    <t>zenia.bruce@aol.com</t>
  </si>
  <si>
    <t xml:space="preserve">349 James Road </t>
  </si>
  <si>
    <t>Pasquale</t>
  </si>
  <si>
    <t>Hogan</t>
  </si>
  <si>
    <t>pasquale.hogan@aol.com</t>
  </si>
  <si>
    <t xml:space="preserve">403 Bank St. </t>
  </si>
  <si>
    <t>Dane</t>
  </si>
  <si>
    <t>dane.mcdaniel@hotmail.com</t>
  </si>
  <si>
    <t xml:space="preserve">891 Court Ave. </t>
  </si>
  <si>
    <t>jamaal.baker@hotmail.com</t>
  </si>
  <si>
    <t xml:space="preserve">186 Big Rock Cove Ave. </t>
  </si>
  <si>
    <t>Ji</t>
  </si>
  <si>
    <t>ji.burt@hotmail.com</t>
  </si>
  <si>
    <t xml:space="preserve">40 S. Roberts Street </t>
  </si>
  <si>
    <t>Marcelino</t>
  </si>
  <si>
    <t>marcelino.mcbride@hotmail.com</t>
  </si>
  <si>
    <t xml:space="preserve">29 Oxford Ave. </t>
  </si>
  <si>
    <t>Rozella</t>
  </si>
  <si>
    <t>rozella.fitzgerald@yahoo.com</t>
  </si>
  <si>
    <t xml:space="preserve">7795 Myers Ave. </t>
  </si>
  <si>
    <t>Tonisha</t>
  </si>
  <si>
    <t>tonisha.fowler@msn.com</t>
  </si>
  <si>
    <t xml:space="preserve">9270 Valley View Lane </t>
  </si>
  <si>
    <t>Zora</t>
  </si>
  <si>
    <t>(916) 192-3196</t>
  </si>
  <si>
    <t>zora.ford@gmail.com</t>
  </si>
  <si>
    <t xml:space="preserve">7416 La Sierra Dr. </t>
  </si>
  <si>
    <t>Parthenia</t>
  </si>
  <si>
    <t>parthenia.figueroa@msn.com</t>
  </si>
  <si>
    <t xml:space="preserve">550 Theatre Dr. </t>
  </si>
  <si>
    <t>Arielle</t>
  </si>
  <si>
    <t>Levine</t>
  </si>
  <si>
    <t>arielle.levine@yahoo.com</t>
  </si>
  <si>
    <t xml:space="preserve">7100 High Ridge St. </t>
  </si>
  <si>
    <t>Hildegarde</t>
  </si>
  <si>
    <t>Christensen</t>
  </si>
  <si>
    <t>hildegarde.christensen@hotmail.com</t>
  </si>
  <si>
    <t xml:space="preserve">488 East Mill Pond Ave. </t>
  </si>
  <si>
    <t>Rebbecca</t>
  </si>
  <si>
    <t>rebbecca.espinoza@hotmail.com</t>
  </si>
  <si>
    <t xml:space="preserve">8266 Valley Farms Road </t>
  </si>
  <si>
    <t>Conchita</t>
  </si>
  <si>
    <t>Boone</t>
  </si>
  <si>
    <t>conchita.boone@gmail.com</t>
  </si>
  <si>
    <t xml:space="preserve">814 Birchpond Lane </t>
  </si>
  <si>
    <t>Aisha</t>
  </si>
  <si>
    <t>aisha.woods@gmail.com</t>
  </si>
  <si>
    <t xml:space="preserve">9292 Bear Hill Ave. </t>
  </si>
  <si>
    <t>Season</t>
  </si>
  <si>
    <t>season.harvey@yahoo.com</t>
  </si>
  <si>
    <t xml:space="preserve">388 Arnold Court </t>
  </si>
  <si>
    <t>(717) 634-4113</t>
  </si>
  <si>
    <t>tommie.cooley@yahoo.com</t>
  </si>
  <si>
    <t xml:space="preserve">92 Hickory St. </t>
  </si>
  <si>
    <t>Alanna</t>
  </si>
  <si>
    <t>alanna.barry@yahoo.com</t>
  </si>
  <si>
    <t xml:space="preserve">33 Laurel Avenue </t>
  </si>
  <si>
    <t>Jerri</t>
  </si>
  <si>
    <t>Guthrie</t>
  </si>
  <si>
    <t>jerri.guthrie@msn.com</t>
  </si>
  <si>
    <t xml:space="preserve">95 Sugar Dr. </t>
  </si>
  <si>
    <t>Tammy</t>
  </si>
  <si>
    <t>tammy.austin@yahoo.com</t>
  </si>
  <si>
    <t xml:space="preserve">182 Stillwater Ave. </t>
  </si>
  <si>
    <t>Patsy</t>
  </si>
  <si>
    <t>Russo</t>
  </si>
  <si>
    <t>patsy.russo@gmail.com</t>
  </si>
  <si>
    <t xml:space="preserve">8438 Fairway Avenue </t>
  </si>
  <si>
    <t>Desiree</t>
  </si>
  <si>
    <t>desiree.branch@msn.com</t>
  </si>
  <si>
    <t xml:space="preserve">67 Bayport Drive </t>
  </si>
  <si>
    <t>Raeann</t>
  </si>
  <si>
    <t>(657) 256-2008</t>
  </si>
  <si>
    <t>raeann.duncan@aol.com</t>
  </si>
  <si>
    <t xml:space="preserve">126 Edgewood St. </t>
  </si>
  <si>
    <t>Lillia</t>
  </si>
  <si>
    <t>Gillespie</t>
  </si>
  <si>
    <t>lillia.gillespie@hotmail.com</t>
  </si>
  <si>
    <t xml:space="preserve">382 Cardinal Dr. </t>
  </si>
  <si>
    <t>Doris</t>
  </si>
  <si>
    <t>Kaufman</t>
  </si>
  <si>
    <t>doris.kaufman@gmail.com</t>
  </si>
  <si>
    <t xml:space="preserve">69 Fairground Dr. </t>
  </si>
  <si>
    <t>Rodolfo</t>
  </si>
  <si>
    <t>Buck</t>
  </si>
  <si>
    <t>rodolfo.buck@gmail.com</t>
  </si>
  <si>
    <t xml:space="preserve">8359 Brewery Street </t>
  </si>
  <si>
    <t>Olimpia</t>
  </si>
  <si>
    <t>olimpia.mays@aol.com</t>
  </si>
  <si>
    <t xml:space="preserve">42 Nichols Lane </t>
  </si>
  <si>
    <t>Oakland Gardens</t>
  </si>
  <si>
    <t>Shemeka</t>
  </si>
  <si>
    <t>shemeka.lyons@msn.com</t>
  </si>
  <si>
    <t xml:space="preserve">97 South Jockey Hollow St. </t>
  </si>
  <si>
    <t>Maryalice</t>
  </si>
  <si>
    <t>maryalice.henry@msn.com</t>
  </si>
  <si>
    <t xml:space="preserve">85 Prince Street </t>
  </si>
  <si>
    <t>Leeanne</t>
  </si>
  <si>
    <t>leeanne.cross@yahoo.com</t>
  </si>
  <si>
    <t xml:space="preserve">424 Newcastle Road </t>
  </si>
  <si>
    <t>Lanelle</t>
  </si>
  <si>
    <t>lanelle.guerra@yahoo.com</t>
  </si>
  <si>
    <t xml:space="preserve">989 Wrangler St. </t>
  </si>
  <si>
    <t>Dann</t>
  </si>
  <si>
    <t>Huff</t>
  </si>
  <si>
    <t>dann.huff@gmail.com</t>
  </si>
  <si>
    <t xml:space="preserve">475 S. Rockville St. </t>
  </si>
  <si>
    <t>Sherise</t>
  </si>
  <si>
    <t>sherise.mercer@gmail.com</t>
  </si>
  <si>
    <t xml:space="preserve">9401 Catherine Dr. </t>
  </si>
  <si>
    <t>heather.perry@gmail.com</t>
  </si>
  <si>
    <t xml:space="preserve">982 Durham Street </t>
  </si>
  <si>
    <t>Theresia</t>
  </si>
  <si>
    <t>theresia.barron@aol.com</t>
  </si>
  <si>
    <t xml:space="preserve">951 Wild Rose Street </t>
  </si>
  <si>
    <t>cindi.ellis@yahoo.com</t>
  </si>
  <si>
    <t xml:space="preserve">6 Cypress Lane </t>
  </si>
  <si>
    <t>Mirella</t>
  </si>
  <si>
    <t>Duffy</t>
  </si>
  <si>
    <t>mirella.duffy@yahoo.com</t>
  </si>
  <si>
    <t xml:space="preserve">43 University Ave. </t>
  </si>
  <si>
    <t>Macias</t>
  </si>
  <si>
    <t>carson.macias@gmail.com</t>
  </si>
  <si>
    <t xml:space="preserve">7 Pennington St. </t>
  </si>
  <si>
    <t>Divina</t>
  </si>
  <si>
    <t>(562) 264-3998</t>
  </si>
  <si>
    <t>divina.madden@gmail.com</t>
  </si>
  <si>
    <t xml:space="preserve">7314 Armstrong St. </t>
  </si>
  <si>
    <t>Cher</t>
  </si>
  <si>
    <t>cher.alston@msn.com</t>
  </si>
  <si>
    <t xml:space="preserve">38 Wild Horse Road </t>
  </si>
  <si>
    <t>regine.odom@msn.com</t>
  </si>
  <si>
    <t xml:space="preserve">684 N. Mayfield Ave. </t>
  </si>
  <si>
    <t>adam.thornton@hotmail.com</t>
  </si>
  <si>
    <t xml:space="preserve">755 East Henry Lane </t>
  </si>
  <si>
    <t>Cori</t>
  </si>
  <si>
    <t>Schwartz</t>
  </si>
  <si>
    <t>cori.schwartz@msn.com</t>
  </si>
  <si>
    <t xml:space="preserve">43 Lancaster Lane </t>
  </si>
  <si>
    <t>Willow</t>
  </si>
  <si>
    <t>willow.gardner@gmail.com</t>
  </si>
  <si>
    <t xml:space="preserve">57 S. Lakewood Dr. </t>
  </si>
  <si>
    <t>Jane</t>
  </si>
  <si>
    <t>jane.henderson@hotmail.com</t>
  </si>
  <si>
    <t xml:space="preserve">46 Carson Drive </t>
  </si>
  <si>
    <t>Mcfadden</t>
  </si>
  <si>
    <t>chere.mcfadden@yahoo.com</t>
  </si>
  <si>
    <t xml:space="preserve">695 San Pablo Drive </t>
  </si>
  <si>
    <t>ira.erickson@aol.com</t>
  </si>
  <si>
    <t xml:space="preserve">6 Lake Forest St. </t>
  </si>
  <si>
    <t>Risa</t>
  </si>
  <si>
    <t>Gallagher</t>
  </si>
  <si>
    <t>risa.gallagher@yahoo.com</t>
  </si>
  <si>
    <t xml:space="preserve">8281 Edgefield Drive </t>
  </si>
  <si>
    <t>Lavinia</t>
  </si>
  <si>
    <t>lavinia.cotton@yahoo.com</t>
  </si>
  <si>
    <t xml:space="preserve">7485 Bridle Street </t>
  </si>
  <si>
    <t>Alejandrina</t>
  </si>
  <si>
    <t>Hodges</t>
  </si>
  <si>
    <t>alejandrina.hodges@msn.com</t>
  </si>
  <si>
    <t xml:space="preserve">7598 Shadow Brook St. </t>
  </si>
  <si>
    <t>Keitha</t>
  </si>
  <si>
    <t>Black</t>
  </si>
  <si>
    <t>keitha.black@yahoo.com</t>
  </si>
  <si>
    <t xml:space="preserve">7670 Hilldale Ave. </t>
  </si>
  <si>
    <t>corene.swanson@aol.com</t>
  </si>
  <si>
    <t xml:space="preserve">597 Lakeshore Lane </t>
  </si>
  <si>
    <t>Webb</t>
  </si>
  <si>
    <t>tonda.webb@yahoo.com</t>
  </si>
  <si>
    <t xml:space="preserve">53 SW. Edgemont Rd. </t>
  </si>
  <si>
    <t>Dennis</t>
  </si>
  <si>
    <t>collen.dennis@gmail.com</t>
  </si>
  <si>
    <t xml:space="preserve">284 E. Mill Street </t>
  </si>
  <si>
    <t>Treasa</t>
  </si>
  <si>
    <t>treasa.dickerson@hotmail.com</t>
  </si>
  <si>
    <t xml:space="preserve">70 W. Creekside Road </t>
  </si>
  <si>
    <t>Jewell</t>
  </si>
  <si>
    <t>jewell.reyes@hotmail.com</t>
  </si>
  <si>
    <t xml:space="preserve">8711 Glen Creek Drive </t>
  </si>
  <si>
    <t>Penny</t>
  </si>
  <si>
    <t>penny.acevedo@yahoo.com</t>
  </si>
  <si>
    <t xml:space="preserve">318 Mulberry Drive </t>
  </si>
  <si>
    <t>Louise</t>
  </si>
  <si>
    <t>Flowers</t>
  </si>
  <si>
    <t>louise.flowers@yahoo.com</t>
  </si>
  <si>
    <t xml:space="preserve">28 N. Gregory Court </t>
  </si>
  <si>
    <t>Henrietta</t>
  </si>
  <si>
    <t>(682) 143-2224</t>
  </si>
  <si>
    <t>henrietta.wagner@hotmail.com</t>
  </si>
  <si>
    <t xml:space="preserve">54 Brickyard St. </t>
  </si>
  <si>
    <t>Ardelia</t>
  </si>
  <si>
    <t>ardelia.cooley@aol.com</t>
  </si>
  <si>
    <t xml:space="preserve">59 Henry Smith St. </t>
  </si>
  <si>
    <t>Khalilah</t>
  </si>
  <si>
    <t>khalilah.robertson@aol.com</t>
  </si>
  <si>
    <t xml:space="preserve">22 Longbranch Rd. </t>
  </si>
  <si>
    <t>Armando</t>
  </si>
  <si>
    <t>armando.black@gmail.com</t>
  </si>
  <si>
    <t xml:space="preserve">8611 N. Poor House St. </t>
  </si>
  <si>
    <t>jerri.henry@msn.com</t>
  </si>
  <si>
    <t xml:space="preserve">141 N. Purple Finch Avenue </t>
  </si>
  <si>
    <t>Lynda</t>
  </si>
  <si>
    <t>lynda.newman@msn.com</t>
  </si>
  <si>
    <t xml:space="preserve">44 SW. Thomas Ave. </t>
  </si>
  <si>
    <t>Bao</t>
  </si>
  <si>
    <t>bao.wade@gmail.com</t>
  </si>
  <si>
    <t xml:space="preserve">7587 Church St. </t>
  </si>
  <si>
    <t>Gussie</t>
  </si>
  <si>
    <t>gussie.harding@gmail.com</t>
  </si>
  <si>
    <t xml:space="preserve">41 Edgefield Avenue </t>
  </si>
  <si>
    <t>shirely.cantrell@aol.com</t>
  </si>
  <si>
    <t xml:space="preserve">6 Kent Street </t>
  </si>
  <si>
    <t>Caroline</t>
  </si>
  <si>
    <t>caroline.jenkins@msn.com</t>
  </si>
  <si>
    <t xml:space="preserve">86 River Lane </t>
  </si>
  <si>
    <t>hollis.rasmussen@yahoo.com</t>
  </si>
  <si>
    <t xml:space="preserve">8949 S. Gates Road </t>
  </si>
  <si>
    <t>Kendra</t>
  </si>
  <si>
    <t>Harrington</t>
  </si>
  <si>
    <t>kendra.harrington@yahoo.com</t>
  </si>
  <si>
    <t xml:space="preserve">768 Cooper Street </t>
  </si>
  <si>
    <t>(229) 891-2087</t>
  </si>
  <si>
    <t>douglass.blankenship@hotmail.com</t>
  </si>
  <si>
    <t xml:space="preserve">409 W. Rock Maple Lane </t>
  </si>
  <si>
    <t>Lina</t>
  </si>
  <si>
    <t>Meadows</t>
  </si>
  <si>
    <t>lina.meadows@aol.com</t>
  </si>
  <si>
    <t xml:space="preserve">7020 Ashley Rd. </t>
  </si>
  <si>
    <t>Patria</t>
  </si>
  <si>
    <t>Harper</t>
  </si>
  <si>
    <t>patria.harper@msn.com</t>
  </si>
  <si>
    <t xml:space="preserve">90 Arlington St. </t>
  </si>
  <si>
    <t>Jeffrey</t>
  </si>
  <si>
    <t>jeffrey.hill@gmail.com</t>
  </si>
  <si>
    <t xml:space="preserve">2 Shub Farm St. </t>
  </si>
  <si>
    <t>Ja</t>
  </si>
  <si>
    <t>ja.dillard@yahoo.com</t>
  </si>
  <si>
    <t xml:space="preserve">25 Orchard St. </t>
  </si>
  <si>
    <t>Tora</t>
  </si>
  <si>
    <t>Dunlap</t>
  </si>
  <si>
    <t>tora.dunlap@hotmail.com</t>
  </si>
  <si>
    <t xml:space="preserve">9903 North Halifax Ave. </t>
  </si>
  <si>
    <t>Karole</t>
  </si>
  <si>
    <t>karole.alvarez@gmail.com</t>
  </si>
  <si>
    <t xml:space="preserve">69 Woodland St. </t>
  </si>
  <si>
    <t>Shasta</t>
  </si>
  <si>
    <t>Combs</t>
  </si>
  <si>
    <t>shasta.combs@yahoo.com</t>
  </si>
  <si>
    <t xml:space="preserve">726 James Dr. </t>
  </si>
  <si>
    <t>Cicely</t>
  </si>
  <si>
    <t>cicely.deleon@yahoo.com</t>
  </si>
  <si>
    <t xml:space="preserve">751 Newbridge Ave. </t>
  </si>
  <si>
    <t>Raphael</t>
  </si>
  <si>
    <t>raphael.o'neil@aol.com</t>
  </si>
  <si>
    <t xml:space="preserve">762 East Lantern Dr. </t>
  </si>
  <si>
    <t>Hubert</t>
  </si>
  <si>
    <t>Reilly</t>
  </si>
  <si>
    <t>hubert.reilly@hotmail.com</t>
  </si>
  <si>
    <t xml:space="preserve">9004 N. Lake Rd. </t>
  </si>
  <si>
    <t>Caleb</t>
  </si>
  <si>
    <t>England</t>
  </si>
  <si>
    <t>caleb.england@gmail.com</t>
  </si>
  <si>
    <t xml:space="preserve">649 Marvon St. </t>
  </si>
  <si>
    <t>Elmira</t>
  </si>
  <si>
    <t>Levy</t>
  </si>
  <si>
    <t>elmira.levy@gmail.com</t>
  </si>
  <si>
    <t xml:space="preserve">6 Columbia Dr. </t>
  </si>
  <si>
    <t>Waldo</t>
  </si>
  <si>
    <t>waldo.hart@yahoo.com</t>
  </si>
  <si>
    <t xml:space="preserve">9782 Pineknoll Lane </t>
  </si>
  <si>
    <t>Bea</t>
  </si>
  <si>
    <t>Kane</t>
  </si>
  <si>
    <t>bea.kane@aol.com</t>
  </si>
  <si>
    <t xml:space="preserve">398 Green Lake Ave. </t>
  </si>
  <si>
    <t>gilberto.sanders@hotmail.com</t>
  </si>
  <si>
    <t xml:space="preserve">186 Roehampton Ave. </t>
  </si>
  <si>
    <t>Benny</t>
  </si>
  <si>
    <t>benny.bender@aol.com</t>
  </si>
  <si>
    <t xml:space="preserve">520 W. Hamilton St. </t>
  </si>
  <si>
    <t>Desmond</t>
  </si>
  <si>
    <t>Rose</t>
  </si>
  <si>
    <t>desmond.rose@hotmail.com</t>
  </si>
  <si>
    <t xml:space="preserve">9956 Lexington Rd. </t>
  </si>
  <si>
    <t>Holman</t>
  </si>
  <si>
    <t>parthenia.holman@gmail.com</t>
  </si>
  <si>
    <t xml:space="preserve">17 Orange Court </t>
  </si>
  <si>
    <t>Dung</t>
  </si>
  <si>
    <t>dung.king@aol.com</t>
  </si>
  <si>
    <t xml:space="preserve">523 Prairie St. </t>
  </si>
  <si>
    <t>Sherril</t>
  </si>
  <si>
    <t>sherril.alvarado@hotmail.com</t>
  </si>
  <si>
    <t xml:space="preserve">9434 Cypress Court </t>
  </si>
  <si>
    <t>Alisia</t>
  </si>
  <si>
    <t>alisia.albert@gmail.com</t>
  </si>
  <si>
    <t xml:space="preserve">9490 Coffee St. </t>
  </si>
  <si>
    <t>Kallie</t>
  </si>
  <si>
    <t>Best</t>
  </si>
  <si>
    <t>(507) 997-4112</t>
  </si>
  <si>
    <t>kallie.best@aol.com</t>
  </si>
  <si>
    <t xml:space="preserve">9842 Fairview St. </t>
  </si>
  <si>
    <t>Dottie</t>
  </si>
  <si>
    <t>dottie.roberts@aol.com</t>
  </si>
  <si>
    <t xml:space="preserve">8252 Theatre St. </t>
  </si>
  <si>
    <t>hubert.stone@hotmail.com</t>
  </si>
  <si>
    <t xml:space="preserve">203 Penn St. </t>
  </si>
  <si>
    <t>Gabriella</t>
  </si>
  <si>
    <t>gabriella.jones@hotmail.com</t>
  </si>
  <si>
    <t xml:space="preserve">9100 Gates Ave. </t>
  </si>
  <si>
    <t>Penney</t>
  </si>
  <si>
    <t>Hall</t>
  </si>
  <si>
    <t>penney.hall@msn.com</t>
  </si>
  <si>
    <t xml:space="preserve">8306 Jockey Hollow Street </t>
  </si>
  <si>
    <t>Mallie</t>
  </si>
  <si>
    <t>mallie.osborn@gmail.com</t>
  </si>
  <si>
    <t xml:space="preserve">9022 Bridgeton St. </t>
  </si>
  <si>
    <t>Britteny</t>
  </si>
  <si>
    <t>britteny.schroeder@aol.com</t>
  </si>
  <si>
    <t xml:space="preserve">855 Bohemia Dr. </t>
  </si>
  <si>
    <t>Sommer</t>
  </si>
  <si>
    <t>sommer.hopkins@gmail.com</t>
  </si>
  <si>
    <t xml:space="preserve">827 Laurel Ave. </t>
  </si>
  <si>
    <t>Tonawanda</t>
  </si>
  <si>
    <t>Jewel</t>
  </si>
  <si>
    <t>Sparks</t>
  </si>
  <si>
    <t>jewel.sparks@aol.com</t>
  </si>
  <si>
    <t xml:space="preserve">12 Vine Road </t>
  </si>
  <si>
    <t>Deandrea</t>
  </si>
  <si>
    <t>(914) 818-7312</t>
  </si>
  <si>
    <t>deandrea.vega@gmail.com</t>
  </si>
  <si>
    <t xml:space="preserve">613 Mill Pond St. </t>
  </si>
  <si>
    <t>Charlsie</t>
  </si>
  <si>
    <t>charlsie.carson@hotmail.com</t>
  </si>
  <si>
    <t xml:space="preserve">3 South Grant Avenue </t>
  </si>
  <si>
    <t>Ayers</t>
  </si>
  <si>
    <t>kandace.ayers@gmail.com</t>
  </si>
  <si>
    <t xml:space="preserve">9005 Lookout Lane </t>
  </si>
  <si>
    <t>Lenore</t>
  </si>
  <si>
    <t>Valdez</t>
  </si>
  <si>
    <t>lenore.valdez@msn.com</t>
  </si>
  <si>
    <t xml:space="preserve">829 Birchpond Street </t>
  </si>
  <si>
    <t>Drucilla</t>
  </si>
  <si>
    <t>drucilla.gilliam@hotmail.com</t>
  </si>
  <si>
    <t xml:space="preserve">8257 E. Westminster Ave. </t>
  </si>
  <si>
    <t>Reid</t>
  </si>
  <si>
    <t>(361) 394-2024</t>
  </si>
  <si>
    <t>keturah.reid@yahoo.com</t>
  </si>
  <si>
    <t xml:space="preserve">747 SE. Beech Ave. </t>
  </si>
  <si>
    <t>Herminia</t>
  </si>
  <si>
    <t>herminia.reyes@gmail.com</t>
  </si>
  <si>
    <t xml:space="preserve">782 Stonybrook Street </t>
  </si>
  <si>
    <t>Tuyet</t>
  </si>
  <si>
    <t>tuyet.rosa@aol.com</t>
  </si>
  <si>
    <t xml:space="preserve">9038 Golden Star Street </t>
  </si>
  <si>
    <t>Ara</t>
  </si>
  <si>
    <t>ara.vazquez@msn.com</t>
  </si>
  <si>
    <t xml:space="preserve">343 2nd Court </t>
  </si>
  <si>
    <t>barry.albert@gmail.com</t>
  </si>
  <si>
    <t xml:space="preserve">13 Grand St. </t>
  </si>
  <si>
    <t>Verdell</t>
  </si>
  <si>
    <t>verdell.joyner@aol.com</t>
  </si>
  <si>
    <t xml:space="preserve">9191 Sierra St. </t>
  </si>
  <si>
    <t>Far Rockaway</t>
  </si>
  <si>
    <t>han.wade@hotmail.com</t>
  </si>
  <si>
    <t xml:space="preserve">587 Sulphur Springs St. </t>
  </si>
  <si>
    <t>Anton</t>
  </si>
  <si>
    <t>(716) 472-3707</t>
  </si>
  <si>
    <t>anton.barton@msn.com</t>
  </si>
  <si>
    <t xml:space="preserve">7284 East Indian Spring Rd. </t>
  </si>
  <si>
    <t>Vito</t>
  </si>
  <si>
    <t>vito.pickett@hotmail.com</t>
  </si>
  <si>
    <t xml:space="preserve">93 High Point Street </t>
  </si>
  <si>
    <t>Charlene</t>
  </si>
  <si>
    <t>charlene.norris@msn.com</t>
  </si>
  <si>
    <t xml:space="preserve">972 South Sierra Drive </t>
  </si>
  <si>
    <t>Whitfield</t>
  </si>
  <si>
    <t>efren.whitfield@gmail.com</t>
  </si>
  <si>
    <t xml:space="preserve">139 Union Rd. </t>
  </si>
  <si>
    <t>Santa</t>
  </si>
  <si>
    <t>santa.larson@gmail.com</t>
  </si>
  <si>
    <t xml:space="preserve">5 Bellevue Dr. </t>
  </si>
  <si>
    <t>Carmelina</t>
  </si>
  <si>
    <t>Sellers</t>
  </si>
  <si>
    <t>carmelina.sellers@hotmail.com</t>
  </si>
  <si>
    <t xml:space="preserve">12 Race St. </t>
  </si>
  <si>
    <t>Carmela</t>
  </si>
  <si>
    <t>carmela.hays@aol.com</t>
  </si>
  <si>
    <t xml:space="preserve">149 Pennington Ave. </t>
  </si>
  <si>
    <t>Patrina</t>
  </si>
  <si>
    <t>Tanner</t>
  </si>
  <si>
    <t>patrina.tanner@gmail.com</t>
  </si>
  <si>
    <t xml:space="preserve">7136 Selby Road </t>
  </si>
  <si>
    <t>Rikki</t>
  </si>
  <si>
    <t>Morrow</t>
  </si>
  <si>
    <t>(682) 936-1482</t>
  </si>
  <si>
    <t>rikki.morrow@hotmail.com</t>
  </si>
  <si>
    <t xml:space="preserve">7096 Plumb Branch Road </t>
  </si>
  <si>
    <t>Junita</t>
  </si>
  <si>
    <t>junita.reese@gmail.com</t>
  </si>
  <si>
    <t xml:space="preserve">8773 North Walt Whitman Court </t>
  </si>
  <si>
    <t>ryan.carter@yahoo.com</t>
  </si>
  <si>
    <t xml:space="preserve">8684 Studebaker Road </t>
  </si>
  <si>
    <t>Almeta</t>
  </si>
  <si>
    <t>almeta.benjamin@aol.com</t>
  </si>
  <si>
    <t xml:space="preserve">8456 Oakwood St. </t>
  </si>
  <si>
    <t>Beatris</t>
  </si>
  <si>
    <t>beatris.joyner@gmail.com</t>
  </si>
  <si>
    <t xml:space="preserve">7463 Gonzales Rd. </t>
  </si>
  <si>
    <t>Mechelle</t>
  </si>
  <si>
    <t>mechelle.chan@gmail.com</t>
  </si>
  <si>
    <t xml:space="preserve">458 Overlook Street </t>
  </si>
  <si>
    <t>Earlean</t>
  </si>
  <si>
    <t>earlean.pena@yahoo.com</t>
  </si>
  <si>
    <t xml:space="preserve">7698 Fulton St. </t>
  </si>
  <si>
    <t>Katherin</t>
  </si>
  <si>
    <t>katherin.clark@yahoo.com</t>
  </si>
  <si>
    <t xml:space="preserve">996 Iroquois Street </t>
  </si>
  <si>
    <t>Chanel</t>
  </si>
  <si>
    <t>chanel.may@msn.com</t>
  </si>
  <si>
    <t xml:space="preserve">806 Saxton Court </t>
  </si>
  <si>
    <t>Aaron</t>
  </si>
  <si>
    <t>(914) 402-4335</t>
  </si>
  <si>
    <t>aaron.knapp@yahoo.com</t>
  </si>
  <si>
    <t xml:space="preserve">807 Grandrose Ave. </t>
  </si>
  <si>
    <t>Sindy</t>
  </si>
  <si>
    <t>sindy.anderson@gmail.com</t>
  </si>
  <si>
    <t xml:space="preserve">543 Halifax Ave. </t>
  </si>
  <si>
    <t>sheree.blanchard@gmail.com</t>
  </si>
  <si>
    <t xml:space="preserve">41 Glenwood Ave. </t>
  </si>
  <si>
    <t>Charlesetta</t>
  </si>
  <si>
    <t>charlesetta.soto@yahoo.com</t>
  </si>
  <si>
    <t xml:space="preserve">25 South Colonial Drive </t>
  </si>
  <si>
    <t>Wendie</t>
  </si>
  <si>
    <t>(805) 389-2549</t>
  </si>
  <si>
    <t>wendie.nash@hotmail.com</t>
  </si>
  <si>
    <t xml:space="preserve">9 South Road </t>
  </si>
  <si>
    <t>Vernetta</t>
  </si>
  <si>
    <t>vernetta.banks@aol.com</t>
  </si>
  <si>
    <t xml:space="preserve">7633 Albany St. </t>
  </si>
  <si>
    <t>Myrtle</t>
  </si>
  <si>
    <t>myrtle.gardner@aol.com</t>
  </si>
  <si>
    <t xml:space="preserve">303 Creekside Street </t>
  </si>
  <si>
    <t>Agustina</t>
  </si>
  <si>
    <t>Lawrence</t>
  </si>
  <si>
    <t>agustina.lawrence@yahoo.com</t>
  </si>
  <si>
    <t xml:space="preserve">9347 Delaware Ave. </t>
  </si>
  <si>
    <t>trinidad.chapman@aol.com</t>
  </si>
  <si>
    <t xml:space="preserve">7371 Glen Eagles Street </t>
  </si>
  <si>
    <t>kim.clark@msn.com</t>
  </si>
  <si>
    <t xml:space="preserve">19 Liberty St. </t>
  </si>
  <si>
    <t>Annabelle</t>
  </si>
  <si>
    <t>annabelle.hebert@aol.com</t>
  </si>
  <si>
    <t xml:space="preserve">9745 Nicolls Lane </t>
  </si>
  <si>
    <t>Corine</t>
  </si>
  <si>
    <t>Stuart</t>
  </si>
  <si>
    <t>corine.stuart@msn.com</t>
  </si>
  <si>
    <t xml:space="preserve">5 Penn Street </t>
  </si>
  <si>
    <t>Kiesha</t>
  </si>
  <si>
    <t>kiesha.bond@aol.com</t>
  </si>
  <si>
    <t xml:space="preserve">29 Marvon St. </t>
  </si>
  <si>
    <t>Kenyetta</t>
  </si>
  <si>
    <t>Mason</t>
  </si>
  <si>
    <t>kenyetta.mason@msn.com</t>
  </si>
  <si>
    <t xml:space="preserve">98 Poplar Ave. </t>
  </si>
  <si>
    <t>Marcene</t>
  </si>
  <si>
    <t>Curtis</t>
  </si>
  <si>
    <t>(914) 361-6045</t>
  </si>
  <si>
    <t>marcene.curtis@msn.com</t>
  </si>
  <si>
    <t xml:space="preserve">7699 Illinois Lane </t>
  </si>
  <si>
    <t>sheila.goodman@msn.com</t>
  </si>
  <si>
    <t xml:space="preserve">9586 Chestnut St. </t>
  </si>
  <si>
    <t>Romeo</t>
  </si>
  <si>
    <t>romeo.steele@msn.com</t>
  </si>
  <si>
    <t xml:space="preserve">162 Crescent Lane </t>
  </si>
  <si>
    <t>Tam</t>
  </si>
  <si>
    <t>(507) 351-9375</t>
  </si>
  <si>
    <t>tam.fisher@aol.com</t>
  </si>
  <si>
    <t xml:space="preserve">8000 Woodsman Lane </t>
  </si>
  <si>
    <t>Gena</t>
  </si>
  <si>
    <t>Owens</t>
  </si>
  <si>
    <t>gena.owens@gmail.com</t>
  </si>
  <si>
    <t xml:space="preserve">43 Buckingham St. </t>
  </si>
  <si>
    <t>phebe.soto@hotmail.com</t>
  </si>
  <si>
    <t xml:space="preserve">9239 Leatherwood Rd. </t>
  </si>
  <si>
    <t>Leticia</t>
  </si>
  <si>
    <t>Snyder</t>
  </si>
  <si>
    <t>leticia.snyder@yahoo.com</t>
  </si>
  <si>
    <t xml:space="preserve">173 Lyme Dr. </t>
  </si>
  <si>
    <t>Chantell</t>
  </si>
  <si>
    <t>(716) 941-6072</t>
  </si>
  <si>
    <t>chantell.bridges@yahoo.com</t>
  </si>
  <si>
    <t xml:space="preserve">8478 N. Wrangler Dr. </t>
  </si>
  <si>
    <t>Ileana</t>
  </si>
  <si>
    <t>ileana.holt@msn.com</t>
  </si>
  <si>
    <t xml:space="preserve">817 Adams St. </t>
  </si>
  <si>
    <t>Nakisha</t>
  </si>
  <si>
    <t>nakisha.clay@gmail.com</t>
  </si>
  <si>
    <t xml:space="preserve">8996 Beechwood Ave. </t>
  </si>
  <si>
    <t>Cheryll</t>
  </si>
  <si>
    <t>cheryll.snyder@yahoo.com</t>
  </si>
  <si>
    <t xml:space="preserve">77 E. Liberty St. </t>
  </si>
  <si>
    <t>Consuela</t>
  </si>
  <si>
    <t>consuela.collier@msn.com</t>
  </si>
  <si>
    <t xml:space="preserve">338 S. Holly Avenue </t>
  </si>
  <si>
    <t>Aubrey</t>
  </si>
  <si>
    <t>aubrey.durham@aol.com</t>
  </si>
  <si>
    <t xml:space="preserve">14 Foster Ave. </t>
  </si>
  <si>
    <t>Nita</t>
  </si>
  <si>
    <t>nita.guy@hotmail.com</t>
  </si>
  <si>
    <t xml:space="preserve">75 Academy Street </t>
  </si>
  <si>
    <t>Carmina</t>
  </si>
  <si>
    <t>carmina.emerson@hotmail.com</t>
  </si>
  <si>
    <t xml:space="preserve">7137 Monroe Road </t>
  </si>
  <si>
    <t>georgeann.rojas@msn.com</t>
  </si>
  <si>
    <t xml:space="preserve">691 Devon Ave. </t>
  </si>
  <si>
    <t>Leslie</t>
  </si>
  <si>
    <t>leslie.higgins@hotmail.com</t>
  </si>
  <si>
    <t xml:space="preserve">805 Logan Ave. </t>
  </si>
  <si>
    <t>Emmaline</t>
  </si>
  <si>
    <t>emmaline.huber@gmail.com</t>
  </si>
  <si>
    <t xml:space="preserve">7975 Harrison Rd. </t>
  </si>
  <si>
    <t>Mercy</t>
  </si>
  <si>
    <t>mercy.brown@msn.com</t>
  </si>
  <si>
    <t xml:space="preserve">8207 Central Street </t>
  </si>
  <si>
    <t>Jenell</t>
  </si>
  <si>
    <t>(631) 544-4772</t>
  </si>
  <si>
    <t>jenell.crosby@hotmail.com</t>
  </si>
  <si>
    <t xml:space="preserve">507 Fulton Street </t>
  </si>
  <si>
    <t>Leila</t>
  </si>
  <si>
    <t>Barr</t>
  </si>
  <si>
    <t>leila.barr@yahoo.com</t>
  </si>
  <si>
    <t xml:space="preserve">120 Fremont Rd. </t>
  </si>
  <si>
    <t>deandrea.cox@msn.com</t>
  </si>
  <si>
    <t xml:space="preserve">617 Sycamore Street </t>
  </si>
  <si>
    <t>Shawnna</t>
  </si>
  <si>
    <t>shawnna.frank@hotmail.com</t>
  </si>
  <si>
    <t xml:space="preserve">17 NW. Cottage Lane </t>
  </si>
  <si>
    <t>Brenton</t>
  </si>
  <si>
    <t>brenton.whitaker@gmail.com</t>
  </si>
  <si>
    <t xml:space="preserve">25 Elmwood Rd. </t>
  </si>
  <si>
    <t>Jaqueline</t>
  </si>
  <si>
    <t>Cummings</t>
  </si>
  <si>
    <t>jaqueline.cummings@hotmail.com</t>
  </si>
  <si>
    <t xml:space="preserve">478 Wrangler St. </t>
  </si>
  <si>
    <t>yang.giles@gmail.com</t>
  </si>
  <si>
    <t xml:space="preserve">25 Bridle Lane </t>
  </si>
  <si>
    <t>Brigid</t>
  </si>
  <si>
    <t>Sharp</t>
  </si>
  <si>
    <t>brigid.sharp@hotmail.com</t>
  </si>
  <si>
    <t xml:space="preserve">495 Sleepy Hollow Court </t>
  </si>
  <si>
    <t>Karl</t>
  </si>
  <si>
    <t>karl.stephens@gmail.com</t>
  </si>
  <si>
    <t xml:space="preserve">208 Thatcher Rd. </t>
  </si>
  <si>
    <t>Elvina</t>
  </si>
  <si>
    <t>Gates</t>
  </si>
  <si>
    <t>elvina.gates@hotmail.com</t>
  </si>
  <si>
    <t xml:space="preserve">112 Smith St. </t>
  </si>
  <si>
    <t>Carlie</t>
  </si>
  <si>
    <t>(914) 517-8036</t>
  </si>
  <si>
    <t>carlie.terrell@yahoo.com</t>
  </si>
  <si>
    <t xml:space="preserve">7437 Snake Hill Road </t>
  </si>
  <si>
    <t>Donovan</t>
  </si>
  <si>
    <t>(510) 624-3824</t>
  </si>
  <si>
    <t>donovan.cantrell@msn.com</t>
  </si>
  <si>
    <t xml:space="preserve">601 Winchester Dr. </t>
  </si>
  <si>
    <t>Alden</t>
  </si>
  <si>
    <t>alden.atkinson@gmail.com</t>
  </si>
  <si>
    <t xml:space="preserve">46 Valley St. </t>
  </si>
  <si>
    <t>carissa.cross@yahoo.com</t>
  </si>
  <si>
    <t xml:space="preserve">9335 West Main Dr. </t>
  </si>
  <si>
    <t>Joy</t>
  </si>
  <si>
    <t>Underwood</t>
  </si>
  <si>
    <t>joy.underwood@gmail.com</t>
  </si>
  <si>
    <t xml:space="preserve">7297 Armstrong Dr. </t>
  </si>
  <si>
    <t>Geraldine</t>
  </si>
  <si>
    <t>O'donnell</t>
  </si>
  <si>
    <t>geraldine.o'donnell@hotmail.com</t>
  </si>
  <si>
    <t xml:space="preserve">8241 Lookout Rd. </t>
  </si>
  <si>
    <t>Bronwyn</t>
  </si>
  <si>
    <t>bronwyn.vargas@msn.com</t>
  </si>
  <si>
    <t xml:space="preserve">35 James Street </t>
  </si>
  <si>
    <t>Abram</t>
  </si>
  <si>
    <t>Copeland</t>
  </si>
  <si>
    <t>abram.copeland@gmail.com</t>
  </si>
  <si>
    <t xml:space="preserve">9782 Indian Spring Lane </t>
  </si>
  <si>
    <t>mellisa.griffin@msn.com</t>
  </si>
  <si>
    <t xml:space="preserve">49 Alton Circle </t>
  </si>
  <si>
    <t>Qiana</t>
  </si>
  <si>
    <t>qiana.jackson@gmail.com</t>
  </si>
  <si>
    <t xml:space="preserve">56 Galvin Street </t>
  </si>
  <si>
    <t>Magali</t>
  </si>
  <si>
    <t>(248) 279-5331</t>
  </si>
  <si>
    <t>magali.dixon@msn.com</t>
  </si>
  <si>
    <t xml:space="preserve">815 Del Monte Court </t>
  </si>
  <si>
    <t>(510) 565-8496</t>
  </si>
  <si>
    <t>zulema.clemons@aol.com</t>
  </si>
  <si>
    <t xml:space="preserve">75 W. Howard St. </t>
  </si>
  <si>
    <t>Carina</t>
  </si>
  <si>
    <t>Lynch</t>
  </si>
  <si>
    <t>carina.lynch@gmail.com</t>
  </si>
  <si>
    <t xml:space="preserve">64 Jennings Road </t>
  </si>
  <si>
    <t>Jesus</t>
  </si>
  <si>
    <t>jesus.burch@hotmail.com</t>
  </si>
  <si>
    <t xml:space="preserve">7024 Squaw Creek Street </t>
  </si>
  <si>
    <t>selene.vega@gmail.com</t>
  </si>
  <si>
    <t xml:space="preserve">11 Sierra St. </t>
  </si>
  <si>
    <t>Jong</t>
  </si>
  <si>
    <t>jong.guthrie@hotmail.com</t>
  </si>
  <si>
    <t xml:space="preserve">889 Leatherwood Drive </t>
  </si>
  <si>
    <t>lise.hebert@gmail.com</t>
  </si>
  <si>
    <t xml:space="preserve">140 East Broad Lane </t>
  </si>
  <si>
    <t>joshua.berg@hotmail.com</t>
  </si>
  <si>
    <t xml:space="preserve">16 East St. </t>
  </si>
  <si>
    <t>Georgina</t>
  </si>
  <si>
    <t>georgina.gonzales@yahoo.com</t>
  </si>
  <si>
    <t xml:space="preserve">307 Chapel St. </t>
  </si>
  <si>
    <t>Rudolph</t>
  </si>
  <si>
    <t>rudolph.velez@yahoo.com</t>
  </si>
  <si>
    <t xml:space="preserve">9397 Pleasant Drive </t>
  </si>
  <si>
    <t>luke.kramer@hotmail.com</t>
  </si>
  <si>
    <t xml:space="preserve">7955 Delaware Drive </t>
  </si>
  <si>
    <t>edgar.quinn@aol.com</t>
  </si>
  <si>
    <t xml:space="preserve">556 Dogwood Ave. </t>
  </si>
  <si>
    <t>Tara</t>
  </si>
  <si>
    <t>tara.maynard@hotmail.com</t>
  </si>
  <si>
    <t xml:space="preserve">9375 Fordham Street </t>
  </si>
  <si>
    <t>Bella</t>
  </si>
  <si>
    <t>bella.perez@msn.com</t>
  </si>
  <si>
    <t xml:space="preserve">43 Green Lake Street </t>
  </si>
  <si>
    <t>Davidson</t>
  </si>
  <si>
    <t>nathaniel.davidson@hotmail.com</t>
  </si>
  <si>
    <t xml:space="preserve">7476 Henry Smith Street </t>
  </si>
  <si>
    <t>Chauncey</t>
  </si>
  <si>
    <t>Donaldson</t>
  </si>
  <si>
    <t>chauncey.donaldson@aol.com</t>
  </si>
  <si>
    <t xml:space="preserve">7412 Golf Ave. </t>
  </si>
  <si>
    <t>Heide</t>
  </si>
  <si>
    <t>heide.reed@yahoo.com</t>
  </si>
  <si>
    <t xml:space="preserve">9174 Coffee Drive </t>
  </si>
  <si>
    <t>Trang</t>
  </si>
  <si>
    <t>trang.hardin@yahoo.com</t>
  </si>
  <si>
    <t xml:space="preserve">9255 Myers Drive </t>
  </si>
  <si>
    <t>Gabriela</t>
  </si>
  <si>
    <t>(562) 986-2247</t>
  </si>
  <si>
    <t>gabriela.warren@aol.com</t>
  </si>
  <si>
    <t xml:space="preserve">9947 Brewery Ave. </t>
  </si>
  <si>
    <t>dale.rasmussen@aol.com</t>
  </si>
  <si>
    <t xml:space="preserve">8590 Adams Street </t>
  </si>
  <si>
    <t>Tammie</t>
  </si>
  <si>
    <t>tammie.cherry@hotmail.com</t>
  </si>
  <si>
    <t xml:space="preserve">791 Wakehurst Dr. </t>
  </si>
  <si>
    <t>Bethany</t>
  </si>
  <si>
    <t>Herring</t>
  </si>
  <si>
    <t>bethany.herring@yahoo.com</t>
  </si>
  <si>
    <t xml:space="preserve">7563 High Point Street </t>
  </si>
  <si>
    <t>Barbra</t>
  </si>
  <si>
    <t>barbra.dickerson@gmail.com</t>
  </si>
  <si>
    <t xml:space="preserve">8424 E. Rockcrest Dr. </t>
  </si>
  <si>
    <t>Neoma</t>
  </si>
  <si>
    <t>Daugherty</t>
  </si>
  <si>
    <t>neoma.daugherty@gmail.com</t>
  </si>
  <si>
    <t xml:space="preserve">80 Spring Street </t>
  </si>
  <si>
    <t>Nanette</t>
  </si>
  <si>
    <t>nanette.roman@yahoo.com</t>
  </si>
  <si>
    <t xml:space="preserve">8254 North Riverview Street </t>
  </si>
  <si>
    <t>adriene.rollins@msn.com</t>
  </si>
  <si>
    <t xml:space="preserve">55 Cambridge Street </t>
  </si>
  <si>
    <t>Susannah</t>
  </si>
  <si>
    <t>susannah.fields@hotmail.com</t>
  </si>
  <si>
    <t xml:space="preserve">17 Railroad Street </t>
  </si>
  <si>
    <t>dung.reid@msn.com</t>
  </si>
  <si>
    <t xml:space="preserve">468 West Washington Ave. </t>
  </si>
  <si>
    <t>Ben</t>
  </si>
  <si>
    <t>ben.stone@gmail.com</t>
  </si>
  <si>
    <t xml:space="preserve">8855 University St. </t>
  </si>
  <si>
    <t>Nubia</t>
  </si>
  <si>
    <t>nubia.anderson@aol.com</t>
  </si>
  <si>
    <t xml:space="preserve">584 NW. Hilldale Drive </t>
  </si>
  <si>
    <t>Rosamaria</t>
  </si>
  <si>
    <t>Meyer</t>
  </si>
  <si>
    <t>rosamaria.meyer@yahoo.com</t>
  </si>
  <si>
    <t xml:space="preserve">446 Elizabeth St. </t>
  </si>
  <si>
    <t>Waters</t>
  </si>
  <si>
    <t>todd.waters@yahoo.com</t>
  </si>
  <si>
    <t xml:space="preserve">92 Cedar Swamp Street </t>
  </si>
  <si>
    <t>Kimbery</t>
  </si>
  <si>
    <t>kimbery.nieves@msn.com</t>
  </si>
  <si>
    <t xml:space="preserve">768 Roehampton St. </t>
  </si>
  <si>
    <t>Phuong</t>
  </si>
  <si>
    <t>Wolf</t>
  </si>
  <si>
    <t>phuong.wolf@yahoo.com</t>
  </si>
  <si>
    <t xml:space="preserve">7765 N. Annadale Dr. </t>
  </si>
  <si>
    <t>Adelaida</t>
  </si>
  <si>
    <t>adelaida.hancock@aol.com</t>
  </si>
  <si>
    <t xml:space="preserve">669 S. Gartner Street </t>
  </si>
  <si>
    <t>Brianne</t>
  </si>
  <si>
    <t>brianne.hays@gmail.com</t>
  </si>
  <si>
    <t xml:space="preserve">88 Tailwater Ave. </t>
  </si>
  <si>
    <t>Rufina</t>
  </si>
  <si>
    <t>Chandler</t>
  </si>
  <si>
    <t>rufina.chandler@aol.com</t>
  </si>
  <si>
    <t xml:space="preserve">7985 Alderwood Street </t>
  </si>
  <si>
    <t>(631) 254-8497</t>
  </si>
  <si>
    <t>devin.velazquez@aol.com</t>
  </si>
  <si>
    <t xml:space="preserve">61 Redwood St. </t>
  </si>
  <si>
    <t>Bonita</t>
  </si>
  <si>
    <t>bonita.marshall@msn.com</t>
  </si>
  <si>
    <t xml:space="preserve">48 Bald Hill Drive </t>
  </si>
  <si>
    <t>Myrl</t>
  </si>
  <si>
    <t>Gay</t>
  </si>
  <si>
    <t>myrl.gay@hotmail.com</t>
  </si>
  <si>
    <t xml:space="preserve">8708 Taylor Lane </t>
  </si>
  <si>
    <t>earline.gordon@gmail.com</t>
  </si>
  <si>
    <t xml:space="preserve">81 Railroad Drive </t>
  </si>
  <si>
    <t>Sung</t>
  </si>
  <si>
    <t>sung.chambers@gmail.com</t>
  </si>
  <si>
    <t xml:space="preserve">369 N. Virginia Street </t>
  </si>
  <si>
    <t>Gustavo</t>
  </si>
  <si>
    <t>gustavo.gamble@msn.com</t>
  </si>
  <si>
    <t xml:space="preserve">8054 W. Meadowbrook Street </t>
  </si>
  <si>
    <t>ciera.webb@yahoo.com</t>
  </si>
  <si>
    <t xml:space="preserve">958 Anderson Ave. </t>
  </si>
  <si>
    <t>roy.chan@hotmail.com</t>
  </si>
  <si>
    <t xml:space="preserve">7578 Middle River St. </t>
  </si>
  <si>
    <t>Vasquez</t>
  </si>
  <si>
    <t>houston.vasquez@msn.com</t>
  </si>
  <si>
    <t xml:space="preserve">845 Aspen Street </t>
  </si>
  <si>
    <t>Cheree</t>
  </si>
  <si>
    <t>Hale</t>
  </si>
  <si>
    <t>cheree.hale@yahoo.com</t>
  </si>
  <si>
    <t xml:space="preserve">95 Lyme Avenue </t>
  </si>
  <si>
    <t>Odette</t>
  </si>
  <si>
    <t>odette.moses@gmail.com</t>
  </si>
  <si>
    <t xml:space="preserve">899 Overlook Lane </t>
  </si>
  <si>
    <t>Lenita</t>
  </si>
  <si>
    <t>lenita.bonner@aol.com</t>
  </si>
  <si>
    <t xml:space="preserve">7286 Swanson Drive </t>
  </si>
  <si>
    <t>Shona</t>
  </si>
  <si>
    <t>shona.mcmillan@msn.com</t>
  </si>
  <si>
    <t xml:space="preserve">57 West Maple Dr. </t>
  </si>
  <si>
    <t>Piedad</t>
  </si>
  <si>
    <t>piedad.irwin@hotmail.com</t>
  </si>
  <si>
    <t xml:space="preserve">581 Garden St. </t>
  </si>
  <si>
    <t>Loan</t>
  </si>
  <si>
    <t>loan.graham@yahoo.com</t>
  </si>
  <si>
    <t xml:space="preserve">57 Glen Eagles St. </t>
  </si>
  <si>
    <t>Stan</t>
  </si>
  <si>
    <t>stan.saunders@yahoo.com</t>
  </si>
  <si>
    <t xml:space="preserve">407 Essex Dr. </t>
  </si>
  <si>
    <t>Jackeline</t>
  </si>
  <si>
    <t>jackeline.colon@msn.com</t>
  </si>
  <si>
    <t xml:space="preserve">9916 Cedarwood Drive </t>
  </si>
  <si>
    <t>Marlen</t>
  </si>
  <si>
    <t>marlen.dawson@msn.com</t>
  </si>
  <si>
    <t xml:space="preserve">67 Oak Valley Street </t>
  </si>
  <si>
    <t>Alexis</t>
  </si>
  <si>
    <t>(845) 707-6088</t>
  </si>
  <si>
    <t>alexis.mack@aol.com</t>
  </si>
  <si>
    <t xml:space="preserve">7767 Sutor Ave. </t>
  </si>
  <si>
    <t>Mica</t>
  </si>
  <si>
    <t>mica.barry@yahoo.com</t>
  </si>
  <si>
    <t xml:space="preserve">3 SE. Sugar St. </t>
  </si>
  <si>
    <t>Shanice</t>
  </si>
  <si>
    <t>shanice.spears@msn.com</t>
  </si>
  <si>
    <t xml:space="preserve">5 Piper Ave. </t>
  </si>
  <si>
    <t>Garth</t>
  </si>
  <si>
    <t>garth.huff@yahoo.com</t>
  </si>
  <si>
    <t xml:space="preserve">794 East University St. </t>
  </si>
  <si>
    <t>Dione</t>
  </si>
  <si>
    <t>dione.pratt@msn.com</t>
  </si>
  <si>
    <t xml:space="preserve">864 Winding Way St. </t>
  </si>
  <si>
    <t>Victor</t>
  </si>
  <si>
    <t>victor.pittman@aol.com</t>
  </si>
  <si>
    <t xml:space="preserve">9294 Devon Dr. </t>
  </si>
  <si>
    <t>Allie</t>
  </si>
  <si>
    <t>allie.conley@msn.com</t>
  </si>
  <si>
    <t xml:space="preserve">96 High Point Road </t>
  </si>
  <si>
    <t>Shanelle</t>
  </si>
  <si>
    <t>shanelle.anderson@yahoo.com</t>
  </si>
  <si>
    <t xml:space="preserve">646 Surrey Street </t>
  </si>
  <si>
    <t>Minnie</t>
  </si>
  <si>
    <t>minnie.compton@gmail.com</t>
  </si>
  <si>
    <t xml:space="preserve">185 Hudson Street </t>
  </si>
  <si>
    <t>shiloh.bates@msn.com</t>
  </si>
  <si>
    <t xml:space="preserve">15 Wellington Dr. </t>
  </si>
  <si>
    <t>Lakenya</t>
  </si>
  <si>
    <t>lakenya.oliver@yahoo.com</t>
  </si>
  <si>
    <t xml:space="preserve">82 Bayport Court </t>
  </si>
  <si>
    <t>Sally</t>
  </si>
  <si>
    <t>sally.kinney@msn.com</t>
  </si>
  <si>
    <t xml:space="preserve">7565 High Dr. </t>
  </si>
  <si>
    <t>Edith</t>
  </si>
  <si>
    <t>edith.davenport@gmail.com</t>
  </si>
  <si>
    <t xml:space="preserve">685 Alton Road </t>
  </si>
  <si>
    <t>Alline</t>
  </si>
  <si>
    <t>Beasley</t>
  </si>
  <si>
    <t>alline.beasley@yahoo.com</t>
  </si>
  <si>
    <t xml:space="preserve">8704 NE. Olive Ave. </t>
  </si>
  <si>
    <t>Whitley</t>
  </si>
  <si>
    <t>travis.whitley@aol.com</t>
  </si>
  <si>
    <t xml:space="preserve">60 Euclid Ave. </t>
  </si>
  <si>
    <t>Vanessa</t>
  </si>
  <si>
    <t>West</t>
  </si>
  <si>
    <t>vanessa.west@gmail.com</t>
  </si>
  <si>
    <t xml:space="preserve">34 Prairie Lane </t>
  </si>
  <si>
    <t>Trudy</t>
  </si>
  <si>
    <t>trudy.riddle@aol.com</t>
  </si>
  <si>
    <t xml:space="preserve">8943 Johnson Street </t>
  </si>
  <si>
    <t>Shauna</t>
  </si>
  <si>
    <t>shauna.edwards@msn.com</t>
  </si>
  <si>
    <t xml:space="preserve">8 Dogwood Ave. </t>
  </si>
  <si>
    <t>Clorinda</t>
  </si>
  <si>
    <t>clorinda.donovan@msn.com</t>
  </si>
  <si>
    <t xml:space="preserve">9690 E. Morris Ave. </t>
  </si>
  <si>
    <t>Raven</t>
  </si>
  <si>
    <t>raven.curtis@aol.com</t>
  </si>
  <si>
    <t xml:space="preserve">18 Summit Lane </t>
  </si>
  <si>
    <t>Verda</t>
  </si>
  <si>
    <t>verda.gilbert@gmail.com</t>
  </si>
  <si>
    <t xml:space="preserve">54 Hillcrest Drive </t>
  </si>
  <si>
    <t>Renay</t>
  </si>
  <si>
    <t>Atkins</t>
  </si>
  <si>
    <t>renay.atkins@aol.com</t>
  </si>
  <si>
    <t xml:space="preserve">7146 Leeton Ridge Ave. </t>
  </si>
  <si>
    <t>Tama</t>
  </si>
  <si>
    <t>tama.berg@hotmail.com</t>
  </si>
  <si>
    <t xml:space="preserve">3 Cardinal Avenue </t>
  </si>
  <si>
    <t>Dalia</t>
  </si>
  <si>
    <t>(507) 186-2004</t>
  </si>
  <si>
    <t>dalia.carson@aol.com</t>
  </si>
  <si>
    <t xml:space="preserve">7175 Galvin St. </t>
  </si>
  <si>
    <t>America</t>
  </si>
  <si>
    <t>america.swanson@msn.com</t>
  </si>
  <si>
    <t xml:space="preserve">83 South Arlington Lane </t>
  </si>
  <si>
    <t>Cinda</t>
  </si>
  <si>
    <t>cinda.rocha@hotmail.com</t>
  </si>
  <si>
    <t xml:space="preserve">926 North Oklahoma Dr. </t>
  </si>
  <si>
    <t>Shea</t>
  </si>
  <si>
    <t>shea.howell@msn.com</t>
  </si>
  <si>
    <t xml:space="preserve">67 Arch Rd. </t>
  </si>
  <si>
    <t>Kimberli</t>
  </si>
  <si>
    <t>Cline</t>
  </si>
  <si>
    <t>kimberli.cline@yahoo.com</t>
  </si>
  <si>
    <t xml:space="preserve">7115 Stonybrook Court </t>
  </si>
  <si>
    <t>Emanuel</t>
  </si>
  <si>
    <t>emanuel.mckee@yahoo.com</t>
  </si>
  <si>
    <t xml:space="preserve">9411 Lake Dr. </t>
  </si>
  <si>
    <t>whitley.cannon@msn.com</t>
  </si>
  <si>
    <t xml:space="preserve">614 High Point Lane </t>
  </si>
  <si>
    <t>Tereasa</t>
  </si>
  <si>
    <t>Bird</t>
  </si>
  <si>
    <t>tereasa.bird@aol.com</t>
  </si>
  <si>
    <t xml:space="preserve">7526 Vine Drive </t>
  </si>
  <si>
    <t>Dante</t>
  </si>
  <si>
    <t>Grimes</t>
  </si>
  <si>
    <t>dante.grimes@yahoo.com</t>
  </si>
  <si>
    <t xml:space="preserve">23 Shore St. </t>
  </si>
  <si>
    <t>Joeann</t>
  </si>
  <si>
    <t>joeann.garrison@yahoo.com</t>
  </si>
  <si>
    <t xml:space="preserve">1 Harrison St. </t>
  </si>
  <si>
    <t>Omega</t>
  </si>
  <si>
    <t>omega.johnston@gmail.com</t>
  </si>
  <si>
    <t xml:space="preserve">9935 Tarkiln Hill St. </t>
  </si>
  <si>
    <t>Conrad</t>
  </si>
  <si>
    <t>Mueller</t>
  </si>
  <si>
    <t>conrad.mueller@yahoo.com</t>
  </si>
  <si>
    <t xml:space="preserve">3 Myrtle St. </t>
  </si>
  <si>
    <t>Glady</t>
  </si>
  <si>
    <t>Wells</t>
  </si>
  <si>
    <t>glady.wells@gmail.com</t>
  </si>
  <si>
    <t xml:space="preserve">627 Ramblewood Ave. </t>
  </si>
  <si>
    <t>Tisha</t>
  </si>
  <si>
    <t>Petty</t>
  </si>
  <si>
    <t>(210) 851-3122</t>
  </si>
  <si>
    <t>tisha.petty@msn.com</t>
  </si>
  <si>
    <t xml:space="preserve">9083 Lake View Ave. </t>
  </si>
  <si>
    <t>Claris</t>
  </si>
  <si>
    <t>Santiago</t>
  </si>
  <si>
    <t>claris.santiago@msn.com</t>
  </si>
  <si>
    <t xml:space="preserve">763 Mountainview Dr. </t>
  </si>
  <si>
    <t>Obdulia</t>
  </si>
  <si>
    <t>obdulia.barber@gmail.com</t>
  </si>
  <si>
    <t xml:space="preserve">878 Lexington Rd. </t>
  </si>
  <si>
    <t>Shantel</t>
  </si>
  <si>
    <t>shantel.gregory@yahoo.com</t>
  </si>
  <si>
    <t xml:space="preserve">7722 Second Lane </t>
  </si>
  <si>
    <t>Ai</t>
  </si>
  <si>
    <t>Forbes</t>
  </si>
  <si>
    <t>ai.forbes@yahoo.com</t>
  </si>
  <si>
    <t xml:space="preserve">254 Central St. </t>
  </si>
  <si>
    <t>Ebony</t>
  </si>
  <si>
    <t>ebony.cotton@yahoo.com</t>
  </si>
  <si>
    <t xml:space="preserve">8979 Miller St. </t>
  </si>
  <si>
    <t>Arla</t>
  </si>
  <si>
    <t>arla.ellis@yahoo.com</t>
  </si>
  <si>
    <t xml:space="preserve">127 Crescent Ave. </t>
  </si>
  <si>
    <t>Magdalena</t>
  </si>
  <si>
    <t>magdalena.sherman@gmail.com</t>
  </si>
  <si>
    <t xml:space="preserve">176 Sunbeam St. </t>
  </si>
  <si>
    <t>Tarra</t>
  </si>
  <si>
    <t>tarra.guerrero@aol.com</t>
  </si>
  <si>
    <t xml:space="preserve">10 Baker St. </t>
  </si>
  <si>
    <t>Romero</t>
  </si>
  <si>
    <t>consuela.romero@hotmail.com</t>
  </si>
  <si>
    <t xml:space="preserve">54 Elm Court </t>
  </si>
  <si>
    <t>Cindie</t>
  </si>
  <si>
    <t>Franklin</t>
  </si>
  <si>
    <t>cindie.franklin@yahoo.com</t>
  </si>
  <si>
    <t xml:space="preserve">7249 Franklin St. </t>
  </si>
  <si>
    <t>Brewer</t>
  </si>
  <si>
    <t>sharyn.brewer@aol.com</t>
  </si>
  <si>
    <t xml:space="preserve">70 Columbia Ave. </t>
  </si>
  <si>
    <t>Karren</t>
  </si>
  <si>
    <t>karren.stevenson@aol.com</t>
  </si>
  <si>
    <t xml:space="preserve">155 Old York St. </t>
  </si>
  <si>
    <t>divina.reeves@hotmail.com</t>
  </si>
  <si>
    <t xml:space="preserve">767 Bradford Dr. </t>
  </si>
  <si>
    <t>novella.ross@gmail.com</t>
  </si>
  <si>
    <t xml:space="preserve">9418 Acacia Drive </t>
  </si>
  <si>
    <t>omega.huff@aol.com</t>
  </si>
  <si>
    <t xml:space="preserve">63 Devon St. </t>
  </si>
  <si>
    <t>Finch</t>
  </si>
  <si>
    <t>ashleigh.finch@yahoo.com</t>
  </si>
  <si>
    <t xml:space="preserve">82 Hudson Court </t>
  </si>
  <si>
    <t>Corina</t>
  </si>
  <si>
    <t>corina.lynch@msn.com</t>
  </si>
  <si>
    <t xml:space="preserve">44 Sunbeam Dr. </t>
  </si>
  <si>
    <t>Joe</t>
  </si>
  <si>
    <t>joe.melton@gmail.com</t>
  </si>
  <si>
    <t xml:space="preserve">8998 Hartford Street </t>
  </si>
  <si>
    <t>bernetta.summers@aol.com</t>
  </si>
  <si>
    <t xml:space="preserve">1 Young Ave. </t>
  </si>
  <si>
    <t>Inez</t>
  </si>
  <si>
    <t>Snider</t>
  </si>
  <si>
    <t>inez.snider@gmail.com</t>
  </si>
  <si>
    <t xml:space="preserve">837 Catherine Lane </t>
  </si>
  <si>
    <t>Neida</t>
  </si>
  <si>
    <t>(442) 778-1121</t>
  </si>
  <si>
    <t>neida.king@aol.com</t>
  </si>
  <si>
    <t xml:space="preserve">137 Bohemia St. </t>
  </si>
  <si>
    <t>Tona</t>
  </si>
  <si>
    <t>Velasquez</t>
  </si>
  <si>
    <t>tona.velasquez@msn.com</t>
  </si>
  <si>
    <t xml:space="preserve">9166 Trout St. </t>
  </si>
  <si>
    <t>Rozanne</t>
  </si>
  <si>
    <t>rozanne.reyes@aol.com</t>
  </si>
  <si>
    <t xml:space="preserve">11 W. Surrey Drive </t>
  </si>
  <si>
    <t>Lekisha</t>
  </si>
  <si>
    <t>lekisha.pope@msn.com</t>
  </si>
  <si>
    <t xml:space="preserve">390 Livingston Avenue </t>
  </si>
  <si>
    <t>Jama</t>
  </si>
  <si>
    <t>jama.rodriquez@msn.com</t>
  </si>
  <si>
    <t xml:space="preserve">681 Smith Dr. </t>
  </si>
  <si>
    <t>Eloisa</t>
  </si>
  <si>
    <t>Tucker</t>
  </si>
  <si>
    <t>eloisa.tucker@hotmail.com</t>
  </si>
  <si>
    <t xml:space="preserve">7268 Leatherwood Ave. </t>
  </si>
  <si>
    <t>Arie</t>
  </si>
  <si>
    <t>arie.hunter@msn.com</t>
  </si>
  <si>
    <t xml:space="preserve">66 Old State Rd. </t>
  </si>
  <si>
    <t>Sanora</t>
  </si>
  <si>
    <t>(424) 464-7290</t>
  </si>
  <si>
    <t>sanora.webster@msn.com</t>
  </si>
  <si>
    <t xml:space="preserve">74 Beach St. </t>
  </si>
  <si>
    <t>Kate</t>
  </si>
  <si>
    <t>kate.barber@hotmail.com</t>
  </si>
  <si>
    <t xml:space="preserve">46 W. Oak Valley Ave. </t>
  </si>
  <si>
    <t>yvone.guerrero@aol.com</t>
  </si>
  <si>
    <t xml:space="preserve">8548 Jackson Ave. </t>
  </si>
  <si>
    <t>Kami</t>
  </si>
  <si>
    <t>kami.rios@yahoo.com</t>
  </si>
  <si>
    <t xml:space="preserve">8400 8th Dr. </t>
  </si>
  <si>
    <t>Rush</t>
  </si>
  <si>
    <t>annett.rush@hotmail.com</t>
  </si>
  <si>
    <t xml:space="preserve">758 Fordham Lane </t>
  </si>
  <si>
    <t>Carman</t>
  </si>
  <si>
    <t>Hardy</t>
  </si>
  <si>
    <t>carman.hardy@yahoo.com</t>
  </si>
  <si>
    <t xml:space="preserve">800 Whitemarsh St. </t>
  </si>
  <si>
    <t>dorothea.miranda@aol.com</t>
  </si>
  <si>
    <t xml:space="preserve">7882 Parker St. </t>
  </si>
  <si>
    <t>agatha.daniels@yahoo.com</t>
  </si>
  <si>
    <t xml:space="preserve">125 Canal St. </t>
  </si>
  <si>
    <t>Alexandria</t>
  </si>
  <si>
    <t>alexandria.zamora@yahoo.com</t>
  </si>
  <si>
    <t xml:space="preserve">95 Cherry Circle </t>
  </si>
  <si>
    <t>thad.gilliam@hotmail.com</t>
  </si>
  <si>
    <t xml:space="preserve">8844 Gonzales Court </t>
  </si>
  <si>
    <t>Inger</t>
  </si>
  <si>
    <t>Jennings</t>
  </si>
  <si>
    <t>inger.jennings@yahoo.com</t>
  </si>
  <si>
    <t xml:space="preserve">38 NW. Shore Lane </t>
  </si>
  <si>
    <t>(559) 628-2239</t>
  </si>
  <si>
    <t>karren.lamb@aol.com</t>
  </si>
  <si>
    <t xml:space="preserve">35 N. Chapel St. </t>
  </si>
  <si>
    <t>noble.glover@gmail.com</t>
  </si>
  <si>
    <t xml:space="preserve">728 W. Rocky River Street </t>
  </si>
  <si>
    <t>octavia.donaldson@hotmail.com</t>
  </si>
  <si>
    <t xml:space="preserve">8095 Wayne Ave. </t>
  </si>
  <si>
    <t>Latashia</t>
  </si>
  <si>
    <t>latashia.travis@yahoo.com</t>
  </si>
  <si>
    <t xml:space="preserve">7877 King Rd. </t>
  </si>
  <si>
    <t>Destiny</t>
  </si>
  <si>
    <t>destiny.goodman@msn.com</t>
  </si>
  <si>
    <t xml:space="preserve">29 Smoky Hollow St. </t>
  </si>
  <si>
    <t>Westbury</t>
  </si>
  <si>
    <t>Christiana</t>
  </si>
  <si>
    <t>christiana.gross@yahoo.com</t>
  </si>
  <si>
    <t xml:space="preserve">645 North Richardson Road </t>
  </si>
  <si>
    <t>Nestor</t>
  </si>
  <si>
    <t>Haynes</t>
  </si>
  <si>
    <t>(281) 969-4579</t>
  </si>
  <si>
    <t>nestor.haynes@msn.com</t>
  </si>
  <si>
    <t xml:space="preserve">27 Nut Swamp Street </t>
  </si>
  <si>
    <t>Grisel</t>
  </si>
  <si>
    <t>grisel.maynard@msn.com</t>
  </si>
  <si>
    <t xml:space="preserve">353 North Arch St. </t>
  </si>
  <si>
    <t>shenna.espinoza@gmail.com</t>
  </si>
  <si>
    <t xml:space="preserve">202 North George Street </t>
  </si>
  <si>
    <t>trena.rogers@aol.com</t>
  </si>
  <si>
    <t xml:space="preserve">502 Sherwood St. </t>
  </si>
  <si>
    <t>Lucile</t>
  </si>
  <si>
    <t>lucile.manning@yahoo.com</t>
  </si>
  <si>
    <t xml:space="preserve">511 Livingston Lane </t>
  </si>
  <si>
    <t>Veronique</t>
  </si>
  <si>
    <t>Fulton</t>
  </si>
  <si>
    <t>veronique.fulton@yahoo.com</t>
  </si>
  <si>
    <t xml:space="preserve">81 Hilldale Ave. </t>
  </si>
  <si>
    <t>Starr</t>
  </si>
  <si>
    <t>starr.schneider@aol.com</t>
  </si>
  <si>
    <t xml:space="preserve">77 Mulberry Street </t>
  </si>
  <si>
    <t>Rona</t>
  </si>
  <si>
    <t>(408) 611-3553</t>
  </si>
  <si>
    <t>rona.rojas@gmail.com</t>
  </si>
  <si>
    <t xml:space="preserve">815 Riverview St. </t>
  </si>
  <si>
    <t>Pandora</t>
  </si>
  <si>
    <t>pandora.estes@aol.com</t>
  </si>
  <si>
    <t xml:space="preserve">228 Shadow Brook Drive </t>
  </si>
  <si>
    <t>Renna</t>
  </si>
  <si>
    <t>renna.williams@hotmail.com</t>
  </si>
  <si>
    <t xml:space="preserve">7398 SW. Glen Ridge Road </t>
  </si>
  <si>
    <t>Lanora</t>
  </si>
  <si>
    <t>lanora.robbins@hotmail.com</t>
  </si>
  <si>
    <t xml:space="preserve">31 W. Maiden Lane </t>
  </si>
  <si>
    <t>Juliane</t>
  </si>
  <si>
    <t>juliane.dillard@aol.com</t>
  </si>
  <si>
    <t xml:space="preserve">63 Birchwood Court </t>
  </si>
  <si>
    <t>Carlena</t>
  </si>
  <si>
    <t>carlena.salinas@gmail.com</t>
  </si>
  <si>
    <t xml:space="preserve">1 Wagon Street </t>
  </si>
  <si>
    <t>Kimberley</t>
  </si>
  <si>
    <t>kimberley.reynolds@aol.com</t>
  </si>
  <si>
    <t xml:space="preserve">8475 Homewood Street </t>
  </si>
  <si>
    <t>Johana</t>
  </si>
  <si>
    <t>(507) 407-9384</t>
  </si>
  <si>
    <t>johana.jacobson@gmail.com</t>
  </si>
  <si>
    <t xml:space="preserve">29 San Juan St. </t>
  </si>
  <si>
    <t>Enoch</t>
  </si>
  <si>
    <t>(559) 329-7615</t>
  </si>
  <si>
    <t>enoch.rosario@hotmail.com</t>
  </si>
  <si>
    <t xml:space="preserve">186 Arlington St. </t>
  </si>
  <si>
    <t>dorine.thornton@gmail.com</t>
  </si>
  <si>
    <t xml:space="preserve">8730 N. Atlantic Street </t>
  </si>
  <si>
    <t>eliz.lynch@hotmail.com</t>
  </si>
  <si>
    <t xml:space="preserve">717 West Deerfield Ave. </t>
  </si>
  <si>
    <t>Mercedez</t>
  </si>
  <si>
    <t>Brooks</t>
  </si>
  <si>
    <t>mercedez.brooks@hotmail.com</t>
  </si>
  <si>
    <t xml:space="preserve">7483 Ann St. </t>
  </si>
  <si>
    <t>Wynona</t>
  </si>
  <si>
    <t>wynona.douglas@msn.com</t>
  </si>
  <si>
    <t xml:space="preserve">6 Country Ave. </t>
  </si>
  <si>
    <t>Desire</t>
  </si>
  <si>
    <t>(661) 800-8091</t>
  </si>
  <si>
    <t>desire.mcgowan@msn.com</t>
  </si>
  <si>
    <t xml:space="preserve">942 North Ohio Road </t>
  </si>
  <si>
    <t>Sweeney</t>
  </si>
  <si>
    <t>elmo.sweeney@yahoo.com</t>
  </si>
  <si>
    <t xml:space="preserve">43 Arch Ave. </t>
  </si>
  <si>
    <t>Kenton</t>
  </si>
  <si>
    <t>kenton.hughes@gmail.com</t>
  </si>
  <si>
    <t xml:space="preserve">632 Sleepy Hollow Drive </t>
  </si>
  <si>
    <t>(619) 685-5786</t>
  </si>
  <si>
    <t>cesar.wilkins@hotmail.com</t>
  </si>
  <si>
    <t xml:space="preserve">7 Inverness St. </t>
  </si>
  <si>
    <t>Phylicia</t>
  </si>
  <si>
    <t>Stout</t>
  </si>
  <si>
    <t>phylicia.stout@aol.com</t>
  </si>
  <si>
    <t xml:space="preserve">8842 Littleton Lane </t>
  </si>
  <si>
    <t>nanette.harris@hotmail.com</t>
  </si>
  <si>
    <t xml:space="preserve">26 Pin Oak Lane </t>
  </si>
  <si>
    <t>Ulrike</t>
  </si>
  <si>
    <t>ulrike.chan@aol.com</t>
  </si>
  <si>
    <t xml:space="preserve">7949 Lancaster St. </t>
  </si>
  <si>
    <t>genoveva.lloyd@aol.com</t>
  </si>
  <si>
    <t xml:space="preserve">706 Devonshire St. </t>
  </si>
  <si>
    <t>Sheryl</t>
  </si>
  <si>
    <t>sheryl.chase@gmail.com</t>
  </si>
  <si>
    <t xml:space="preserve">388 Cedar Avenue </t>
  </si>
  <si>
    <t>Trista</t>
  </si>
  <si>
    <t>Lambert</t>
  </si>
  <si>
    <t>trista.lambert@gmail.com</t>
  </si>
  <si>
    <t xml:space="preserve">79 River Street </t>
  </si>
  <si>
    <t>Vivian</t>
  </si>
  <si>
    <t>vivian.deleon@msn.com</t>
  </si>
  <si>
    <t xml:space="preserve">9925 Hamilton Street </t>
  </si>
  <si>
    <t>genny.fields@msn.com</t>
  </si>
  <si>
    <t xml:space="preserve">9145 San Juan Dr. </t>
  </si>
  <si>
    <t>Eliseo</t>
  </si>
  <si>
    <t>Knight</t>
  </si>
  <si>
    <t>eliseo.knight@msn.com</t>
  </si>
  <si>
    <t xml:space="preserve">693 Holly Street </t>
  </si>
  <si>
    <t>Delma</t>
  </si>
  <si>
    <t>(657) 454-8493</t>
  </si>
  <si>
    <t>delma.bailey@gmail.com</t>
  </si>
  <si>
    <t xml:space="preserve">9883 West King Lane </t>
  </si>
  <si>
    <t>Dewayne</t>
  </si>
  <si>
    <t>dewayne.herring@aol.com</t>
  </si>
  <si>
    <t xml:space="preserve">9015 Willow Lane </t>
  </si>
  <si>
    <t>Nevada</t>
  </si>
  <si>
    <t>nevada.hood@aol.com</t>
  </si>
  <si>
    <t xml:space="preserve">515 Bank Rd. </t>
  </si>
  <si>
    <t>Angelika</t>
  </si>
  <si>
    <t>angelika.perry@msn.com</t>
  </si>
  <si>
    <t xml:space="preserve">7684 South Branch Drive </t>
  </si>
  <si>
    <t>Shayla</t>
  </si>
  <si>
    <t>shayla.hart@msn.com</t>
  </si>
  <si>
    <t xml:space="preserve">9092 Aspen St. </t>
  </si>
  <si>
    <t>Willetta</t>
  </si>
  <si>
    <t>Murphy</t>
  </si>
  <si>
    <t>willetta.murphy@msn.com</t>
  </si>
  <si>
    <t xml:space="preserve">436 Devonshire Street </t>
  </si>
  <si>
    <t>Sandee</t>
  </si>
  <si>
    <t>sandee.alvarado@aol.com</t>
  </si>
  <si>
    <t xml:space="preserve">69 Bowman Street </t>
  </si>
  <si>
    <t>(248) 234-5902</t>
  </si>
  <si>
    <t>mila.moody@gmail.com</t>
  </si>
  <si>
    <t xml:space="preserve">675 Williams St. </t>
  </si>
  <si>
    <t>Loyce</t>
  </si>
  <si>
    <t>Conway</t>
  </si>
  <si>
    <t>loyce.conway@aol.com</t>
  </si>
  <si>
    <t xml:space="preserve">729 State Lane </t>
  </si>
  <si>
    <t>Thanh</t>
  </si>
  <si>
    <t>thanh.figueroa@yahoo.com</t>
  </si>
  <si>
    <t xml:space="preserve">6 Roberts Drive </t>
  </si>
  <si>
    <t>Farrah</t>
  </si>
  <si>
    <t>farrah.orr@msn.com</t>
  </si>
  <si>
    <t xml:space="preserve">8711 W. Ashley St. </t>
  </si>
  <si>
    <t>Hugh</t>
  </si>
  <si>
    <t>hugh.craft@msn.com</t>
  </si>
  <si>
    <t xml:space="preserve">8716 Homewood Court </t>
  </si>
  <si>
    <t>Eleanor</t>
  </si>
  <si>
    <t>eleanor.mendez@yahoo.com</t>
  </si>
  <si>
    <t xml:space="preserve">4 West St. </t>
  </si>
  <si>
    <t>(716) 294-7174</t>
  </si>
  <si>
    <t>lamar.bush@msn.com</t>
  </si>
  <si>
    <t xml:space="preserve">76 Lilac Drive </t>
  </si>
  <si>
    <t>Lurlene</t>
  </si>
  <si>
    <t>(914) 367-7691</t>
  </si>
  <si>
    <t>lurlene.finch@msn.com</t>
  </si>
  <si>
    <t xml:space="preserve">849 Magnolia St. </t>
  </si>
  <si>
    <t>Shanda</t>
  </si>
  <si>
    <t>shanda.stevenson@yahoo.com</t>
  </si>
  <si>
    <t xml:space="preserve">9547 N. Courtland St. </t>
  </si>
  <si>
    <t>Adrien</t>
  </si>
  <si>
    <t>adrien.hunter@yahoo.com</t>
  </si>
  <si>
    <t xml:space="preserve">720 Thompson Lane </t>
  </si>
  <si>
    <t>ophelia.decker@yahoo.com</t>
  </si>
  <si>
    <t xml:space="preserve">69 Rockwell Court </t>
  </si>
  <si>
    <t>Sonja</t>
  </si>
  <si>
    <t>Walls</t>
  </si>
  <si>
    <t>sonja.walls@aol.com</t>
  </si>
  <si>
    <t xml:space="preserve">30 Marshall Dr. </t>
  </si>
  <si>
    <t>Harold</t>
  </si>
  <si>
    <t>harold.o'connor@gmail.com</t>
  </si>
  <si>
    <t xml:space="preserve">9530 Summerhouse Street </t>
  </si>
  <si>
    <t>miranda.kennedy@gmail.com</t>
  </si>
  <si>
    <t xml:space="preserve">726 East High St. </t>
  </si>
  <si>
    <t>Jasper</t>
  </si>
  <si>
    <t>jasper.castro@aol.com</t>
  </si>
  <si>
    <t xml:space="preserve">977 SE. Railroad Road </t>
  </si>
  <si>
    <t>Penni</t>
  </si>
  <si>
    <t>(657) 611-2991</t>
  </si>
  <si>
    <t>penni.best@msn.com</t>
  </si>
  <si>
    <t xml:space="preserve">875 Second Drive </t>
  </si>
  <si>
    <t>lurlene.cotton@yahoo.com</t>
  </si>
  <si>
    <t xml:space="preserve">8218 George St. </t>
  </si>
  <si>
    <t>Kelsey</t>
  </si>
  <si>
    <t>kelsey.noble@hotmail.com</t>
  </si>
  <si>
    <t xml:space="preserve">36 Pearl Court </t>
  </si>
  <si>
    <t>Edris</t>
  </si>
  <si>
    <t>edris.barrett@hotmail.com</t>
  </si>
  <si>
    <t xml:space="preserve">36 Pulaski Drive </t>
  </si>
  <si>
    <t>Tempie</t>
  </si>
  <si>
    <t>tempie.jacobson@hotmail.com</t>
  </si>
  <si>
    <t xml:space="preserve">136 Old Fairview St. </t>
  </si>
  <si>
    <t>Dollie</t>
  </si>
  <si>
    <t>Cervantes</t>
  </si>
  <si>
    <t>(682) 362-7457</t>
  </si>
  <si>
    <t>dollie.cervantes@aol.com</t>
  </si>
  <si>
    <t xml:space="preserve">8828 Applegate Drive </t>
  </si>
  <si>
    <t>Lashunda</t>
  </si>
  <si>
    <t>lashunda.cole@hotmail.com</t>
  </si>
  <si>
    <t xml:space="preserve">783 Baker St. </t>
  </si>
  <si>
    <t>justina.jenkins@msn.com</t>
  </si>
  <si>
    <t xml:space="preserve">345 SE. Green Lane </t>
  </si>
  <si>
    <t>Londa</t>
  </si>
  <si>
    <t>(361) 206-5550</t>
  </si>
  <si>
    <t>londa.gould@aol.com</t>
  </si>
  <si>
    <t xml:space="preserve">9169 Beech Lane </t>
  </si>
  <si>
    <t>Mikel</t>
  </si>
  <si>
    <t>mikel.wilkerson@msn.com</t>
  </si>
  <si>
    <t xml:space="preserve">9233 Clinton St. </t>
  </si>
  <si>
    <t>carola.johns@msn.com</t>
  </si>
  <si>
    <t xml:space="preserve">7077 Fordham Rd. </t>
  </si>
  <si>
    <t>Justice</t>
  </si>
  <si>
    <t>lorrie.justice@gmail.com</t>
  </si>
  <si>
    <t xml:space="preserve">8396 Brook Drive </t>
  </si>
  <si>
    <t>Tayna</t>
  </si>
  <si>
    <t>(661) 858-1224</t>
  </si>
  <si>
    <t>tayna.wade@hotmail.com</t>
  </si>
  <si>
    <t xml:space="preserve">65 Smith Store Dr. </t>
  </si>
  <si>
    <t>mark.benton@aol.com</t>
  </si>
  <si>
    <t xml:space="preserve">83 Eagle St. </t>
  </si>
  <si>
    <t>Zona</t>
  </si>
  <si>
    <t>zona.cameron@aol.com</t>
  </si>
  <si>
    <t xml:space="preserve">42 Bridle Court </t>
  </si>
  <si>
    <t>Nicola</t>
  </si>
  <si>
    <t>nicola.knight@aol.com</t>
  </si>
  <si>
    <t xml:space="preserve">25 SE. Miles Lane </t>
  </si>
  <si>
    <t>Elana</t>
  </si>
  <si>
    <t>elana.miles@yahoo.com</t>
  </si>
  <si>
    <t xml:space="preserve">7077 Euclid Ave. </t>
  </si>
  <si>
    <t>Merrie</t>
  </si>
  <si>
    <t>merrie.fowler@aol.com</t>
  </si>
  <si>
    <t xml:space="preserve">532 Leatherwood Ave. </t>
  </si>
  <si>
    <t>Macie</t>
  </si>
  <si>
    <t>macie.ayers@msn.com</t>
  </si>
  <si>
    <t xml:space="preserve">8730 Longfellow St. </t>
  </si>
  <si>
    <t>Son</t>
  </si>
  <si>
    <t>son.warner@hotmail.com</t>
  </si>
  <si>
    <t xml:space="preserve">20 W. Rosewood Ave. </t>
  </si>
  <si>
    <t>(408) 807-6157</t>
  </si>
  <si>
    <t>lee.dunn@aol.com</t>
  </si>
  <si>
    <t xml:space="preserve">8626 Grand Ave. </t>
  </si>
  <si>
    <t>Florrie</t>
  </si>
  <si>
    <t>florrie.little@yahoo.com</t>
  </si>
  <si>
    <t xml:space="preserve">8330 Marsh St. </t>
  </si>
  <si>
    <t>Ernest</t>
  </si>
  <si>
    <t>ernest.rollins@yahoo.com</t>
  </si>
  <si>
    <t xml:space="preserve">4 West Ridge Dr. </t>
  </si>
  <si>
    <t>Morrison</t>
  </si>
  <si>
    <t>jamaal.morrison@msn.com</t>
  </si>
  <si>
    <t xml:space="preserve">796 SE. Nut Swamp St. </t>
  </si>
  <si>
    <t>Cassie</t>
  </si>
  <si>
    <t>cassie.cline@gmail.com</t>
  </si>
  <si>
    <t xml:space="preserve">947 Lafayette Drive </t>
  </si>
  <si>
    <t>lezlie.lamb@gmail.com</t>
  </si>
  <si>
    <t xml:space="preserve">401 Brandywine Street </t>
  </si>
  <si>
    <t>ivette.estes@gmail.com</t>
  </si>
  <si>
    <t xml:space="preserve">88 N. Canterbury Ave. </t>
  </si>
  <si>
    <t>Ester</t>
  </si>
  <si>
    <t>ester.acevedo@gmail.com</t>
  </si>
  <si>
    <t xml:space="preserve">671 Miles Court </t>
  </si>
  <si>
    <t>Order_ID</t>
  </si>
  <si>
    <t>Customer_ID</t>
  </si>
  <si>
    <t>Order_Status</t>
  </si>
  <si>
    <t>Order_Date</t>
  </si>
  <si>
    <t>Required_Date</t>
  </si>
  <si>
    <t>Shipped_Date</t>
  </si>
  <si>
    <t>Store_ID</t>
  </si>
  <si>
    <t>Staff_ID</t>
  </si>
  <si>
    <t>Deliverd</t>
  </si>
  <si>
    <t>Rejected</t>
  </si>
  <si>
    <t>shipped</t>
  </si>
  <si>
    <t>Pending</t>
  </si>
  <si>
    <t>Active</t>
  </si>
  <si>
    <t>Manager_ID</t>
  </si>
  <si>
    <t>Fabiola</t>
  </si>
  <si>
    <t>fabiola.jackson@bikes.shop</t>
  </si>
  <si>
    <t>(831) 555-5554</t>
  </si>
  <si>
    <t>NULL</t>
  </si>
  <si>
    <t>Mireya</t>
  </si>
  <si>
    <t>mireya.copeland@bikes.shop</t>
  </si>
  <si>
    <t>(831) 555-5555</t>
  </si>
  <si>
    <t>1</t>
  </si>
  <si>
    <t>Genna</t>
  </si>
  <si>
    <t>Serrano</t>
  </si>
  <si>
    <t>genna.serrano@bikes.shop</t>
  </si>
  <si>
    <t>(831) 555-5556</t>
  </si>
  <si>
    <t>2</t>
  </si>
  <si>
    <t>Virgie</t>
  </si>
  <si>
    <t>virgie.wiggins@bikes.shop</t>
  </si>
  <si>
    <t>(831) 555-5557</t>
  </si>
  <si>
    <t>Jannette</t>
  </si>
  <si>
    <t>David</t>
  </si>
  <si>
    <t>jannette.david@bikes.shop</t>
  </si>
  <si>
    <t>(516) 379-4444</t>
  </si>
  <si>
    <t>Marcelene</t>
  </si>
  <si>
    <t>Boyer</t>
  </si>
  <si>
    <t>marcelene.boyer@bikes.shop</t>
  </si>
  <si>
    <t>(516) 379-4445</t>
  </si>
  <si>
    <t>5</t>
  </si>
  <si>
    <t>Venita</t>
  </si>
  <si>
    <t>venita.daniel@bikes.shop</t>
  </si>
  <si>
    <t>(516) 379-4446</t>
  </si>
  <si>
    <t>Kali</t>
  </si>
  <si>
    <t>kali.vargas@bikes.shop</t>
  </si>
  <si>
    <t>(972) 530-5555</t>
  </si>
  <si>
    <t>Layla</t>
  </si>
  <si>
    <t>layla.terrell@bikes.shop</t>
  </si>
  <si>
    <t>(972) 530-5556</t>
  </si>
  <si>
    <t>7</t>
  </si>
  <si>
    <t>Bernardine</t>
  </si>
  <si>
    <t>bernardine.houston@bikes.shop</t>
  </si>
  <si>
    <t>(972) 530-5557</t>
  </si>
  <si>
    <t>Brand_ID</t>
  </si>
  <si>
    <t>Brand_Name</t>
  </si>
  <si>
    <t>Electra</t>
  </si>
  <si>
    <t>Haro</t>
  </si>
  <si>
    <t>Heller</t>
  </si>
  <si>
    <t>Pure Cycles</t>
  </si>
  <si>
    <t>Ritchey</t>
  </si>
  <si>
    <t>Strider</t>
  </si>
  <si>
    <t>Sun Bicycles</t>
  </si>
  <si>
    <t>Surly</t>
  </si>
  <si>
    <t>Trek</t>
  </si>
  <si>
    <t>Product_ID</t>
  </si>
  <si>
    <t>Product_Name</t>
  </si>
  <si>
    <t>Category_ID</t>
  </si>
  <si>
    <t>Model_Year</t>
  </si>
  <si>
    <t>List_Price</t>
  </si>
  <si>
    <t>Trek 820 - 2016</t>
  </si>
  <si>
    <t>Ritchey Timberwolf Frameset - 2016</t>
  </si>
  <si>
    <t>Surly Wednesday Frameset - 2016</t>
  </si>
  <si>
    <t>Trek Fuel EX 8 29 - 2016</t>
  </si>
  <si>
    <t>Heller Shagamaw Frame - 2016</t>
  </si>
  <si>
    <t>Surly Ice Cream Truck Frameset - 2016</t>
  </si>
  <si>
    <t>Trek Slash 8 27.5 - 2016</t>
  </si>
  <si>
    <t>Trek Remedy 29 Carbon Frameset - 2016</t>
  </si>
  <si>
    <t>Trek Conduit+ - 2016</t>
  </si>
  <si>
    <t>Surly Straggler - 2016</t>
  </si>
  <si>
    <t>Surly Straggler 650b - 2016</t>
  </si>
  <si>
    <t>Electra Townie Original 21D - 2016</t>
  </si>
  <si>
    <t>Electra Cruiser 1 (24-Inch) - 2016</t>
  </si>
  <si>
    <t>Electra Girl's Hawaii 1 (16-inch) - 2015/2016</t>
  </si>
  <si>
    <t>Electra Moto 1 - 2016</t>
  </si>
  <si>
    <t>Electra Townie Original 7D EQ - 2016</t>
  </si>
  <si>
    <t>Pure Cycles Vine 8-Speed - 2016</t>
  </si>
  <si>
    <t>Pure Cycles Western 3-Speed - Women's - 2015/2016</t>
  </si>
  <si>
    <t>Pure Cycles William 3-Speed - 2016</t>
  </si>
  <si>
    <t>Electra Townie Original 7D EQ - Women's - 2016</t>
  </si>
  <si>
    <t>Electra Girl's Hawaii 1 (20-inch) - 2015/2016</t>
  </si>
  <si>
    <t>Electra Townie Original 7D - 2015/2016</t>
  </si>
  <si>
    <t>Surly Big Dummy Frameset - 2017</t>
  </si>
  <si>
    <t>Surly Karate Monkey 27.5+ Frameset - 2017</t>
  </si>
  <si>
    <t>Trek X-Caliber 8 - 2017</t>
  </si>
  <si>
    <t>Surly Ice Cream Truck Frameset - 2017</t>
  </si>
  <si>
    <t>Surly Wednesday - 2017</t>
  </si>
  <si>
    <t>Trek Farley Alloy Frameset - 2017</t>
  </si>
  <si>
    <t>Surly Wednesday Frameset - 2017</t>
  </si>
  <si>
    <t>Trek Session DH 27.5 Carbon Frameset - 2017</t>
  </si>
  <si>
    <t>Sun Bicycles Spider 3i - 2017</t>
  </si>
  <si>
    <t>Surly Troll Frameset - 2017</t>
  </si>
  <si>
    <t>Haro Flightline One ST - 2017</t>
  </si>
  <si>
    <t>Haro Flightline Two 26 Plus - 2017</t>
  </si>
  <si>
    <t>Trek Stache 5 - 2017</t>
  </si>
  <si>
    <t>Trek Fuel EX 9.8 29 - 2017</t>
  </si>
  <si>
    <t>Haro Shift R3 - 2017</t>
  </si>
  <si>
    <t>Trek Fuel EX 5 27.5 Plus - 2017</t>
  </si>
  <si>
    <t>Trek Fuel EX 9.8 27.5 Plus - 2017</t>
  </si>
  <si>
    <t>Haro SR 1.1 - 2017</t>
  </si>
  <si>
    <t>Haro SR 1.2 - 2017</t>
  </si>
  <si>
    <t>Haro SR 1.3 - 2017</t>
  </si>
  <si>
    <t>Trek Remedy 9.8 - 2017</t>
  </si>
  <si>
    <t>Trek Emonda S 4 - 2017</t>
  </si>
  <si>
    <t>Trek Domane SL 6 - 2017</t>
  </si>
  <si>
    <t>Trek Silque SLR 7 Women's - 2017</t>
  </si>
  <si>
    <t>Trek Silque SLR 8 Women's - 2017</t>
  </si>
  <si>
    <t>Surly Steamroller - 2017</t>
  </si>
  <si>
    <t>Surly Ogre Frameset - 2017</t>
  </si>
  <si>
    <t>Trek Domane SL Disc Frameset - 2017</t>
  </si>
  <si>
    <t>Trek Domane S 6 - 2017</t>
  </si>
  <si>
    <t>Trek Domane SLR 6 Disc - 2017</t>
  </si>
  <si>
    <t>Trek Emonda S 5 - 2017</t>
  </si>
  <si>
    <t>Trek Madone 9.2 - 2017</t>
  </si>
  <si>
    <t>Trek Domane S 5 Disc - 2017</t>
  </si>
  <si>
    <t>Sun Bicycles ElectroLite - 2017</t>
  </si>
  <si>
    <t>Trek Powerfly 8 FS Plus - 2017</t>
  </si>
  <si>
    <t>Trek Boone 7 - 2017</t>
  </si>
  <si>
    <t>Trek Boone Race Shop Limited - 2017</t>
  </si>
  <si>
    <t>Electra Townie Original 7D - 2017</t>
  </si>
  <si>
    <t>Sun Bicycles Lil Bolt Type-R - 2017</t>
  </si>
  <si>
    <t>Sun Bicycles Revolutions 24 - 2017</t>
  </si>
  <si>
    <t>Sun Bicycles Revolutions 24 - Girl's - 2017</t>
  </si>
  <si>
    <t>Sun Bicycles Cruz 3 - 2017</t>
  </si>
  <si>
    <t>Sun Bicycles Cruz 7 - 2017</t>
  </si>
  <si>
    <t>Electra Amsterdam Original 3i - 2015/2017</t>
  </si>
  <si>
    <t>Sun Bicycles Atlas X-Type - 2017</t>
  </si>
  <si>
    <t>Sun Bicycles Biscayne Tandem 7 - 2017</t>
  </si>
  <si>
    <t>Sun Bicycles Brickell Tandem 7 - 2017</t>
  </si>
  <si>
    <t>Electra Cruiser Lux 1 - 2017</t>
  </si>
  <si>
    <t>Electra Cruiser Lux Fat Tire 1 Ladies - 2017</t>
  </si>
  <si>
    <t>Electra Girl's Hawaii 1 16" - 2017</t>
  </si>
  <si>
    <t>Electra Glam Punk 3i Ladies' - 2017</t>
  </si>
  <si>
    <t>Sun Bicycles Biscayne Tandem CB - 2017</t>
  </si>
  <si>
    <t>Sun Bicycles Boardwalk (24-inch Wheels) - 2017</t>
  </si>
  <si>
    <t>Sun Bicycles Brickell Tandem CB - 2017</t>
  </si>
  <si>
    <t>Electra Amsterdam Fashion 7i Ladies' - 2017</t>
  </si>
  <si>
    <t>Electra Amsterdam Original 3i Ladies' - 2017</t>
  </si>
  <si>
    <t>Trek Boy's Kickster - 2015/2017</t>
  </si>
  <si>
    <t>Sun Bicycles Lil Kitt'n - 2017</t>
  </si>
  <si>
    <t>Haro Downtown 16 - 2017</t>
  </si>
  <si>
    <t>Trek Girl's Kickster - 2017</t>
  </si>
  <si>
    <t>Trek Precaliber 12 Boys - 2017</t>
  </si>
  <si>
    <t>Trek Precaliber 12 Girls - 2017</t>
  </si>
  <si>
    <t>Trek Precaliber 16 Boys - 2017</t>
  </si>
  <si>
    <t>Trek Precaliber 16 Girls - 2017</t>
  </si>
  <si>
    <t>Trek Precaliber 24 (21-Speed) - Girls - 2017</t>
  </si>
  <si>
    <t>Haro Shredder 20 - 2017</t>
  </si>
  <si>
    <t>Haro Shredder 20 Girls - 2017</t>
  </si>
  <si>
    <t>Haro Shredder Pro 20 - 2017</t>
  </si>
  <si>
    <t>Electra Moto 3i (20-inch) - Boy's - 2017</t>
  </si>
  <si>
    <t>Electra Savannah 3i (20-inch) - Girl's - 2017</t>
  </si>
  <si>
    <t>Electra Straight 8 3i (20-inch) - Boy's - 2017</t>
  </si>
  <si>
    <t>Electra Sugar Skulls 1 (20-inch) - Girl's - 2017</t>
  </si>
  <si>
    <t>Electra Townie 3i EQ (20-inch) - Boys' - 2017</t>
  </si>
  <si>
    <t>Electra Townie 7D (20-inch) - Boys' - 2017</t>
  </si>
  <si>
    <t>Sun Bicycles Streamway 3 - 2017</t>
  </si>
  <si>
    <t>Sun Bicycles Streamway - 2017</t>
  </si>
  <si>
    <t>Sun Bicycles Streamway 7 - 2017</t>
  </si>
  <si>
    <t>Sun Bicycles Cruz 3 - Women's - 2017</t>
  </si>
  <si>
    <t>Sun Bicycles Cruz 7 - Women's - 2017</t>
  </si>
  <si>
    <t>Sun Bicycles Drifter 7 - 2017</t>
  </si>
  <si>
    <t>Sun Bicycles Drifter 7 - Women's - 2017</t>
  </si>
  <si>
    <t>Trek 820 - 2018</t>
  </si>
  <si>
    <t>Trek Marlin 5 - 2018</t>
  </si>
  <si>
    <t>Trek Marlin 6 - 2018</t>
  </si>
  <si>
    <t>Trek Fuel EX 8 29 - 2018</t>
  </si>
  <si>
    <t>Trek Marlin 7 - 2017/2018</t>
  </si>
  <si>
    <t>Trek Ticket S Frame - 2018</t>
  </si>
  <si>
    <t>Trek X-Caliber 8 - 2018</t>
  </si>
  <si>
    <t>Trek Kids' Neko - 2018</t>
  </si>
  <si>
    <t>Trek Fuel EX 7 29 - 2018</t>
  </si>
  <si>
    <t>Surly Krampus Frameset - 2018</t>
  </si>
  <si>
    <t>Surly Troll Frameset - 2018</t>
  </si>
  <si>
    <t>Trek Farley Carbon Frameset - 2018</t>
  </si>
  <si>
    <t>Surly Krampus - 2018</t>
  </si>
  <si>
    <t>Trek Kids' Dual Sport - 2018</t>
  </si>
  <si>
    <t>Surly Big Fat Dummy Frameset - 2018</t>
  </si>
  <si>
    <t>Surly Pack Rat Frameset - 2018</t>
  </si>
  <si>
    <t>Surly ECR 27.5 - 2018</t>
  </si>
  <si>
    <t>Trek X-Caliber 7 - 2018</t>
  </si>
  <si>
    <t>Trek Stache Carbon Frameset - 2018</t>
  </si>
  <si>
    <t>Heller Bloodhound Trail - 2018</t>
  </si>
  <si>
    <t>Trek Procal AL Frameset - 2018</t>
  </si>
  <si>
    <t>Trek Procaliber Frameset - 2018</t>
  </si>
  <si>
    <t>Trek Remedy 27.5 C Frameset - 2018</t>
  </si>
  <si>
    <t>Trek X-Caliber Frameset - 2018</t>
  </si>
  <si>
    <t>Trek Procaliber 6 - 2018</t>
  </si>
  <si>
    <t>Heller Shagamaw GX1 - 2018</t>
  </si>
  <si>
    <t>Trek Fuel EX 5 Plus - 2018</t>
  </si>
  <si>
    <t>Trek Remedy 7 27.5 - 2018</t>
  </si>
  <si>
    <t>Trek Remedy 9.8 27.5 - 2018</t>
  </si>
  <si>
    <t>Trek Stache 5 - 2018</t>
  </si>
  <si>
    <t>Trek Fuel EX 8 29 XT - 2018</t>
  </si>
  <si>
    <t>Trek Domane ALR 3 - 2018</t>
  </si>
  <si>
    <t>Trek Domane ALR 4 Disc - 2018</t>
  </si>
  <si>
    <t>Trek Domane ALR 5 Disc - 2018</t>
  </si>
  <si>
    <t>Trek Domane SLR 6 - 2018</t>
  </si>
  <si>
    <t>Trek Domane ALR 5 Gravel - 2018</t>
  </si>
  <si>
    <t>Trek Domane SL 8 Disc - 2018</t>
  </si>
  <si>
    <t>Trek Domane SLR 8 Disc - 2018</t>
  </si>
  <si>
    <t>Trek Emonda SL 7 - 2018</t>
  </si>
  <si>
    <t>Trek Domane ALR 4 Disc Women's - 2018</t>
  </si>
  <si>
    <t>Trek Domane SL 5 Disc Women's - 2018</t>
  </si>
  <si>
    <t>Trek Domane SL 7 Women's - 2018</t>
  </si>
  <si>
    <t>Trek Domane SLR 6 Disc Women's - 2018</t>
  </si>
  <si>
    <t>Trek Domane SLR 9 Disc - 2018</t>
  </si>
  <si>
    <t>Trek Domane SL Frameset - 2018</t>
  </si>
  <si>
    <t>Trek Domane SL Frameset Women's - 2018</t>
  </si>
  <si>
    <t>Trek CrossRip 1 - 2018</t>
  </si>
  <si>
    <t>Trek Emonda ALR 6 - 2018</t>
  </si>
  <si>
    <t>Trek Emonda SLR 6 - 2018</t>
  </si>
  <si>
    <t>Surly ECR - 2018</t>
  </si>
  <si>
    <t>Trek Emonda SL 6 Disc - 2018</t>
  </si>
  <si>
    <t>Surly Pack Rat - 2018</t>
  </si>
  <si>
    <t>Surly Straggler 650b - 2018</t>
  </si>
  <si>
    <t>Trek 1120 - 2018</t>
  </si>
  <si>
    <t>Trek Domane AL 2 Women's - 2018</t>
  </si>
  <si>
    <t>Surly ECR Frameset - 2018</t>
  </si>
  <si>
    <t>Surly Straggler - 2018</t>
  </si>
  <si>
    <t>Trek Emonda SLR 8 - 2018</t>
  </si>
  <si>
    <t>Trek CrossRip 2 - 2018</t>
  </si>
  <si>
    <t>Trek Domane SL 6 - 2018</t>
  </si>
  <si>
    <t>Trek Domane ALR Disc Frameset - 2018</t>
  </si>
  <si>
    <t>Trek Domane ALR Frameset - 2018</t>
  </si>
  <si>
    <t>Trek Domane SLR Disc Frameset - 2018</t>
  </si>
  <si>
    <t>Trek Domane SLR Frameset - 2018</t>
  </si>
  <si>
    <t>Trek Madone 9 Frameset - 2018</t>
  </si>
  <si>
    <t>Trek Domane SLR 6 Disc - 2018</t>
  </si>
  <si>
    <t>Trek Domane AL 2 - 2018</t>
  </si>
  <si>
    <t>Trek Domane AL 3 - 2018</t>
  </si>
  <si>
    <t>Trek Domane AL 3 Women's - 2018</t>
  </si>
  <si>
    <t>Trek Domane SL 5 - 2018</t>
  </si>
  <si>
    <t>Trek Domane SL 5 Disc - 2018</t>
  </si>
  <si>
    <t>Trek Domane SL 5 Women's - 2018</t>
  </si>
  <si>
    <t>Trek Domane SL 6 Disc - 2018</t>
  </si>
  <si>
    <t>Trek Conduit+ - 2018</t>
  </si>
  <si>
    <t>Trek CrossRip+ - 2018</t>
  </si>
  <si>
    <t>Trek Neko+ - 2018</t>
  </si>
  <si>
    <t>Trek XM700+ Lowstep - 2018</t>
  </si>
  <si>
    <t>Trek Lift+ Lowstep - 2018</t>
  </si>
  <si>
    <t>Trek Dual Sport+ - 2018</t>
  </si>
  <si>
    <t>Electra Loft Go! 8i - 2018</t>
  </si>
  <si>
    <t>Electra Townie Go! 8i - 2017/2018</t>
  </si>
  <si>
    <t>Trek Lift+ - 2018</t>
  </si>
  <si>
    <t>Trek XM700+ - 2018</t>
  </si>
  <si>
    <t>Electra Townie Go! 8i Ladies' - 2018</t>
  </si>
  <si>
    <t>Trek Verve+ - 2018</t>
  </si>
  <si>
    <t>Trek Verve+ Lowstep - 2018</t>
  </si>
  <si>
    <t>Electra Townie Commute Go! - 2018</t>
  </si>
  <si>
    <t>Electra Townie Commute Go! Ladies' - 2018</t>
  </si>
  <si>
    <t>Trek Powerfly 5 - 2018</t>
  </si>
  <si>
    <t>Trek Powerfly 5 FS - 2018</t>
  </si>
  <si>
    <t>Trek Powerfly 5 Women's - 2018</t>
  </si>
  <si>
    <t>Trek Powerfly 7 FS - 2018</t>
  </si>
  <si>
    <t>Trek Super Commuter+ 7 - 2018</t>
  </si>
  <si>
    <t>Trek Super Commuter+ 8S - 2018</t>
  </si>
  <si>
    <t>Trek Boone 5 Disc - 2018</t>
  </si>
  <si>
    <t>Trek Boone 7 Disc - 2018</t>
  </si>
  <si>
    <t>Trek Crockett 5 Disc - 2018</t>
  </si>
  <si>
    <t>Trek Crockett 7 Disc - 2018</t>
  </si>
  <si>
    <t>Electra Townie Original 21D - 2018</t>
  </si>
  <si>
    <t>Electra Cruiser 1 - 2016/2017/2018</t>
  </si>
  <si>
    <t>Electra Tiger Shark 3i - 2018</t>
  </si>
  <si>
    <t>Electra Queen of Hearts 3i - 2018</t>
  </si>
  <si>
    <t>Electra Super Moto 8i - 2018</t>
  </si>
  <si>
    <t>Electra Straight 8 3i - 2018</t>
  </si>
  <si>
    <t>Electra Cruiser 7D - 2016/2017/2018</t>
  </si>
  <si>
    <t>Electra Moto 3i - 2018</t>
  </si>
  <si>
    <t>Electra Cruiser 1 Ladies' - 2018</t>
  </si>
  <si>
    <t>Electra Cruiser 7D Ladies' - 2016/2018</t>
  </si>
  <si>
    <t>Electra Cruiser 1 Tall - 2016/2018</t>
  </si>
  <si>
    <t>Electra Cruiser Lux 3i - 2018</t>
  </si>
  <si>
    <t>Electra Cruiser Lux 7D - 2018</t>
  </si>
  <si>
    <t>Electra Delivery 3i - 2016/2017/2018</t>
  </si>
  <si>
    <t>Electra Townie Original 21D EQ - 2017/2018</t>
  </si>
  <si>
    <t>Electra Cruiser 7D (24-Inch) Ladies' - 2016/2018</t>
  </si>
  <si>
    <t>Electra Cruiser 7D Tall - 2016/2018</t>
  </si>
  <si>
    <t>Electra Cruiser Lux 1 - 2016/2018</t>
  </si>
  <si>
    <t>Electra Cruiser Lux 1 Ladies' - 2018</t>
  </si>
  <si>
    <t>Electra Cruiser Lux 3i Ladies' - 2018</t>
  </si>
  <si>
    <t>Electra Cruiser Lux 7D Ladies' - 2018</t>
  </si>
  <si>
    <t>Electra Cruiser Lux Fat Tire 7D - 2018</t>
  </si>
  <si>
    <t>Electra Daydreamer 3i Ladies' - 2018</t>
  </si>
  <si>
    <t>Electra Koa 3i Ladies' - 2018</t>
  </si>
  <si>
    <t>Electra Morningstar 3i Ladies' - 2018</t>
  </si>
  <si>
    <t>Electra Relic 3i - 2018</t>
  </si>
  <si>
    <t>Electra Townie Balloon 8D EQ - 2016/2017/2018</t>
  </si>
  <si>
    <t>Electra Townie Balloon 8D EQ Ladies' - 2016/2017/2018</t>
  </si>
  <si>
    <t>Electra Townie Commute 27D Ladies - 2018</t>
  </si>
  <si>
    <t>Electra Townie Commute 8D - 2018</t>
  </si>
  <si>
    <t>Electra Townie Commute 8D Ladies' - 2018</t>
  </si>
  <si>
    <t>Electra Townie Original 21D EQ Ladies' - 2018</t>
  </si>
  <si>
    <t>Electra Townie Original 21D Ladies' - 2018</t>
  </si>
  <si>
    <t>Electra Townie Original 3i EQ - 2017/2018</t>
  </si>
  <si>
    <t>Electra Townie Original 3i EQ Ladies' - 2018</t>
  </si>
  <si>
    <t>Electra Townie Original 7D EQ - 2018</t>
  </si>
  <si>
    <t>Electra Townie Original 7D EQ Ladies' - 2017/2018</t>
  </si>
  <si>
    <t>Electra White Water 3i - 2018</t>
  </si>
  <si>
    <t>Electra Townie Balloon 3i EQ - 2017/2018</t>
  </si>
  <si>
    <t>Electra Townie Balloon 7i EQ Ladies' - 2017/2018</t>
  </si>
  <si>
    <t>Electra Townie Commute 27D - 2018</t>
  </si>
  <si>
    <t>Electra Amsterdam Fashion 3i Ladies' - 2017/2018</t>
  </si>
  <si>
    <t>Electra Amsterdam Royal 8i - 2017/2018</t>
  </si>
  <si>
    <t>Electra Amsterdam Royal 8i Ladies - 2018</t>
  </si>
  <si>
    <t>Electra Townie Balloon 3i EQ Ladies' - 2018</t>
  </si>
  <si>
    <t>Electra Townie Balloon 7i EQ - 2018</t>
  </si>
  <si>
    <t>Trek MT 201 - 2018</t>
  </si>
  <si>
    <t>Strider Classic 12 Balance Bike - 2018</t>
  </si>
  <si>
    <t>Strider Sport 16 - 2018</t>
  </si>
  <si>
    <t>Strider Strider 20 Sport - 2018</t>
  </si>
  <si>
    <t>Trek Superfly 20 - 2018</t>
  </si>
  <si>
    <t>Trek Precaliber 12 Girl's - 2018</t>
  </si>
  <si>
    <t>Trek Kickster - 2018</t>
  </si>
  <si>
    <t>Trek Precaliber 12 Boy's - 2018</t>
  </si>
  <si>
    <t>Trek Precaliber 16 Boy's - 2018</t>
  </si>
  <si>
    <t>Trek Precaliber 16 Girl's - 2018</t>
  </si>
  <si>
    <t>Trek Precaliber 20 6-speed Boy's - 2018</t>
  </si>
  <si>
    <t>Trek Precaliber 20 6-speed Girl's - 2018</t>
  </si>
  <si>
    <t>Trek Precaliber 20 Boy's - 2018</t>
  </si>
  <si>
    <t>Trek Precaliber 20 Girl's - 2018</t>
  </si>
  <si>
    <t>Trek Precaliber 24 (7-Speed) - Boys - 2018</t>
  </si>
  <si>
    <t>Trek Precaliber 24 21-speed Boy's - 2018</t>
  </si>
  <si>
    <t>Trek Precaliber 24 21-speed Girl's - 2018</t>
  </si>
  <si>
    <t>Trek Precaliber 24 7-speed Girl's - 2018</t>
  </si>
  <si>
    <t>Trek Superfly 24 - 2017/2018</t>
  </si>
  <si>
    <t>Electra Cyclosaurus 1 (16-inch) - Boy's - 2018</t>
  </si>
  <si>
    <t>Electra Heartchya 1 (20-inch) - Girl's - 2018</t>
  </si>
  <si>
    <t>Electra Savannah 1 (20-inch) - Girl's - 2018</t>
  </si>
  <si>
    <t>Electra Soft Serve 1 (16-inch) - Girl's - 2018</t>
  </si>
  <si>
    <t>Electra Starship 1 16" - 2018</t>
  </si>
  <si>
    <t>Electra Straight 8 1 (16-inch) - Boy's - 2018</t>
  </si>
  <si>
    <t>Electra Straight 8 1 (20-inch) - Boy's - 2018</t>
  </si>
  <si>
    <t>Electra Superbolt 1 20" - 2018</t>
  </si>
  <si>
    <t>Electra Superbolt 3i 20" - 2018</t>
  </si>
  <si>
    <t>Electra Sweet Ride 1 (20-inch) - Girl's - 2018</t>
  </si>
  <si>
    <t>Electra Sweet Ride 3i (20-inch) - Girls' - 2018</t>
  </si>
  <si>
    <t>Electra Tiger Shark 1 (20-inch) - Boys' - 2018</t>
  </si>
  <si>
    <t>Electra Tiger Shark 3i (20-inch) - Boys' - 2018</t>
  </si>
  <si>
    <t>Electra Treasure 1 20" - 2018</t>
  </si>
  <si>
    <t>Electra Treasure 3i 20" - 2018</t>
  </si>
  <si>
    <t>Electra Under-The-Sea 1 16" - 2018</t>
  </si>
  <si>
    <t>Electra Water Lily 1 (16-inch) - Girl's - 2018</t>
  </si>
  <si>
    <t>Electra Townie Original 1 - 2018</t>
  </si>
  <si>
    <t>Electra Townie Original 1 Ladies' - 2018</t>
  </si>
  <si>
    <t>Trek Checkpoint ALR 4 Women's - 2019</t>
  </si>
  <si>
    <t>Trek Checkpoint ALR 5 - 2019</t>
  </si>
  <si>
    <t>Trek Checkpoint ALR 5 Women's - 2019</t>
  </si>
  <si>
    <t>Trek Checkpoint SL 5 Women's - 2019</t>
  </si>
  <si>
    <t>Trek Checkpoint SL 6 - 2019</t>
  </si>
  <si>
    <t>Trek Checkpoint ALR Frameset - 2019</t>
  </si>
  <si>
    <t>Item_ID</t>
  </si>
  <si>
    <t>Quantity</t>
  </si>
  <si>
    <t>Discount</t>
  </si>
  <si>
    <t>Category_Name</t>
  </si>
  <si>
    <t>Children Bicycles</t>
  </si>
  <si>
    <t>Comfort Bicycles</t>
  </si>
  <si>
    <t>Cruisers Bicycles</t>
  </si>
  <si>
    <t>Cyclocross Bicycles</t>
  </si>
  <si>
    <t>Electric Bikes</t>
  </si>
  <si>
    <t>Mountain Bikes</t>
  </si>
  <si>
    <t>Road Bikes</t>
  </si>
  <si>
    <t>Store_Name</t>
  </si>
  <si>
    <t>phone</t>
  </si>
  <si>
    <t>Zip_Code</t>
  </si>
  <si>
    <t>Santa Cruz Bikes</t>
  </si>
  <si>
    <t>(831) 476-4321</t>
  </si>
  <si>
    <t>santacruz@bikes.shop</t>
  </si>
  <si>
    <t>3700 Portola Drive</t>
  </si>
  <si>
    <t>Baldwin Bikes</t>
  </si>
  <si>
    <t>(516) 379-8888</t>
  </si>
  <si>
    <t>baldwin@bikes.shop</t>
  </si>
  <si>
    <t>4200 Chestnut Lane</t>
  </si>
  <si>
    <t>Rowlett Bikes</t>
  </si>
  <si>
    <t>rowlett@bikes.shop</t>
  </si>
  <si>
    <t>8000 Fairway Avenue</t>
  </si>
  <si>
    <t>Total_Price</t>
  </si>
  <si>
    <t>Category</t>
  </si>
  <si>
    <t>Row Labels</t>
  </si>
  <si>
    <t>Grand Total</t>
  </si>
  <si>
    <t>Sum of Total_Price</t>
  </si>
  <si>
    <t>Sum of List_Price</t>
  </si>
  <si>
    <t>#N/A</t>
  </si>
  <si>
    <t>Total sales by product category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</si>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</sst>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35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onnections" Target="connections.xml"/><Relationship Id="rId3" Type="http://schemas.openxmlformats.org/officeDocument/2006/relationships/worksheet" Target="worksheets/sheet3.xml"/><Relationship Id="rId21" Type="http://schemas.openxmlformats.org/officeDocument/2006/relationships/powerPivotData" Target="model/item.data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3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Relationship Id="rId22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cer" refreshedDate="46279.600677546296" createdVersion="8" refreshedVersion="8" minRefreshableVersion="3" recordCount="321" xr:uid="{6D2AA22E-64D7-4C05-B64A-410CF09E63AE}">
  <cacheSource type="worksheet">
    <worksheetSource name="products"/>
  </cacheSource>
  <cacheFields count="7">
    <cacheField name="Product_ID" numFmtId="0">
      <sharedItems containsSemiMixedTypes="0" containsString="0" containsNumber="1" containsInteger="1" minValue="1" maxValue="321"/>
    </cacheField>
    <cacheField name="Product_Name" numFmtId="0">
      <sharedItems/>
    </cacheField>
    <cacheField name="Brand_ID" numFmtId="0">
      <sharedItems containsSemiMixedTypes="0" containsString="0" containsNumber="1" containsInteger="1" minValue="1" maxValue="9"/>
    </cacheField>
    <cacheField name="Category_ID" numFmtId="0">
      <sharedItems containsSemiMixedTypes="0" containsString="0" containsNumber="1" containsInteger="1" minValue="1" maxValue="7"/>
    </cacheField>
    <cacheField name="Model_Year" numFmtId="0">
      <sharedItems containsSemiMixedTypes="0" containsString="0" containsNumber="1" containsInteger="1" minValue="2016" maxValue="2019"/>
    </cacheField>
    <cacheField name="List_Price" numFmtId="0">
      <sharedItems containsSemiMixedTypes="0" containsString="0" containsNumber="1" minValue="89.99" maxValue="11999.99"/>
    </cacheField>
    <cacheField name="Category" numFmtId="0">
      <sharedItems count="7">
        <s v="Mountain Bikes"/>
        <s v="Electric Bikes"/>
        <s v="Cyclocross Bicycles"/>
        <s v="Cruisers Bicycles"/>
        <s v="Children Bicycles"/>
        <s v="Comfort Bicycles"/>
        <s v="Road Bik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cer" refreshedDate="46279.609597453702" backgroundQuery="1" createdVersion="8" refreshedVersion="8" minRefreshableVersion="3" recordCount="0" supportSubquery="1" supportAdvancedDrill="1" xr:uid="{16F5F2B9-EFC0-4EB8-BCD6-B851DB36C49C}">
  <cacheSource type="external" connectionId="11"/>
  <cacheFields count="2">
    <cacheField name="[products].[Category].[Category]" caption="Category" numFmtId="0" hierarchy="16" level="1">
      <sharedItems count="7">
        <s v="Children Bicycles"/>
        <s v="Comfort Bicycles"/>
        <s v="Cruisers Bicycles"/>
        <s v="Cyclocross Bicycles"/>
        <s v="Electric Bikes"/>
        <s v="Mountain Bikes"/>
        <s v="Road Bikes"/>
      </sharedItems>
    </cacheField>
    <cacheField name="[Measures].[Sum of Total_Price]" caption="Sum of Total_Price" numFmtId="0" hierarchy="21" level="32767"/>
  </cacheFields>
  <cacheHierarchies count="22">
    <cacheHierarchy uniqueName="[categories].[Category_ID]" caption="Category_ID" attribute="1" defaultMemberUniqueName="[categories].[Category_ID].[All]" allUniqueName="[categories].[Category_ID].[All]" dimensionUniqueName="[categories]" displayFolder="" count="0" memberValueDatatype="20" unbalanced="0"/>
    <cacheHierarchy uniqueName="[categories].[Category_Name]" caption="Category_Name" attribute="1" defaultMemberUniqueName="[categories].[Category_Name].[All]" allUniqueName="[categories].[Category_Name].[All]" dimensionUniqueName="[categories]" displayFolder="" count="0" memberValueDatatype="130" unbalanced="0"/>
    <cacheHierarchy uniqueName="[order_items].[Order_ID]" caption="Order_ID" attribute="1" defaultMemberUniqueName="[order_items].[Order_ID].[All]" allUniqueName="[order_items].[Order_ID].[All]" dimensionUniqueName="[order_items]" displayFolder="" count="0" memberValueDatatype="20" unbalanced="0"/>
    <cacheHierarchy uniqueName="[order_items].[Item_ID]" caption="Item_ID" attribute="1" defaultMemberUniqueName="[order_items].[Item_ID].[All]" allUniqueName="[order_items].[Item_ID].[All]" dimensionUniqueName="[order_items]" displayFolder="" count="0" memberValueDatatype="20" unbalanced="0"/>
    <cacheHierarchy uniqueName="[order_items].[Product_ID]" caption="Product_ID" attribute="1" defaultMemberUniqueName="[order_items].[Product_ID].[All]" allUniqueName="[order_items].[Product_ID].[All]" dimensionUniqueName="[order_items]" displayFolder="" count="0" memberValueDatatype="20" unbalanced="0"/>
    <cacheHierarchy uniqueName="[order_items].[Quantity]" caption="Quantity" attribute="1" defaultMemberUniqueName="[order_items].[Quantity].[All]" allUniqueName="[order_items].[Quantity].[All]" dimensionUniqueName="[order_items]" displayFolder="" count="0" memberValueDatatype="20" unbalanced="0"/>
    <cacheHierarchy uniqueName="[order_items].[List_Price]" caption="List_Price" attribute="1" defaultMemberUniqueName="[order_items].[List_Price].[All]" allUniqueName="[order_items].[List_Price].[All]" dimensionUniqueName="[order_items]" displayFolder="" count="0" memberValueDatatype="5" unbalanced="0"/>
    <cacheHierarchy uniqueName="[order_items].[Discount]" caption="Discount" attribute="1" defaultMemberUniqueName="[order_items].[Discount].[All]" allUniqueName="[order_items].[Discount].[All]" dimensionUniqueName="[order_items]" displayFolder="" count="0" memberValueDatatype="5" unbalanced="0"/>
    <cacheHierarchy uniqueName="[order_items].[Total_Price]" caption="Total_Price" attribute="1" defaultMemberUniqueName="[order_items].[Total_Price].[All]" allUniqueName="[order_items].[Total_Price].[All]" dimensionUniqueName="[order_items]" displayFolder="" count="0" memberValueDatatype="5" unbalanced="0"/>
    <cacheHierarchy uniqueName="[order_items].[Product_Name]" caption="Product_Name" attribute="1" defaultMemberUniqueName="[order_items].[Product_Name].[All]" allUniqueName="[order_items].[Product_Name].[All]" dimensionUniqueName="[order_items]" displayFolder="" count="0" memberValueDatatype="130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20" unbalanced="0"/>
    <cacheHierarchy uniqueName="[products].[Product_Name]" caption="Product_Name" attribute="1" defaultMemberUniqueName="[products].[Product_Name].[All]" allUniqueName="[products].[Product_Name].[All]" dimensionUniqueName="[products]" displayFolder="" count="0" memberValueDatatype="130" unbalanced="0"/>
    <cacheHierarchy uniqueName="[products].[Brand_ID]" caption="Brand_ID" attribute="1" defaultMemberUniqueName="[products].[Brand_ID].[All]" allUniqueName="[products].[Brand_ID].[All]" dimensionUniqueName="[products]" displayFolder="" count="0" memberValueDatatype="20" unbalanced="0"/>
    <cacheHierarchy uniqueName="[products].[Category_ID]" caption="Category_ID" attribute="1" defaultMemberUniqueName="[products].[Category_ID].[All]" allUniqueName="[products].[Category_ID].[All]" dimensionUniqueName="[products]" displayFolder="" count="0" memberValueDatatype="20" unbalanced="0"/>
    <cacheHierarchy uniqueName="[products].[Model_Year]" caption="Model_Year" attribute="1" defaultMemberUniqueName="[products].[Model_Year].[All]" allUniqueName="[products].[Model_Year].[All]" dimensionUniqueName="[products]" displayFolder="" count="0" memberValueDatatype="20" unbalanced="0"/>
    <cacheHierarchy uniqueName="[products].[List_Price]" caption="List_Price" attribute="1" defaultMemberUniqueName="[products].[List_Price].[All]" allUniqueName="[products].[List_Price].[All]" dimensionUniqueName="[products]" displayFolder="" count="0" memberValueDatatype="5" unbalanced="0"/>
    <cacheHierarchy uniqueName="[products].[Category]" caption="Category" attribute="1" defaultMemberUniqueName="[products].[Category].[All]" allUniqueName="[products].[Category].[All]" dimensionUniqueName="[products]" displayFolder="" count="2" memberValueDatatype="130" unbalanced="0">
      <fieldsUsage count="2">
        <fieldUsage x="-1"/>
        <fieldUsage x="0"/>
      </fieldsUsage>
    </cacheHierarchy>
    <cacheHierarchy uniqueName="[Measures].[__XL_Count order_items]" caption="__XL_Count order_items" measure="1" displayFolder="" measureGroup="order_items" count="0" hidden="1"/>
    <cacheHierarchy uniqueName="[Measures].[__XL_Count products]" caption="__XL_Count products" measure="1" displayFolder="" measureGroup="products" count="0" hidden="1"/>
    <cacheHierarchy uniqueName="[Measures].[__XL_Count categories]" caption="__XL_Count categories" measure="1" displayFolder="" measureGroup="categories" count="0" hidden="1"/>
    <cacheHierarchy uniqueName="[Measures].[__No measures defined]" caption="__No measures defined" measure="1" displayFolder="" count="0" hidden="1"/>
    <cacheHierarchy uniqueName="[Measures].[Sum of Total_Price]" caption="Sum of Total_Price" measure="1" displayFolder="" measureGroup="order_item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4">
    <dimension name="categories" uniqueName="[categories]" caption="categories"/>
    <dimension measure="1" name="Measures" uniqueName="[Measures]" caption="Measures"/>
    <dimension name="order_items" uniqueName="[order_items]" caption="order_items"/>
    <dimension name="products" uniqueName="[products]" caption="products"/>
  </dimensions>
  <measureGroups count="3">
    <measureGroup name="categories" caption="categories"/>
    <measureGroup name="order_items" caption="order_items"/>
    <measureGroup name="products" caption="products"/>
  </measureGroups>
  <maps count="6">
    <map measureGroup="0" dimension="0"/>
    <map measureGroup="1" dimension="0"/>
    <map measureGroup="1" dimension="2"/>
    <map measureGroup="1" dimension="3"/>
    <map measureGroup="2" dimension="0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cer" refreshedDate="46279.613324652775" createdVersion="8" refreshedVersion="8" minRefreshableVersion="3" recordCount="1615" xr:uid="{4DC53A83-DD9F-4C50-A929-720993BC74C0}">
  <cacheSource type="worksheet">
    <worksheetSource name="order_items"/>
  </cacheSource>
  <cacheFields count="9">
    <cacheField name="Order_ID" numFmtId="0">
      <sharedItems containsSemiMixedTypes="0" containsString="0" containsNumber="1" containsInteger="1" minValue="1" maxValue="1615"/>
    </cacheField>
    <cacheField name="Item_ID" numFmtId="0">
      <sharedItems containsSemiMixedTypes="0" containsString="0" containsNumber="1" containsInteger="1" minValue="1" maxValue="1"/>
    </cacheField>
    <cacheField name="Product_ID" numFmtId="0">
      <sharedItems containsSemiMixedTypes="0" containsString="0" containsNumber="1" containsInteger="1" minValue="2" maxValue="315"/>
    </cacheField>
    <cacheField name="Quantity" numFmtId="0">
      <sharedItems containsSemiMixedTypes="0" containsString="0" containsNumber="1" containsInteger="1" minValue="1" maxValue="2"/>
    </cacheField>
    <cacheField name="List_Price" numFmtId="0">
      <sharedItems containsSemiMixedTypes="0" containsString="0" containsNumber="1" minValue="89.99" maxValue="11999.99"/>
    </cacheField>
    <cacheField name="Discount" numFmtId="0">
      <sharedItems containsSemiMixedTypes="0" containsString="0" containsNumber="1" minValue="0.05" maxValue="0.2"/>
    </cacheField>
    <cacheField name="Total_Price" numFmtId="0">
      <sharedItems containsSemiMixedTypes="0" containsString="0" containsNumber="1" minValue="89.789999999999992" maxValue="23999.88"/>
    </cacheField>
    <cacheField name="Product_Name" numFmtId="0">
      <sharedItems/>
    </cacheField>
    <cacheField name="Category" numFmtId="0">
      <sharedItems count="8">
        <s v="Mountain Bikes"/>
        <s v="Electric Bikes"/>
        <s v="Cyclocross Bicycles"/>
        <s v="Cruisers Bicycles"/>
        <s v="Children Bicycles"/>
        <s v="Comfort Bicycles"/>
        <s v="Road Bikes"/>
        <e v="#N/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1">
  <r>
    <n v="1"/>
    <s v="Trek 820 - 2016"/>
    <n v="9"/>
    <n v="6"/>
    <n v="2016"/>
    <n v="379.99"/>
    <x v="0"/>
  </r>
  <r>
    <n v="2"/>
    <s v="Ritchey Timberwolf Frameset - 2016"/>
    <n v="5"/>
    <n v="6"/>
    <n v="2016"/>
    <n v="749.99"/>
    <x v="0"/>
  </r>
  <r>
    <n v="3"/>
    <s v="Surly Wednesday Frameset - 2016"/>
    <n v="8"/>
    <n v="6"/>
    <n v="2016"/>
    <n v="999.99"/>
    <x v="0"/>
  </r>
  <r>
    <n v="4"/>
    <s v="Trek Fuel EX 8 29 - 2016"/>
    <n v="9"/>
    <n v="6"/>
    <n v="2016"/>
    <n v="2899.99"/>
    <x v="0"/>
  </r>
  <r>
    <n v="5"/>
    <s v="Heller Shagamaw Frame - 2016"/>
    <n v="3"/>
    <n v="6"/>
    <n v="2016"/>
    <n v="1320.99"/>
    <x v="0"/>
  </r>
  <r>
    <n v="6"/>
    <s v="Surly Ice Cream Truck Frameset - 2016"/>
    <n v="8"/>
    <n v="6"/>
    <n v="2016"/>
    <n v="469.99"/>
    <x v="0"/>
  </r>
  <r>
    <n v="7"/>
    <s v="Trek Slash 8 27.5 - 2016"/>
    <n v="9"/>
    <n v="6"/>
    <n v="2016"/>
    <n v="3999.99"/>
    <x v="0"/>
  </r>
  <r>
    <n v="8"/>
    <s v="Trek Remedy 29 Carbon Frameset - 2016"/>
    <n v="9"/>
    <n v="6"/>
    <n v="2016"/>
    <n v="1799.99"/>
    <x v="0"/>
  </r>
  <r>
    <n v="9"/>
    <s v="Trek Conduit+ - 2016"/>
    <n v="9"/>
    <n v="5"/>
    <n v="2016"/>
    <n v="2999.99"/>
    <x v="1"/>
  </r>
  <r>
    <n v="10"/>
    <s v="Surly Straggler - 2016"/>
    <n v="8"/>
    <n v="4"/>
    <n v="2016"/>
    <n v="1549"/>
    <x v="2"/>
  </r>
  <r>
    <n v="11"/>
    <s v="Surly Straggler 650b - 2016"/>
    <n v="8"/>
    <n v="4"/>
    <n v="2016"/>
    <n v="1680.99"/>
    <x v="2"/>
  </r>
  <r>
    <n v="12"/>
    <s v="Electra Townie Original 21D - 2016"/>
    <n v="1"/>
    <n v="3"/>
    <n v="2016"/>
    <n v="549.99"/>
    <x v="3"/>
  </r>
  <r>
    <n v="13"/>
    <s v="Electra Cruiser 1 (24-Inch) - 2016"/>
    <n v="1"/>
    <n v="3"/>
    <n v="2016"/>
    <n v="269.99"/>
    <x v="3"/>
  </r>
  <r>
    <n v="14"/>
    <s v="Electra Girl's Hawaii 1 (16-inch) - 2015/2016"/>
    <n v="1"/>
    <n v="3"/>
    <n v="2016"/>
    <n v="269.99"/>
    <x v="3"/>
  </r>
  <r>
    <n v="15"/>
    <s v="Electra Moto 1 - 2016"/>
    <n v="1"/>
    <n v="3"/>
    <n v="2016"/>
    <n v="529.99"/>
    <x v="3"/>
  </r>
  <r>
    <n v="16"/>
    <s v="Electra Townie Original 7D EQ - 2016"/>
    <n v="1"/>
    <n v="3"/>
    <n v="2016"/>
    <n v="599.99"/>
    <x v="3"/>
  </r>
  <r>
    <n v="17"/>
    <s v="Pure Cycles Vine 8-Speed - 2016"/>
    <n v="4"/>
    <n v="3"/>
    <n v="2016"/>
    <n v="429"/>
    <x v="3"/>
  </r>
  <r>
    <n v="18"/>
    <s v="Pure Cycles Western 3-Speed - Women's - 2015/2016"/>
    <n v="4"/>
    <n v="3"/>
    <n v="2016"/>
    <n v="449"/>
    <x v="3"/>
  </r>
  <r>
    <n v="19"/>
    <s v="Pure Cycles William 3-Speed - 2016"/>
    <n v="4"/>
    <n v="3"/>
    <n v="2016"/>
    <n v="449"/>
    <x v="3"/>
  </r>
  <r>
    <n v="20"/>
    <s v="Electra Townie Original 7D EQ - Women's - 2016"/>
    <n v="1"/>
    <n v="3"/>
    <n v="2016"/>
    <n v="599.99"/>
    <x v="3"/>
  </r>
  <r>
    <n v="21"/>
    <s v="Electra Cruiser 1 (24-Inch) - 2016"/>
    <n v="1"/>
    <n v="1"/>
    <n v="2016"/>
    <n v="269.99"/>
    <x v="4"/>
  </r>
  <r>
    <n v="22"/>
    <s v="Electra Girl's Hawaii 1 (16-inch) - 2015/2016"/>
    <n v="1"/>
    <n v="1"/>
    <n v="2016"/>
    <n v="269.99"/>
    <x v="4"/>
  </r>
  <r>
    <n v="23"/>
    <s v="Electra Girl's Hawaii 1 (20-inch) - 2015/2016"/>
    <n v="1"/>
    <n v="1"/>
    <n v="2016"/>
    <n v="299.99"/>
    <x v="4"/>
  </r>
  <r>
    <n v="24"/>
    <s v="Electra Townie Original 21D - 2016"/>
    <n v="1"/>
    <n v="2"/>
    <n v="2016"/>
    <n v="549.99"/>
    <x v="5"/>
  </r>
  <r>
    <n v="25"/>
    <s v="Electra Townie Original 7D - 2015/2016"/>
    <n v="1"/>
    <n v="2"/>
    <n v="2016"/>
    <n v="499.99"/>
    <x v="5"/>
  </r>
  <r>
    <n v="26"/>
    <s v="Electra Townie Original 7D EQ - 2016"/>
    <n v="1"/>
    <n v="2"/>
    <n v="2016"/>
    <n v="599.99"/>
    <x v="5"/>
  </r>
  <r>
    <n v="27"/>
    <s v="Surly Big Dummy Frameset - 2017"/>
    <n v="8"/>
    <n v="6"/>
    <n v="2017"/>
    <n v="999.99"/>
    <x v="0"/>
  </r>
  <r>
    <n v="28"/>
    <s v="Surly Karate Monkey 27.5+ Frameset - 2017"/>
    <n v="8"/>
    <n v="6"/>
    <n v="2017"/>
    <n v="2499.9899999999998"/>
    <x v="0"/>
  </r>
  <r>
    <n v="29"/>
    <s v="Trek X-Caliber 8 - 2017"/>
    <n v="9"/>
    <n v="6"/>
    <n v="2017"/>
    <n v="999.99"/>
    <x v="0"/>
  </r>
  <r>
    <n v="30"/>
    <s v="Surly Ice Cream Truck Frameset - 2017"/>
    <n v="8"/>
    <n v="6"/>
    <n v="2017"/>
    <n v="999.99"/>
    <x v="0"/>
  </r>
  <r>
    <n v="31"/>
    <s v="Surly Wednesday - 2017"/>
    <n v="8"/>
    <n v="6"/>
    <n v="2017"/>
    <n v="1632.99"/>
    <x v="0"/>
  </r>
  <r>
    <n v="32"/>
    <s v="Trek Farley Alloy Frameset - 2017"/>
    <n v="9"/>
    <n v="6"/>
    <n v="2017"/>
    <n v="469.99"/>
    <x v="0"/>
  </r>
  <r>
    <n v="33"/>
    <s v="Surly Wednesday Frameset - 2017"/>
    <n v="8"/>
    <n v="6"/>
    <n v="2017"/>
    <n v="469.99"/>
    <x v="0"/>
  </r>
  <r>
    <n v="34"/>
    <s v="Trek Session DH 27.5 Carbon Frameset - 2017"/>
    <n v="9"/>
    <n v="6"/>
    <n v="2017"/>
    <n v="469.99"/>
    <x v="0"/>
  </r>
  <r>
    <n v="35"/>
    <s v="Sun Bicycles Spider 3i - 2017"/>
    <n v="7"/>
    <n v="6"/>
    <n v="2017"/>
    <n v="832.99"/>
    <x v="0"/>
  </r>
  <r>
    <n v="36"/>
    <s v="Surly Troll Frameset - 2017"/>
    <n v="8"/>
    <n v="6"/>
    <n v="2017"/>
    <n v="832.99"/>
    <x v="0"/>
  </r>
  <r>
    <n v="37"/>
    <s v="Haro Flightline One ST - 2017"/>
    <n v="2"/>
    <n v="6"/>
    <n v="2017"/>
    <n v="379.99"/>
    <x v="0"/>
  </r>
  <r>
    <n v="38"/>
    <s v="Haro Flightline Two 26 Plus - 2017"/>
    <n v="2"/>
    <n v="6"/>
    <n v="2017"/>
    <n v="549.99"/>
    <x v="0"/>
  </r>
  <r>
    <n v="39"/>
    <s v="Trek Stache 5 - 2017"/>
    <n v="9"/>
    <n v="6"/>
    <n v="2017"/>
    <n v="1499.99"/>
    <x v="0"/>
  </r>
  <r>
    <n v="40"/>
    <s v="Trek Fuel EX 9.8 29 - 2017"/>
    <n v="9"/>
    <n v="6"/>
    <n v="2017"/>
    <n v="4999.99"/>
    <x v="0"/>
  </r>
  <r>
    <n v="41"/>
    <s v="Haro Shift R3 - 2017"/>
    <n v="2"/>
    <n v="6"/>
    <n v="2017"/>
    <n v="1469.99"/>
    <x v="0"/>
  </r>
  <r>
    <n v="42"/>
    <s v="Trek Fuel EX 5 27.5 Plus - 2017"/>
    <n v="9"/>
    <n v="6"/>
    <n v="2017"/>
    <n v="2299.9899999999998"/>
    <x v="0"/>
  </r>
  <r>
    <n v="43"/>
    <s v="Trek Fuel EX 9.8 27.5 Plus - 2017"/>
    <n v="9"/>
    <n v="6"/>
    <n v="2017"/>
    <n v="5299.99"/>
    <x v="0"/>
  </r>
  <r>
    <n v="44"/>
    <s v="Haro SR 1.1 - 2017"/>
    <n v="2"/>
    <n v="6"/>
    <n v="2017"/>
    <n v="539.99"/>
    <x v="0"/>
  </r>
  <r>
    <n v="45"/>
    <s v="Haro SR 1.2 - 2017"/>
    <n v="2"/>
    <n v="6"/>
    <n v="2017"/>
    <n v="869.99"/>
    <x v="0"/>
  </r>
  <r>
    <n v="46"/>
    <s v="Haro SR 1.3 - 2017"/>
    <n v="2"/>
    <n v="6"/>
    <n v="2017"/>
    <n v="1409.99"/>
    <x v="0"/>
  </r>
  <r>
    <n v="47"/>
    <s v="Trek Remedy 9.8 - 2017"/>
    <n v="9"/>
    <n v="6"/>
    <n v="2017"/>
    <n v="5299.99"/>
    <x v="0"/>
  </r>
  <r>
    <n v="48"/>
    <s v="Trek Emonda S 4 - 2017"/>
    <n v="9"/>
    <n v="7"/>
    <n v="2017"/>
    <n v="1499.99"/>
    <x v="6"/>
  </r>
  <r>
    <n v="49"/>
    <s v="Trek Domane SL 6 - 2017"/>
    <n v="9"/>
    <n v="7"/>
    <n v="2017"/>
    <n v="3499.99"/>
    <x v="6"/>
  </r>
  <r>
    <n v="50"/>
    <s v="Trek Silque SLR 7 Women's - 2017"/>
    <n v="9"/>
    <n v="7"/>
    <n v="2017"/>
    <n v="5999.99"/>
    <x v="6"/>
  </r>
  <r>
    <n v="51"/>
    <s v="Trek Silque SLR 8 Women's - 2017"/>
    <n v="9"/>
    <n v="7"/>
    <n v="2017"/>
    <n v="6499.99"/>
    <x v="6"/>
  </r>
  <r>
    <n v="52"/>
    <s v="Surly Steamroller - 2017"/>
    <n v="8"/>
    <n v="7"/>
    <n v="2017"/>
    <n v="875.99"/>
    <x v="6"/>
  </r>
  <r>
    <n v="53"/>
    <s v="Surly Ogre Frameset - 2017"/>
    <n v="8"/>
    <n v="7"/>
    <n v="2017"/>
    <n v="749.99"/>
    <x v="6"/>
  </r>
  <r>
    <n v="54"/>
    <s v="Trek Domane SL Disc Frameset - 2017"/>
    <n v="9"/>
    <n v="7"/>
    <n v="2017"/>
    <n v="3199.99"/>
    <x v="6"/>
  </r>
  <r>
    <n v="55"/>
    <s v="Trek Domane S 6 - 2017"/>
    <n v="9"/>
    <n v="7"/>
    <n v="2017"/>
    <n v="2699.99"/>
    <x v="6"/>
  </r>
  <r>
    <n v="56"/>
    <s v="Trek Domane SLR 6 Disc - 2017"/>
    <n v="9"/>
    <n v="7"/>
    <n v="2017"/>
    <n v="5499.99"/>
    <x v="6"/>
  </r>
  <r>
    <n v="57"/>
    <s v="Trek Emonda S 5 - 2017"/>
    <n v="9"/>
    <n v="7"/>
    <n v="2017"/>
    <n v="1999.99"/>
    <x v="6"/>
  </r>
  <r>
    <n v="58"/>
    <s v="Trek Madone 9.2 - 2017"/>
    <n v="9"/>
    <n v="7"/>
    <n v="2017"/>
    <n v="4999.99"/>
    <x v="6"/>
  </r>
  <r>
    <n v="59"/>
    <s v="Trek Domane S 5 Disc - 2017"/>
    <n v="9"/>
    <n v="7"/>
    <n v="2017"/>
    <n v="2599.9899999999998"/>
    <x v="6"/>
  </r>
  <r>
    <n v="60"/>
    <s v="Sun Bicycles ElectroLite - 2017"/>
    <n v="7"/>
    <n v="5"/>
    <n v="2017"/>
    <n v="1559.99"/>
    <x v="1"/>
  </r>
  <r>
    <n v="61"/>
    <s v="Trek Powerfly 8 FS Plus - 2017"/>
    <n v="9"/>
    <n v="5"/>
    <n v="2017"/>
    <n v="4999.99"/>
    <x v="1"/>
  </r>
  <r>
    <n v="62"/>
    <s v="Trek Boone 7 - 2017"/>
    <n v="9"/>
    <n v="4"/>
    <n v="2017"/>
    <n v="3499.99"/>
    <x v="2"/>
  </r>
  <r>
    <n v="63"/>
    <s v="Trek Boone Race Shop Limited - 2017"/>
    <n v="9"/>
    <n v="4"/>
    <n v="2017"/>
    <n v="3499.99"/>
    <x v="2"/>
  </r>
  <r>
    <n v="64"/>
    <s v="Electra Townie Original 7D - 2017"/>
    <n v="1"/>
    <n v="3"/>
    <n v="2017"/>
    <n v="489.99"/>
    <x v="3"/>
  </r>
  <r>
    <n v="65"/>
    <s v="Sun Bicycles Lil Bolt Type-R - 2017"/>
    <n v="7"/>
    <n v="3"/>
    <n v="2017"/>
    <n v="346.99"/>
    <x v="3"/>
  </r>
  <r>
    <n v="66"/>
    <s v="Sun Bicycles Revolutions 24 - 2017"/>
    <n v="7"/>
    <n v="3"/>
    <n v="2017"/>
    <n v="250.99"/>
    <x v="3"/>
  </r>
  <r>
    <n v="67"/>
    <s v="Sun Bicycles Revolutions 24 - Girl's - 2017"/>
    <n v="7"/>
    <n v="3"/>
    <n v="2017"/>
    <n v="250.99"/>
    <x v="3"/>
  </r>
  <r>
    <n v="68"/>
    <s v="Sun Bicycles Cruz 3 - 2017"/>
    <n v="7"/>
    <n v="3"/>
    <n v="2017"/>
    <n v="449.99"/>
    <x v="3"/>
  </r>
  <r>
    <n v="69"/>
    <s v="Sun Bicycles Cruz 7 - 2017"/>
    <n v="7"/>
    <n v="3"/>
    <n v="2017"/>
    <n v="416.99"/>
    <x v="3"/>
  </r>
  <r>
    <n v="70"/>
    <s v="Electra Amsterdam Original 3i - 2015/2017"/>
    <n v="1"/>
    <n v="3"/>
    <n v="2017"/>
    <n v="659.99"/>
    <x v="3"/>
  </r>
  <r>
    <n v="71"/>
    <s v="Sun Bicycles Atlas X-Type - 2017"/>
    <n v="7"/>
    <n v="3"/>
    <n v="2017"/>
    <n v="416.99"/>
    <x v="3"/>
  </r>
  <r>
    <n v="72"/>
    <s v="Sun Bicycles Biscayne Tandem 7 - 2017"/>
    <n v="7"/>
    <n v="3"/>
    <n v="2017"/>
    <n v="619.99"/>
    <x v="3"/>
  </r>
  <r>
    <n v="73"/>
    <s v="Sun Bicycles Brickell Tandem 7 - 2017"/>
    <n v="7"/>
    <n v="3"/>
    <n v="2017"/>
    <n v="749.99"/>
    <x v="3"/>
  </r>
  <r>
    <n v="74"/>
    <s v="Electra Cruiser Lux 1 - 2017"/>
    <n v="1"/>
    <n v="3"/>
    <n v="2017"/>
    <n v="439.99"/>
    <x v="3"/>
  </r>
  <r>
    <n v="75"/>
    <s v="Electra Cruiser Lux Fat Tire 1 Ladies - 2017"/>
    <n v="1"/>
    <n v="3"/>
    <n v="2017"/>
    <n v="599.99"/>
    <x v="3"/>
  </r>
  <r>
    <n v="76"/>
    <s v="Electra Girl's Hawaii 1 16&quot; - 2017"/>
    <n v="1"/>
    <n v="3"/>
    <n v="2017"/>
    <n v="299.99"/>
    <x v="3"/>
  </r>
  <r>
    <n v="77"/>
    <s v="Electra Glam Punk 3i Ladies' - 2017"/>
    <n v="1"/>
    <n v="3"/>
    <n v="2017"/>
    <n v="799.99"/>
    <x v="3"/>
  </r>
  <r>
    <n v="78"/>
    <s v="Sun Bicycles Biscayne Tandem CB - 2017"/>
    <n v="7"/>
    <n v="3"/>
    <n v="2017"/>
    <n v="647.99"/>
    <x v="3"/>
  </r>
  <r>
    <n v="79"/>
    <s v="Sun Bicycles Boardwalk (24-inch Wheels) - 2017"/>
    <n v="7"/>
    <n v="3"/>
    <n v="2017"/>
    <n v="402.99"/>
    <x v="3"/>
  </r>
  <r>
    <n v="80"/>
    <s v="Sun Bicycles Brickell Tandem CB - 2017"/>
    <n v="7"/>
    <n v="3"/>
    <n v="2017"/>
    <n v="761.99"/>
    <x v="3"/>
  </r>
  <r>
    <n v="81"/>
    <s v="Electra Amsterdam Fashion 7i Ladies' - 2017"/>
    <n v="1"/>
    <n v="3"/>
    <n v="2017"/>
    <n v="1099.99"/>
    <x v="3"/>
  </r>
  <r>
    <n v="82"/>
    <s v="Electra Amsterdam Original 3i Ladies' - 2017"/>
    <n v="1"/>
    <n v="3"/>
    <n v="2017"/>
    <n v="659.99"/>
    <x v="3"/>
  </r>
  <r>
    <n v="83"/>
    <s v="Trek Boy's Kickster - 2015/2017"/>
    <n v="9"/>
    <n v="1"/>
    <n v="2017"/>
    <n v="149.99"/>
    <x v="4"/>
  </r>
  <r>
    <n v="84"/>
    <s v="Sun Bicycles Lil Kitt'n - 2017"/>
    <n v="7"/>
    <n v="1"/>
    <n v="2017"/>
    <n v="109.99"/>
    <x v="4"/>
  </r>
  <r>
    <n v="85"/>
    <s v="Haro Downtown 16 - 2017"/>
    <n v="2"/>
    <n v="1"/>
    <n v="2017"/>
    <n v="329.99"/>
    <x v="4"/>
  </r>
  <r>
    <n v="86"/>
    <s v="Trek Girl's Kickster - 2017"/>
    <n v="9"/>
    <n v="1"/>
    <n v="2017"/>
    <n v="149.99"/>
    <x v="4"/>
  </r>
  <r>
    <n v="87"/>
    <s v="Trek Precaliber 12 Boys - 2017"/>
    <n v="9"/>
    <n v="1"/>
    <n v="2017"/>
    <n v="189.99"/>
    <x v="4"/>
  </r>
  <r>
    <n v="88"/>
    <s v="Trek Precaliber 12 Girls - 2017"/>
    <n v="9"/>
    <n v="1"/>
    <n v="2017"/>
    <n v="189.99"/>
    <x v="4"/>
  </r>
  <r>
    <n v="89"/>
    <s v="Trek Precaliber 16 Boys - 2017"/>
    <n v="9"/>
    <n v="1"/>
    <n v="2017"/>
    <n v="209.99"/>
    <x v="4"/>
  </r>
  <r>
    <n v="90"/>
    <s v="Trek Precaliber 16 Girls - 2017"/>
    <n v="9"/>
    <n v="1"/>
    <n v="2017"/>
    <n v="209.99"/>
    <x v="4"/>
  </r>
  <r>
    <n v="91"/>
    <s v="Trek Precaliber 24 (21-Speed) - Girls - 2017"/>
    <n v="9"/>
    <n v="1"/>
    <n v="2017"/>
    <n v="349.99"/>
    <x v="4"/>
  </r>
  <r>
    <n v="92"/>
    <s v="Haro Shredder 20 - 2017"/>
    <n v="2"/>
    <n v="1"/>
    <n v="2017"/>
    <n v="209.99"/>
    <x v="4"/>
  </r>
  <r>
    <n v="93"/>
    <s v="Haro Shredder 20 Girls - 2017"/>
    <n v="2"/>
    <n v="1"/>
    <n v="2017"/>
    <n v="209.99"/>
    <x v="4"/>
  </r>
  <r>
    <n v="94"/>
    <s v="Haro Shredder Pro 20 - 2017"/>
    <n v="2"/>
    <n v="1"/>
    <n v="2017"/>
    <n v="249.99"/>
    <x v="4"/>
  </r>
  <r>
    <n v="95"/>
    <s v="Electra Girl's Hawaii 1 16&quot; - 2017"/>
    <n v="1"/>
    <n v="1"/>
    <n v="2017"/>
    <n v="299.99"/>
    <x v="4"/>
  </r>
  <r>
    <n v="96"/>
    <s v="Electra Moto 3i (20-inch) - Boy's - 2017"/>
    <n v="1"/>
    <n v="1"/>
    <n v="2017"/>
    <n v="349.99"/>
    <x v="4"/>
  </r>
  <r>
    <n v="97"/>
    <s v="Electra Savannah 3i (20-inch) - Girl's - 2017"/>
    <n v="1"/>
    <n v="1"/>
    <n v="2017"/>
    <n v="349.99"/>
    <x v="4"/>
  </r>
  <r>
    <n v="98"/>
    <s v="Electra Straight 8 3i (20-inch) - Boy's - 2017"/>
    <n v="1"/>
    <n v="1"/>
    <n v="2017"/>
    <n v="489.99"/>
    <x v="4"/>
  </r>
  <r>
    <n v="99"/>
    <s v="Electra Sugar Skulls 1 (20-inch) - Girl's - 2017"/>
    <n v="1"/>
    <n v="1"/>
    <n v="2017"/>
    <n v="299.99"/>
    <x v="4"/>
  </r>
  <r>
    <n v="100"/>
    <s v="Electra Townie 3i EQ (20-inch) - Boys' - 2017"/>
    <n v="1"/>
    <n v="1"/>
    <n v="2017"/>
    <n v="489.99"/>
    <x v="4"/>
  </r>
  <r>
    <n v="101"/>
    <s v="Electra Townie 7D (20-inch) - Boys' - 2017"/>
    <n v="1"/>
    <n v="1"/>
    <n v="2017"/>
    <n v="339.99"/>
    <x v="4"/>
  </r>
  <r>
    <n v="102"/>
    <s v="Electra Townie Original 7D - 2017"/>
    <n v="1"/>
    <n v="2"/>
    <n v="2017"/>
    <n v="489.99"/>
    <x v="5"/>
  </r>
  <r>
    <n v="103"/>
    <s v="Sun Bicycles Streamway 3 - 2017"/>
    <n v="7"/>
    <n v="2"/>
    <n v="2017"/>
    <n v="551.99"/>
    <x v="5"/>
  </r>
  <r>
    <n v="104"/>
    <s v="Sun Bicycles Streamway - 2017"/>
    <n v="7"/>
    <n v="2"/>
    <n v="2017"/>
    <n v="481.99"/>
    <x v="5"/>
  </r>
  <r>
    <n v="105"/>
    <s v="Sun Bicycles Streamway 7 - 2017"/>
    <n v="7"/>
    <n v="2"/>
    <n v="2017"/>
    <n v="533.99"/>
    <x v="5"/>
  </r>
  <r>
    <n v="106"/>
    <s v="Sun Bicycles Cruz 3 - 2017"/>
    <n v="7"/>
    <n v="2"/>
    <n v="2017"/>
    <n v="449.99"/>
    <x v="5"/>
  </r>
  <r>
    <n v="107"/>
    <s v="Sun Bicycles Cruz 7 - 2017"/>
    <n v="7"/>
    <n v="2"/>
    <n v="2017"/>
    <n v="416.99"/>
    <x v="5"/>
  </r>
  <r>
    <n v="108"/>
    <s v="Sun Bicycles Cruz 3 - Women's - 2017"/>
    <n v="7"/>
    <n v="2"/>
    <n v="2017"/>
    <n v="449.99"/>
    <x v="5"/>
  </r>
  <r>
    <n v="109"/>
    <s v="Sun Bicycles Cruz 7 - Women's - 2017"/>
    <n v="7"/>
    <n v="2"/>
    <n v="2017"/>
    <n v="416.99"/>
    <x v="5"/>
  </r>
  <r>
    <n v="110"/>
    <s v="Sun Bicycles Drifter 7 - 2017"/>
    <n v="7"/>
    <n v="2"/>
    <n v="2017"/>
    <n v="470.99"/>
    <x v="5"/>
  </r>
  <r>
    <n v="111"/>
    <s v="Sun Bicycles Drifter 7 - Women's - 2017"/>
    <n v="7"/>
    <n v="2"/>
    <n v="2017"/>
    <n v="470.99"/>
    <x v="5"/>
  </r>
  <r>
    <n v="112"/>
    <s v="Trek 820 - 2018"/>
    <n v="9"/>
    <n v="6"/>
    <n v="2018"/>
    <n v="379.99"/>
    <x v="0"/>
  </r>
  <r>
    <n v="113"/>
    <s v="Trek Marlin 5 - 2018"/>
    <n v="9"/>
    <n v="6"/>
    <n v="2018"/>
    <n v="489.99"/>
    <x v="0"/>
  </r>
  <r>
    <n v="114"/>
    <s v="Trek Marlin 6 - 2018"/>
    <n v="9"/>
    <n v="6"/>
    <n v="2018"/>
    <n v="579.99"/>
    <x v="0"/>
  </r>
  <r>
    <n v="115"/>
    <s v="Trek Fuel EX 8 29 - 2018"/>
    <n v="9"/>
    <n v="6"/>
    <n v="2018"/>
    <n v="3199.99"/>
    <x v="0"/>
  </r>
  <r>
    <n v="116"/>
    <s v="Trek Marlin 7 - 2017/2018"/>
    <n v="9"/>
    <n v="6"/>
    <n v="2018"/>
    <n v="749.99"/>
    <x v="0"/>
  </r>
  <r>
    <n v="117"/>
    <s v="Trek Ticket S Frame - 2018"/>
    <n v="9"/>
    <n v="6"/>
    <n v="2018"/>
    <n v="1469.99"/>
    <x v="0"/>
  </r>
  <r>
    <n v="118"/>
    <s v="Trek X-Caliber 8 - 2018"/>
    <n v="9"/>
    <n v="6"/>
    <n v="2018"/>
    <n v="999.99"/>
    <x v="0"/>
  </r>
  <r>
    <n v="119"/>
    <s v="Trek Kids' Neko - 2018"/>
    <n v="9"/>
    <n v="6"/>
    <n v="2018"/>
    <n v="469.99"/>
    <x v="0"/>
  </r>
  <r>
    <n v="120"/>
    <s v="Trek Fuel EX 7 29 - 2018"/>
    <n v="9"/>
    <n v="6"/>
    <n v="2018"/>
    <n v="2499.9899999999998"/>
    <x v="0"/>
  </r>
  <r>
    <n v="121"/>
    <s v="Surly Krampus Frameset - 2018"/>
    <n v="8"/>
    <n v="6"/>
    <n v="2018"/>
    <n v="2499.9899999999998"/>
    <x v="0"/>
  </r>
  <r>
    <n v="122"/>
    <s v="Surly Troll Frameset - 2018"/>
    <n v="8"/>
    <n v="6"/>
    <n v="2018"/>
    <n v="2499.9899999999998"/>
    <x v="0"/>
  </r>
  <r>
    <n v="123"/>
    <s v="Trek Farley Carbon Frameset - 2018"/>
    <n v="9"/>
    <n v="6"/>
    <n v="2018"/>
    <n v="999.99"/>
    <x v="0"/>
  </r>
  <r>
    <n v="124"/>
    <s v="Surly Krampus - 2018"/>
    <n v="8"/>
    <n v="6"/>
    <n v="2018"/>
    <n v="1499"/>
    <x v="0"/>
  </r>
  <r>
    <n v="125"/>
    <s v="Trek Kids' Dual Sport - 2018"/>
    <n v="9"/>
    <n v="6"/>
    <n v="2018"/>
    <n v="469.99"/>
    <x v="0"/>
  </r>
  <r>
    <n v="126"/>
    <s v="Surly Big Fat Dummy Frameset - 2018"/>
    <n v="8"/>
    <n v="6"/>
    <n v="2018"/>
    <n v="469.99"/>
    <x v="0"/>
  </r>
  <r>
    <n v="127"/>
    <s v="Surly Pack Rat Frameset - 2018"/>
    <n v="8"/>
    <n v="6"/>
    <n v="2018"/>
    <n v="469.99"/>
    <x v="0"/>
  </r>
  <r>
    <n v="128"/>
    <s v="Surly ECR 27.5 - 2018"/>
    <n v="8"/>
    <n v="6"/>
    <n v="2018"/>
    <n v="1899"/>
    <x v="0"/>
  </r>
  <r>
    <n v="129"/>
    <s v="Trek X-Caliber 7 - 2018"/>
    <n v="9"/>
    <n v="6"/>
    <n v="2018"/>
    <n v="919.99"/>
    <x v="0"/>
  </r>
  <r>
    <n v="130"/>
    <s v="Trek Stache Carbon Frameset - 2018"/>
    <n v="9"/>
    <n v="6"/>
    <n v="2018"/>
    <n v="919.99"/>
    <x v="0"/>
  </r>
  <r>
    <n v="131"/>
    <s v="Heller Bloodhound Trail - 2018"/>
    <n v="3"/>
    <n v="6"/>
    <n v="2018"/>
    <n v="2599"/>
    <x v="0"/>
  </r>
  <r>
    <n v="132"/>
    <s v="Trek Procal AL Frameset - 2018"/>
    <n v="9"/>
    <n v="6"/>
    <n v="2018"/>
    <n v="1499.99"/>
    <x v="0"/>
  </r>
  <r>
    <n v="133"/>
    <s v="Trek Procaliber Frameset - 2018"/>
    <n v="9"/>
    <n v="6"/>
    <n v="2018"/>
    <n v="1499.99"/>
    <x v="0"/>
  </r>
  <r>
    <n v="134"/>
    <s v="Trek Remedy 27.5 C Frameset - 2018"/>
    <n v="9"/>
    <n v="6"/>
    <n v="2018"/>
    <n v="1499.99"/>
    <x v="0"/>
  </r>
  <r>
    <n v="135"/>
    <s v="Trek X-Caliber Frameset - 2018"/>
    <n v="9"/>
    <n v="6"/>
    <n v="2018"/>
    <n v="1499.99"/>
    <x v="0"/>
  </r>
  <r>
    <n v="136"/>
    <s v="Trek Procaliber 6 - 2018"/>
    <n v="9"/>
    <n v="6"/>
    <n v="2018"/>
    <n v="1799.99"/>
    <x v="0"/>
  </r>
  <r>
    <n v="137"/>
    <s v="Heller Shagamaw GX1 - 2018"/>
    <n v="3"/>
    <n v="6"/>
    <n v="2018"/>
    <n v="2599"/>
    <x v="0"/>
  </r>
  <r>
    <n v="138"/>
    <s v="Trek Fuel EX 5 Plus - 2018"/>
    <n v="9"/>
    <n v="6"/>
    <n v="2018"/>
    <n v="2249.9899999999998"/>
    <x v="0"/>
  </r>
  <r>
    <n v="139"/>
    <s v="Trek Remedy 7 27.5 - 2018"/>
    <n v="9"/>
    <n v="6"/>
    <n v="2018"/>
    <n v="2999.99"/>
    <x v="0"/>
  </r>
  <r>
    <n v="140"/>
    <s v="Trek Remedy 9.8 27.5 - 2018"/>
    <n v="9"/>
    <n v="6"/>
    <n v="2018"/>
    <n v="4999.99"/>
    <x v="0"/>
  </r>
  <r>
    <n v="141"/>
    <s v="Trek Stache 5 - 2018"/>
    <n v="9"/>
    <n v="6"/>
    <n v="2018"/>
    <n v="1599.99"/>
    <x v="0"/>
  </r>
  <r>
    <n v="142"/>
    <s v="Trek Fuel EX 8 29 XT - 2018"/>
    <n v="9"/>
    <n v="6"/>
    <n v="2018"/>
    <n v="3199.99"/>
    <x v="0"/>
  </r>
  <r>
    <n v="143"/>
    <s v="Trek Domane ALR 3 - 2018"/>
    <n v="9"/>
    <n v="7"/>
    <n v="2018"/>
    <n v="1099.99"/>
    <x v="6"/>
  </r>
  <r>
    <n v="144"/>
    <s v="Trek Domane ALR 4 Disc - 2018"/>
    <n v="9"/>
    <n v="7"/>
    <n v="2018"/>
    <n v="1549.99"/>
    <x v="6"/>
  </r>
  <r>
    <n v="145"/>
    <s v="Trek Domane ALR 5 Disc - 2018"/>
    <n v="9"/>
    <n v="7"/>
    <n v="2018"/>
    <n v="1799.99"/>
    <x v="6"/>
  </r>
  <r>
    <n v="146"/>
    <s v="Trek Domane SLR 6 - 2018"/>
    <n v="9"/>
    <n v="7"/>
    <n v="2018"/>
    <n v="4999.99"/>
    <x v="6"/>
  </r>
  <r>
    <n v="147"/>
    <s v="Trek Domane ALR 5 Gravel - 2018"/>
    <n v="9"/>
    <n v="7"/>
    <n v="2018"/>
    <n v="1799.99"/>
    <x v="6"/>
  </r>
  <r>
    <n v="148"/>
    <s v="Trek Domane SL 8 Disc - 2018"/>
    <n v="9"/>
    <n v="7"/>
    <n v="2018"/>
    <n v="5499.99"/>
    <x v="6"/>
  </r>
  <r>
    <n v="149"/>
    <s v="Trek Domane SLR 8 Disc - 2018"/>
    <n v="9"/>
    <n v="7"/>
    <n v="2018"/>
    <n v="7499.99"/>
    <x v="6"/>
  </r>
  <r>
    <n v="150"/>
    <s v="Trek Emonda SL 7 - 2018"/>
    <n v="9"/>
    <n v="7"/>
    <n v="2018"/>
    <n v="4499.99"/>
    <x v="6"/>
  </r>
  <r>
    <n v="151"/>
    <s v="Trek Domane ALR 4 Disc Women's - 2018"/>
    <n v="9"/>
    <n v="7"/>
    <n v="2018"/>
    <n v="1549.99"/>
    <x v="6"/>
  </r>
  <r>
    <n v="152"/>
    <s v="Trek Domane SL 5 Disc Women's - 2018"/>
    <n v="9"/>
    <n v="7"/>
    <n v="2018"/>
    <n v="2499.9899999999998"/>
    <x v="6"/>
  </r>
  <r>
    <n v="153"/>
    <s v="Trek Domane SL 7 Women's - 2018"/>
    <n v="9"/>
    <n v="7"/>
    <n v="2018"/>
    <n v="4999.99"/>
    <x v="6"/>
  </r>
  <r>
    <n v="154"/>
    <s v="Trek Domane SLR 6 Disc Women's - 2018"/>
    <n v="9"/>
    <n v="7"/>
    <n v="2018"/>
    <n v="5499.99"/>
    <x v="6"/>
  </r>
  <r>
    <n v="155"/>
    <s v="Trek Domane SLR 9 Disc - 2018"/>
    <n v="9"/>
    <n v="7"/>
    <n v="2018"/>
    <n v="11999.99"/>
    <x v="6"/>
  </r>
  <r>
    <n v="156"/>
    <s v="Trek Domane SL Frameset - 2018"/>
    <n v="9"/>
    <n v="7"/>
    <n v="2018"/>
    <n v="6499.99"/>
    <x v="6"/>
  </r>
  <r>
    <n v="157"/>
    <s v="Trek Domane SL Frameset Women's - 2018"/>
    <n v="9"/>
    <n v="7"/>
    <n v="2018"/>
    <n v="6499.99"/>
    <x v="6"/>
  </r>
  <r>
    <n v="158"/>
    <s v="Trek CrossRip 1 - 2018"/>
    <n v="9"/>
    <n v="7"/>
    <n v="2018"/>
    <n v="959.99"/>
    <x v="6"/>
  </r>
  <r>
    <n v="159"/>
    <s v="Trek Emonda ALR 6 - 2018"/>
    <n v="9"/>
    <n v="7"/>
    <n v="2018"/>
    <n v="2299.9899999999998"/>
    <x v="6"/>
  </r>
  <r>
    <n v="160"/>
    <s v="Trek Emonda SLR 6 - 2018"/>
    <n v="9"/>
    <n v="7"/>
    <n v="2018"/>
    <n v="4499.99"/>
    <x v="6"/>
  </r>
  <r>
    <n v="161"/>
    <s v="Surly ECR - 2018"/>
    <n v="8"/>
    <n v="7"/>
    <n v="2018"/>
    <n v="1899"/>
    <x v="6"/>
  </r>
  <r>
    <n v="162"/>
    <s v="Trek Emonda SL 6 Disc - 2018"/>
    <n v="9"/>
    <n v="7"/>
    <n v="2018"/>
    <n v="2999.99"/>
    <x v="6"/>
  </r>
  <r>
    <n v="163"/>
    <s v="Surly Pack Rat - 2018"/>
    <n v="8"/>
    <n v="7"/>
    <n v="2018"/>
    <n v="1349"/>
    <x v="6"/>
  </r>
  <r>
    <n v="164"/>
    <s v="Surly Straggler 650b - 2018"/>
    <n v="8"/>
    <n v="7"/>
    <n v="2018"/>
    <n v="1549"/>
    <x v="6"/>
  </r>
  <r>
    <n v="165"/>
    <s v="Trek 1120 - 2018"/>
    <n v="9"/>
    <n v="7"/>
    <n v="2018"/>
    <n v="2499.9899999999998"/>
    <x v="6"/>
  </r>
  <r>
    <n v="166"/>
    <s v="Trek Domane AL 2 Women's - 2018"/>
    <n v="9"/>
    <n v="7"/>
    <n v="2018"/>
    <n v="749.99"/>
    <x v="6"/>
  </r>
  <r>
    <n v="167"/>
    <s v="Surly ECR Frameset - 2018"/>
    <n v="8"/>
    <n v="7"/>
    <n v="2018"/>
    <n v="749.99"/>
    <x v="6"/>
  </r>
  <r>
    <n v="168"/>
    <s v="Surly Straggler - 2018"/>
    <n v="8"/>
    <n v="7"/>
    <n v="2018"/>
    <n v="1549"/>
    <x v="6"/>
  </r>
  <r>
    <n v="169"/>
    <s v="Trek Emonda SLR 8 - 2018"/>
    <n v="9"/>
    <n v="7"/>
    <n v="2018"/>
    <n v="6499.99"/>
    <x v="6"/>
  </r>
  <r>
    <n v="170"/>
    <s v="Trek CrossRip 2 - 2018"/>
    <n v="9"/>
    <n v="7"/>
    <n v="2018"/>
    <n v="1299.99"/>
    <x v="6"/>
  </r>
  <r>
    <n v="171"/>
    <s v="Trek Domane SL 6 - 2018"/>
    <n v="9"/>
    <n v="7"/>
    <n v="2018"/>
    <n v="3199.99"/>
    <x v="6"/>
  </r>
  <r>
    <n v="172"/>
    <s v="Trek Domane ALR Disc Frameset - 2018"/>
    <n v="9"/>
    <n v="7"/>
    <n v="2018"/>
    <n v="3199.99"/>
    <x v="6"/>
  </r>
  <r>
    <n v="173"/>
    <s v="Trek Domane ALR Frameset - 2018"/>
    <n v="9"/>
    <n v="7"/>
    <n v="2018"/>
    <n v="3199.99"/>
    <x v="6"/>
  </r>
  <r>
    <n v="174"/>
    <s v="Trek Domane SLR Disc Frameset - 2018"/>
    <n v="9"/>
    <n v="7"/>
    <n v="2018"/>
    <n v="3199.99"/>
    <x v="6"/>
  </r>
  <r>
    <n v="175"/>
    <s v="Trek Domane SLR Frameset - 2018"/>
    <n v="9"/>
    <n v="7"/>
    <n v="2018"/>
    <n v="3199.99"/>
    <x v="6"/>
  </r>
  <r>
    <n v="176"/>
    <s v="Trek Madone 9 Frameset - 2018"/>
    <n v="9"/>
    <n v="7"/>
    <n v="2018"/>
    <n v="3199.99"/>
    <x v="6"/>
  </r>
  <r>
    <n v="177"/>
    <s v="Trek Domane SLR 6 Disc - 2018"/>
    <n v="9"/>
    <n v="7"/>
    <n v="2018"/>
    <n v="5499.99"/>
    <x v="6"/>
  </r>
  <r>
    <n v="178"/>
    <s v="Trek Domane AL 2 - 2018"/>
    <n v="9"/>
    <n v="7"/>
    <n v="2018"/>
    <n v="749.99"/>
    <x v="6"/>
  </r>
  <r>
    <n v="179"/>
    <s v="Trek Domane AL 3 - 2018"/>
    <n v="9"/>
    <n v="7"/>
    <n v="2018"/>
    <n v="919.99"/>
    <x v="6"/>
  </r>
  <r>
    <n v="180"/>
    <s v="Trek Domane AL 3 Women's - 2018"/>
    <n v="9"/>
    <n v="7"/>
    <n v="2018"/>
    <n v="919.99"/>
    <x v="6"/>
  </r>
  <r>
    <n v="181"/>
    <s v="Trek Domane SL 5 - 2018"/>
    <n v="9"/>
    <n v="7"/>
    <n v="2018"/>
    <n v="2199.9899999999998"/>
    <x v="6"/>
  </r>
  <r>
    <n v="182"/>
    <s v="Trek Domane SL 5 Disc - 2018"/>
    <n v="9"/>
    <n v="7"/>
    <n v="2018"/>
    <n v="2499.9899999999998"/>
    <x v="6"/>
  </r>
  <r>
    <n v="183"/>
    <s v="Trek Domane SL 5 Women's - 2018"/>
    <n v="9"/>
    <n v="7"/>
    <n v="2018"/>
    <n v="2199.9899999999998"/>
    <x v="6"/>
  </r>
  <r>
    <n v="184"/>
    <s v="Trek Domane SL 6 Disc - 2018"/>
    <n v="9"/>
    <n v="7"/>
    <n v="2018"/>
    <n v="3499.99"/>
    <x v="6"/>
  </r>
  <r>
    <n v="185"/>
    <s v="Trek Conduit+ - 2018"/>
    <n v="9"/>
    <n v="5"/>
    <n v="2018"/>
    <n v="2799.99"/>
    <x v="1"/>
  </r>
  <r>
    <n v="186"/>
    <s v="Trek CrossRip+ - 2018"/>
    <n v="9"/>
    <n v="5"/>
    <n v="2018"/>
    <n v="4499.99"/>
    <x v="1"/>
  </r>
  <r>
    <n v="187"/>
    <s v="Trek Neko+ - 2018"/>
    <n v="9"/>
    <n v="5"/>
    <n v="2018"/>
    <n v="2799.99"/>
    <x v="1"/>
  </r>
  <r>
    <n v="188"/>
    <s v="Trek XM700+ Lowstep - 2018"/>
    <n v="9"/>
    <n v="5"/>
    <n v="2018"/>
    <n v="3499.99"/>
    <x v="1"/>
  </r>
  <r>
    <n v="189"/>
    <s v="Trek Lift+ Lowstep - 2018"/>
    <n v="9"/>
    <n v="5"/>
    <n v="2018"/>
    <n v="2799.99"/>
    <x v="1"/>
  </r>
  <r>
    <n v="190"/>
    <s v="Trek Dual Sport+ - 2018"/>
    <n v="9"/>
    <n v="5"/>
    <n v="2018"/>
    <n v="2799.99"/>
    <x v="1"/>
  </r>
  <r>
    <n v="191"/>
    <s v="Electra Loft Go! 8i - 2018"/>
    <n v="1"/>
    <n v="5"/>
    <n v="2018"/>
    <n v="2799.99"/>
    <x v="1"/>
  </r>
  <r>
    <n v="192"/>
    <s v="Electra Townie Go! 8i - 2017/2018"/>
    <n v="1"/>
    <n v="5"/>
    <n v="2018"/>
    <n v="2599.9899999999998"/>
    <x v="1"/>
  </r>
  <r>
    <n v="193"/>
    <s v="Trek Lift+ - 2018"/>
    <n v="9"/>
    <n v="5"/>
    <n v="2018"/>
    <n v="2799.99"/>
    <x v="1"/>
  </r>
  <r>
    <n v="194"/>
    <s v="Trek XM700+ - 2018"/>
    <n v="9"/>
    <n v="5"/>
    <n v="2018"/>
    <n v="3499.99"/>
    <x v="1"/>
  </r>
  <r>
    <n v="195"/>
    <s v="Electra Townie Go! 8i Ladies' - 2018"/>
    <n v="1"/>
    <n v="5"/>
    <n v="2018"/>
    <n v="2599.9899999999998"/>
    <x v="1"/>
  </r>
  <r>
    <n v="196"/>
    <s v="Trek Verve+ - 2018"/>
    <n v="9"/>
    <n v="5"/>
    <n v="2018"/>
    <n v="2299.9899999999998"/>
    <x v="1"/>
  </r>
  <r>
    <n v="197"/>
    <s v="Trek Verve+ Lowstep - 2018"/>
    <n v="9"/>
    <n v="5"/>
    <n v="2018"/>
    <n v="2299.9899999999998"/>
    <x v="1"/>
  </r>
  <r>
    <n v="198"/>
    <s v="Electra Townie Commute Go! - 2018"/>
    <n v="1"/>
    <n v="5"/>
    <n v="2018"/>
    <n v="2999.99"/>
    <x v="1"/>
  </r>
  <r>
    <n v="199"/>
    <s v="Electra Townie Commute Go! Ladies' - 2018"/>
    <n v="1"/>
    <n v="5"/>
    <n v="2018"/>
    <n v="2999.99"/>
    <x v="1"/>
  </r>
  <r>
    <n v="200"/>
    <s v="Trek Powerfly 5 - 2018"/>
    <n v="9"/>
    <n v="5"/>
    <n v="2018"/>
    <n v="3499.99"/>
    <x v="1"/>
  </r>
  <r>
    <n v="201"/>
    <s v="Trek Powerfly 5 FS - 2018"/>
    <n v="9"/>
    <n v="5"/>
    <n v="2018"/>
    <n v="4499.99"/>
    <x v="1"/>
  </r>
  <r>
    <n v="202"/>
    <s v="Trek Powerfly 5 Women's - 2018"/>
    <n v="9"/>
    <n v="5"/>
    <n v="2018"/>
    <n v="3499.99"/>
    <x v="1"/>
  </r>
  <r>
    <n v="203"/>
    <s v="Trek Powerfly 7 FS - 2018"/>
    <n v="9"/>
    <n v="5"/>
    <n v="2018"/>
    <n v="4999.99"/>
    <x v="1"/>
  </r>
  <r>
    <n v="204"/>
    <s v="Trek Super Commuter+ 7 - 2018"/>
    <n v="9"/>
    <n v="5"/>
    <n v="2018"/>
    <n v="3599.99"/>
    <x v="1"/>
  </r>
  <r>
    <n v="205"/>
    <s v="Trek Super Commuter+ 8S - 2018"/>
    <n v="9"/>
    <n v="5"/>
    <n v="2018"/>
    <n v="4999.99"/>
    <x v="1"/>
  </r>
  <r>
    <n v="206"/>
    <s v="Trek Boone 5 Disc - 2018"/>
    <n v="9"/>
    <n v="4"/>
    <n v="2018"/>
    <n v="3299.99"/>
    <x v="2"/>
  </r>
  <r>
    <n v="207"/>
    <s v="Trek Boone 7 Disc - 2018"/>
    <n v="9"/>
    <n v="4"/>
    <n v="2018"/>
    <n v="3999.99"/>
    <x v="2"/>
  </r>
  <r>
    <n v="208"/>
    <s v="Trek Crockett 5 Disc - 2018"/>
    <n v="9"/>
    <n v="4"/>
    <n v="2018"/>
    <n v="1799.99"/>
    <x v="2"/>
  </r>
  <r>
    <n v="209"/>
    <s v="Trek Crockett 7 Disc - 2018"/>
    <n v="9"/>
    <n v="4"/>
    <n v="2018"/>
    <n v="2999.99"/>
    <x v="2"/>
  </r>
  <r>
    <n v="210"/>
    <s v="Surly Straggler - 2018"/>
    <n v="8"/>
    <n v="4"/>
    <n v="2018"/>
    <n v="1549"/>
    <x v="2"/>
  </r>
  <r>
    <n v="211"/>
    <s v="Surly Straggler 650b - 2018"/>
    <n v="8"/>
    <n v="4"/>
    <n v="2018"/>
    <n v="1549"/>
    <x v="2"/>
  </r>
  <r>
    <n v="212"/>
    <s v="Electra Townie Original 21D - 2018"/>
    <n v="1"/>
    <n v="3"/>
    <n v="2018"/>
    <n v="559.99"/>
    <x v="3"/>
  </r>
  <r>
    <n v="213"/>
    <s v="Electra Cruiser 1 - 2016/2017/2018"/>
    <n v="1"/>
    <n v="3"/>
    <n v="2018"/>
    <n v="269.99"/>
    <x v="3"/>
  </r>
  <r>
    <n v="214"/>
    <s v="Electra Tiger Shark 3i - 2018"/>
    <n v="1"/>
    <n v="3"/>
    <n v="2018"/>
    <n v="899.99"/>
    <x v="3"/>
  </r>
  <r>
    <n v="215"/>
    <s v="Electra Queen of Hearts 3i - 2018"/>
    <n v="1"/>
    <n v="3"/>
    <n v="2018"/>
    <n v="749.99"/>
    <x v="3"/>
  </r>
  <r>
    <n v="216"/>
    <s v="Electra Super Moto 8i - 2018"/>
    <n v="1"/>
    <n v="3"/>
    <n v="2018"/>
    <n v="899.99"/>
    <x v="3"/>
  </r>
  <r>
    <n v="217"/>
    <s v="Electra Straight 8 3i - 2018"/>
    <n v="1"/>
    <n v="3"/>
    <n v="2018"/>
    <n v="909.99"/>
    <x v="3"/>
  </r>
  <r>
    <n v="218"/>
    <s v="Electra Cruiser 7D - 2016/2017/2018"/>
    <n v="1"/>
    <n v="3"/>
    <n v="2018"/>
    <n v="319.99"/>
    <x v="3"/>
  </r>
  <r>
    <n v="219"/>
    <s v="Electra Moto 3i - 2018"/>
    <n v="1"/>
    <n v="3"/>
    <n v="2018"/>
    <n v="639.99"/>
    <x v="3"/>
  </r>
  <r>
    <n v="220"/>
    <s v="Electra Cruiser 1 Ladies' - 2018"/>
    <n v="1"/>
    <n v="3"/>
    <n v="2018"/>
    <n v="269.99"/>
    <x v="3"/>
  </r>
  <r>
    <n v="221"/>
    <s v="Electra Cruiser 7D Ladies' - 2016/2018"/>
    <n v="1"/>
    <n v="3"/>
    <n v="2018"/>
    <n v="319.99"/>
    <x v="3"/>
  </r>
  <r>
    <n v="222"/>
    <s v="Electra Cruiser 1 Tall - 2016/2018"/>
    <n v="1"/>
    <n v="3"/>
    <n v="2018"/>
    <n v="269.99"/>
    <x v="3"/>
  </r>
  <r>
    <n v="223"/>
    <s v="Electra Cruiser Lux 3i - 2018"/>
    <n v="1"/>
    <n v="3"/>
    <n v="2018"/>
    <n v="529.99"/>
    <x v="3"/>
  </r>
  <r>
    <n v="224"/>
    <s v="Electra Cruiser Lux 7D - 2018"/>
    <n v="1"/>
    <n v="3"/>
    <n v="2018"/>
    <n v="479.99"/>
    <x v="3"/>
  </r>
  <r>
    <n v="225"/>
    <s v="Electra Delivery 3i - 2016/2017/2018"/>
    <n v="1"/>
    <n v="3"/>
    <n v="2018"/>
    <n v="959.99"/>
    <x v="3"/>
  </r>
  <r>
    <n v="226"/>
    <s v="Electra Townie Original 21D EQ - 2017/2018"/>
    <n v="1"/>
    <n v="3"/>
    <n v="2018"/>
    <n v="679.99"/>
    <x v="3"/>
  </r>
  <r>
    <n v="227"/>
    <s v="Electra Cruiser 7D (24-Inch) Ladies' - 2016/2018"/>
    <n v="1"/>
    <n v="3"/>
    <n v="2018"/>
    <n v="319.99"/>
    <x v="3"/>
  </r>
  <r>
    <n v="228"/>
    <s v="Electra Cruiser 7D Tall - 2016/2018"/>
    <n v="1"/>
    <n v="3"/>
    <n v="2018"/>
    <n v="319.99"/>
    <x v="3"/>
  </r>
  <r>
    <n v="229"/>
    <s v="Electra Cruiser Lux 1 - 2016/2018"/>
    <n v="1"/>
    <n v="3"/>
    <n v="2018"/>
    <n v="429.99"/>
    <x v="3"/>
  </r>
  <r>
    <n v="230"/>
    <s v="Electra Cruiser Lux 1 Ladies' - 2018"/>
    <n v="1"/>
    <n v="3"/>
    <n v="2018"/>
    <n v="429.99"/>
    <x v="3"/>
  </r>
  <r>
    <n v="231"/>
    <s v="Electra Cruiser Lux 3i Ladies' - 2018"/>
    <n v="1"/>
    <n v="3"/>
    <n v="2018"/>
    <n v="529.99"/>
    <x v="3"/>
  </r>
  <r>
    <n v="232"/>
    <s v="Electra Cruiser Lux 7D Ladies' - 2018"/>
    <n v="1"/>
    <n v="3"/>
    <n v="2018"/>
    <n v="479.99"/>
    <x v="3"/>
  </r>
  <r>
    <n v="233"/>
    <s v="Electra Cruiser Lux Fat Tire 7D - 2018"/>
    <n v="1"/>
    <n v="3"/>
    <n v="2018"/>
    <n v="639.99"/>
    <x v="3"/>
  </r>
  <r>
    <n v="234"/>
    <s v="Electra Daydreamer 3i Ladies' - 2018"/>
    <n v="1"/>
    <n v="3"/>
    <n v="2018"/>
    <n v="899.99"/>
    <x v="3"/>
  </r>
  <r>
    <n v="235"/>
    <s v="Electra Koa 3i Ladies' - 2018"/>
    <n v="1"/>
    <n v="3"/>
    <n v="2018"/>
    <n v="899.99"/>
    <x v="3"/>
  </r>
  <r>
    <n v="236"/>
    <s v="Electra Morningstar 3i Ladies' - 2018"/>
    <n v="1"/>
    <n v="3"/>
    <n v="2018"/>
    <n v="749.99"/>
    <x v="3"/>
  </r>
  <r>
    <n v="237"/>
    <s v="Electra Relic 3i - 2018"/>
    <n v="1"/>
    <n v="3"/>
    <n v="2018"/>
    <n v="849.99"/>
    <x v="3"/>
  </r>
  <r>
    <n v="238"/>
    <s v="Electra Townie Balloon 8D EQ - 2016/2017/2018"/>
    <n v="1"/>
    <n v="3"/>
    <n v="2018"/>
    <n v="749.99"/>
    <x v="3"/>
  </r>
  <r>
    <n v="239"/>
    <s v="Electra Townie Balloon 8D EQ Ladies' - 2016/2017/2018"/>
    <n v="1"/>
    <n v="3"/>
    <n v="2018"/>
    <n v="749.99"/>
    <x v="3"/>
  </r>
  <r>
    <n v="240"/>
    <s v="Electra Townie Commute 27D Ladies - 2018"/>
    <n v="1"/>
    <n v="3"/>
    <n v="2018"/>
    <n v="899.99"/>
    <x v="3"/>
  </r>
  <r>
    <n v="241"/>
    <s v="Electra Townie Commute 8D - 2018"/>
    <n v="1"/>
    <n v="3"/>
    <n v="2018"/>
    <n v="749.99"/>
    <x v="3"/>
  </r>
  <r>
    <n v="242"/>
    <s v="Electra Townie Commute 8D Ladies' - 2018"/>
    <n v="1"/>
    <n v="3"/>
    <n v="2018"/>
    <n v="699.99"/>
    <x v="3"/>
  </r>
  <r>
    <n v="243"/>
    <s v="Electra Townie Original 21D EQ Ladies' - 2018"/>
    <n v="1"/>
    <n v="3"/>
    <n v="2018"/>
    <n v="679.99"/>
    <x v="3"/>
  </r>
  <r>
    <n v="244"/>
    <s v="Electra Townie Original 21D Ladies' - 2018"/>
    <n v="1"/>
    <n v="3"/>
    <n v="2018"/>
    <n v="559.99"/>
    <x v="3"/>
  </r>
  <r>
    <n v="245"/>
    <s v="Electra Townie Original 3i EQ - 2017/2018"/>
    <n v="1"/>
    <n v="3"/>
    <n v="2018"/>
    <n v="659.99"/>
    <x v="3"/>
  </r>
  <r>
    <n v="246"/>
    <s v="Electra Townie Original 3i EQ Ladies' - 2018"/>
    <n v="1"/>
    <n v="3"/>
    <n v="2018"/>
    <n v="639.99"/>
    <x v="3"/>
  </r>
  <r>
    <n v="247"/>
    <s v="Electra Townie Original 7D EQ - 2018"/>
    <n v="1"/>
    <n v="3"/>
    <n v="2018"/>
    <n v="599.99"/>
    <x v="3"/>
  </r>
  <r>
    <n v="248"/>
    <s v="Electra Townie Original 7D EQ Ladies' - 2017/2018"/>
    <n v="1"/>
    <n v="3"/>
    <n v="2018"/>
    <n v="599.99"/>
    <x v="3"/>
  </r>
  <r>
    <n v="249"/>
    <s v="Electra White Water 3i - 2018"/>
    <n v="1"/>
    <n v="3"/>
    <n v="2018"/>
    <n v="749.99"/>
    <x v="3"/>
  </r>
  <r>
    <n v="250"/>
    <s v="Electra Townie Go! 8i - 2017/2018"/>
    <n v="1"/>
    <n v="3"/>
    <n v="2018"/>
    <n v="2599.9899999999998"/>
    <x v="3"/>
  </r>
  <r>
    <n v="251"/>
    <s v="Electra Townie Commute Go! - 2018"/>
    <n v="1"/>
    <n v="3"/>
    <n v="2018"/>
    <n v="2999.99"/>
    <x v="3"/>
  </r>
  <r>
    <n v="252"/>
    <s v="Electra Townie Commute Go! Ladies' - 2018"/>
    <n v="1"/>
    <n v="3"/>
    <n v="2018"/>
    <n v="2999.99"/>
    <x v="3"/>
  </r>
  <r>
    <n v="253"/>
    <s v="Electra Townie Go! 8i Ladies' - 2018"/>
    <n v="1"/>
    <n v="3"/>
    <n v="2018"/>
    <n v="2599.9899999999998"/>
    <x v="3"/>
  </r>
  <r>
    <n v="254"/>
    <s v="Electra Townie Balloon 3i EQ - 2017/2018"/>
    <n v="1"/>
    <n v="3"/>
    <n v="2018"/>
    <n v="749.99"/>
    <x v="3"/>
  </r>
  <r>
    <n v="255"/>
    <s v="Electra Townie Balloon 7i EQ Ladies' - 2017/2018"/>
    <n v="1"/>
    <n v="3"/>
    <n v="2018"/>
    <n v="899.99"/>
    <x v="3"/>
  </r>
  <r>
    <n v="256"/>
    <s v="Electra Townie Commute 27D - 2018"/>
    <n v="1"/>
    <n v="3"/>
    <n v="2018"/>
    <n v="899.99"/>
    <x v="3"/>
  </r>
  <r>
    <n v="257"/>
    <s v="Electra Amsterdam Fashion 3i Ladies' - 2017/2018"/>
    <n v="1"/>
    <n v="3"/>
    <n v="2018"/>
    <n v="899.99"/>
    <x v="3"/>
  </r>
  <r>
    <n v="258"/>
    <s v="Electra Amsterdam Royal 8i - 2017/2018"/>
    <n v="1"/>
    <n v="3"/>
    <n v="2018"/>
    <n v="1259.9000000000001"/>
    <x v="3"/>
  </r>
  <r>
    <n v="259"/>
    <s v="Electra Amsterdam Royal 8i Ladies - 2018"/>
    <n v="1"/>
    <n v="3"/>
    <n v="2018"/>
    <n v="1199.99"/>
    <x v="3"/>
  </r>
  <r>
    <n v="260"/>
    <s v="Electra Townie Balloon 3i EQ Ladies' - 2018"/>
    <n v="1"/>
    <n v="3"/>
    <n v="2018"/>
    <n v="799.99"/>
    <x v="3"/>
  </r>
  <r>
    <n v="261"/>
    <s v="Electra Townie Balloon 7i EQ - 2018"/>
    <n v="1"/>
    <n v="3"/>
    <n v="2018"/>
    <n v="899.99"/>
    <x v="3"/>
  </r>
  <r>
    <n v="262"/>
    <s v="Trek MT 201 - 2018"/>
    <n v="9"/>
    <n v="1"/>
    <n v="2018"/>
    <n v="249.99"/>
    <x v="4"/>
  </r>
  <r>
    <n v="263"/>
    <s v="Strider Classic 12 Balance Bike - 2018"/>
    <n v="6"/>
    <n v="1"/>
    <n v="2018"/>
    <n v="89.99"/>
    <x v="4"/>
  </r>
  <r>
    <n v="264"/>
    <s v="Strider Sport 16 - 2018"/>
    <n v="6"/>
    <n v="1"/>
    <n v="2018"/>
    <n v="249.99"/>
    <x v="4"/>
  </r>
  <r>
    <n v="265"/>
    <s v="Strider Strider 20 Sport - 2018"/>
    <n v="6"/>
    <n v="1"/>
    <n v="2018"/>
    <n v="289.99"/>
    <x v="4"/>
  </r>
  <r>
    <n v="266"/>
    <s v="Trek Superfly 20 - 2018"/>
    <n v="9"/>
    <n v="1"/>
    <n v="2018"/>
    <n v="399.99"/>
    <x v="4"/>
  </r>
  <r>
    <n v="267"/>
    <s v="Trek Precaliber 12 Girl's - 2018"/>
    <n v="9"/>
    <n v="1"/>
    <n v="2018"/>
    <n v="199.99"/>
    <x v="4"/>
  </r>
  <r>
    <n v="268"/>
    <s v="Trek Kickster - 2018"/>
    <n v="9"/>
    <n v="1"/>
    <n v="2018"/>
    <n v="159.99"/>
    <x v="4"/>
  </r>
  <r>
    <n v="269"/>
    <s v="Trek Precaliber 12 Boy's - 2018"/>
    <n v="9"/>
    <n v="1"/>
    <n v="2018"/>
    <n v="199.99"/>
    <x v="4"/>
  </r>
  <r>
    <n v="270"/>
    <s v="Trek Precaliber 16 Boy's - 2018"/>
    <n v="9"/>
    <n v="1"/>
    <n v="2018"/>
    <n v="209.99"/>
    <x v="4"/>
  </r>
  <r>
    <n v="271"/>
    <s v="Trek Precaliber 16 Girl's - 2018"/>
    <n v="9"/>
    <n v="1"/>
    <n v="2018"/>
    <n v="209.99"/>
    <x v="4"/>
  </r>
  <r>
    <n v="272"/>
    <s v="Trek Precaliber 20 6-speed Boy's - 2018"/>
    <n v="9"/>
    <n v="1"/>
    <n v="2018"/>
    <n v="289.99"/>
    <x v="4"/>
  </r>
  <r>
    <n v="273"/>
    <s v="Trek Precaliber 20 6-speed Girl's - 2018"/>
    <n v="9"/>
    <n v="1"/>
    <n v="2018"/>
    <n v="289.99"/>
    <x v="4"/>
  </r>
  <r>
    <n v="274"/>
    <s v="Trek Precaliber 20 Boy's - 2018"/>
    <n v="9"/>
    <n v="1"/>
    <n v="2018"/>
    <n v="229.99"/>
    <x v="4"/>
  </r>
  <r>
    <n v="275"/>
    <s v="Trek Precaliber 20 Girl's - 2018"/>
    <n v="9"/>
    <n v="1"/>
    <n v="2018"/>
    <n v="229.99"/>
    <x v="4"/>
  </r>
  <r>
    <n v="276"/>
    <s v="Trek Precaliber 24 (7-Speed) - Boys - 2018"/>
    <n v="9"/>
    <n v="1"/>
    <n v="2018"/>
    <n v="319.99"/>
    <x v="4"/>
  </r>
  <r>
    <n v="277"/>
    <s v="Trek Precaliber 24 21-speed Boy's - 2018"/>
    <n v="9"/>
    <n v="1"/>
    <n v="2018"/>
    <n v="369.99"/>
    <x v="4"/>
  </r>
  <r>
    <n v="278"/>
    <s v="Trek Precaliber 24 21-speed Girl's - 2018"/>
    <n v="9"/>
    <n v="1"/>
    <n v="2018"/>
    <n v="369.99"/>
    <x v="4"/>
  </r>
  <r>
    <n v="279"/>
    <s v="Trek Precaliber 24 7-speed Girl's - 2018"/>
    <n v="9"/>
    <n v="1"/>
    <n v="2018"/>
    <n v="319.99"/>
    <x v="4"/>
  </r>
  <r>
    <n v="280"/>
    <s v="Trek Superfly 24 - 2017/2018"/>
    <n v="9"/>
    <n v="1"/>
    <n v="2018"/>
    <n v="489.99"/>
    <x v="4"/>
  </r>
  <r>
    <n v="281"/>
    <s v="Electra Cruiser 7D (24-Inch) Ladies' - 2016/2018"/>
    <n v="1"/>
    <n v="1"/>
    <n v="2018"/>
    <n v="319.99"/>
    <x v="4"/>
  </r>
  <r>
    <n v="282"/>
    <s v="Electra Cyclosaurus 1 (16-inch) - Boy's - 2018"/>
    <n v="1"/>
    <n v="1"/>
    <n v="2018"/>
    <n v="279.99"/>
    <x v="4"/>
  </r>
  <r>
    <n v="283"/>
    <s v="Electra Heartchya 1 (20-inch) - Girl's - 2018"/>
    <n v="1"/>
    <n v="1"/>
    <n v="2018"/>
    <n v="319.99"/>
    <x v="4"/>
  </r>
  <r>
    <n v="284"/>
    <s v="Electra Savannah 1 (20-inch) - Girl's - 2018"/>
    <n v="1"/>
    <n v="1"/>
    <n v="2018"/>
    <n v="319.99"/>
    <x v="4"/>
  </r>
  <r>
    <n v="285"/>
    <s v="Electra Soft Serve 1 (16-inch) - Girl's - 2018"/>
    <n v="1"/>
    <n v="1"/>
    <n v="2018"/>
    <n v="279.99"/>
    <x v="4"/>
  </r>
  <r>
    <n v="286"/>
    <s v="Electra Starship 1 16&quot; - 2018"/>
    <n v="1"/>
    <n v="1"/>
    <n v="2018"/>
    <n v="279.99"/>
    <x v="4"/>
  </r>
  <r>
    <n v="287"/>
    <s v="Electra Straight 8 1 (16-inch) - Boy's - 2018"/>
    <n v="1"/>
    <n v="1"/>
    <n v="2018"/>
    <n v="279.99"/>
    <x v="4"/>
  </r>
  <r>
    <n v="288"/>
    <s v="Electra Straight 8 1 (20-inch) - Boy's - 2018"/>
    <n v="1"/>
    <n v="1"/>
    <n v="2018"/>
    <n v="389.99"/>
    <x v="4"/>
  </r>
  <r>
    <n v="289"/>
    <s v="Electra Superbolt 1 20&quot; - 2018"/>
    <n v="1"/>
    <n v="1"/>
    <n v="2018"/>
    <n v="319.99"/>
    <x v="4"/>
  </r>
  <r>
    <n v="290"/>
    <s v="Electra Superbolt 3i 20&quot; - 2018"/>
    <n v="1"/>
    <n v="1"/>
    <n v="2018"/>
    <n v="369.99"/>
    <x v="4"/>
  </r>
  <r>
    <n v="291"/>
    <s v="Electra Sweet Ride 1 (20-inch) - Girl's - 2018"/>
    <n v="1"/>
    <n v="1"/>
    <n v="2018"/>
    <n v="319.99"/>
    <x v="4"/>
  </r>
  <r>
    <n v="292"/>
    <s v="Electra Sweet Ride 3i (20-inch) - Girls' - 2018"/>
    <n v="1"/>
    <n v="1"/>
    <n v="2018"/>
    <n v="369.99"/>
    <x v="4"/>
  </r>
  <r>
    <n v="293"/>
    <s v="Electra Tiger Shark 1 (20-inch) - Boys' - 2018"/>
    <n v="1"/>
    <n v="1"/>
    <n v="2018"/>
    <n v="319.99"/>
    <x v="4"/>
  </r>
  <r>
    <n v="294"/>
    <s v="Electra Tiger Shark 3i (20-inch) - Boys' - 2018"/>
    <n v="1"/>
    <n v="1"/>
    <n v="2018"/>
    <n v="369.99"/>
    <x v="4"/>
  </r>
  <r>
    <n v="295"/>
    <s v="Electra Treasure 1 20&quot; - 2018"/>
    <n v="1"/>
    <n v="1"/>
    <n v="2018"/>
    <n v="319.99"/>
    <x v="4"/>
  </r>
  <r>
    <n v="296"/>
    <s v="Electra Treasure 3i 20&quot; - 2018"/>
    <n v="1"/>
    <n v="1"/>
    <n v="2018"/>
    <n v="369.99"/>
    <x v="4"/>
  </r>
  <r>
    <n v="297"/>
    <s v="Electra Under-The-Sea 1 16&quot; - 2018"/>
    <n v="1"/>
    <n v="1"/>
    <n v="2018"/>
    <n v="279.99"/>
    <x v="4"/>
  </r>
  <r>
    <n v="298"/>
    <s v="Electra Water Lily 1 (16-inch) - Girl's - 2018"/>
    <n v="1"/>
    <n v="1"/>
    <n v="2018"/>
    <n v="279.99"/>
    <x v="4"/>
  </r>
  <r>
    <n v="299"/>
    <s v="Electra Townie Original 21D - 2018"/>
    <n v="1"/>
    <n v="2"/>
    <n v="2018"/>
    <n v="559.99"/>
    <x v="5"/>
  </r>
  <r>
    <n v="300"/>
    <s v="Electra Townie Balloon 3i EQ Ladies' - 2018"/>
    <n v="1"/>
    <n v="2"/>
    <n v="2018"/>
    <n v="799.99"/>
    <x v="5"/>
  </r>
  <r>
    <n v="301"/>
    <s v="Electra Townie Balloon 7i EQ - 2018"/>
    <n v="1"/>
    <n v="2"/>
    <n v="2018"/>
    <n v="899.99"/>
    <x v="5"/>
  </r>
  <r>
    <n v="302"/>
    <s v="Electra Townie Original 1 - 2018"/>
    <n v="1"/>
    <n v="2"/>
    <n v="2018"/>
    <n v="449.99"/>
    <x v="5"/>
  </r>
  <r>
    <n v="303"/>
    <s v="Electra Townie Go! 8i - 2017/2018"/>
    <n v="1"/>
    <n v="2"/>
    <n v="2018"/>
    <n v="2599.9899999999998"/>
    <x v="5"/>
  </r>
  <r>
    <n v="304"/>
    <s v="Electra Townie Original 21D EQ - 2017/2018"/>
    <n v="1"/>
    <n v="2"/>
    <n v="2018"/>
    <n v="679.99"/>
    <x v="5"/>
  </r>
  <r>
    <n v="305"/>
    <s v="Electra Townie Balloon 3i EQ - 2017/2018"/>
    <n v="1"/>
    <n v="2"/>
    <n v="2018"/>
    <n v="749.99"/>
    <x v="5"/>
  </r>
  <r>
    <n v="306"/>
    <s v="Electra Townie Balloon 7i EQ Ladies' - 2017/2018"/>
    <n v="1"/>
    <n v="2"/>
    <n v="2018"/>
    <n v="899.99"/>
    <x v="5"/>
  </r>
  <r>
    <n v="307"/>
    <s v="Electra Townie Balloon 8D EQ - 2016/2017/2018"/>
    <n v="1"/>
    <n v="2"/>
    <n v="2018"/>
    <n v="749.99"/>
    <x v="5"/>
  </r>
  <r>
    <n v="308"/>
    <s v="Electra Townie Balloon 8D EQ Ladies' - 2016/2017/2018"/>
    <n v="1"/>
    <n v="2"/>
    <n v="2018"/>
    <n v="749.99"/>
    <x v="5"/>
  </r>
  <r>
    <n v="309"/>
    <s v="Electra Townie Commute 27D - 2018"/>
    <n v="1"/>
    <n v="2"/>
    <n v="2018"/>
    <n v="899.99"/>
    <x v="5"/>
  </r>
  <r>
    <n v="310"/>
    <s v="Electra Townie Commute 27D Ladies - 2018"/>
    <n v="1"/>
    <n v="2"/>
    <n v="2018"/>
    <n v="899.99"/>
    <x v="5"/>
  </r>
  <r>
    <n v="311"/>
    <s v="Electra Townie Commute 8D - 2018"/>
    <n v="1"/>
    <n v="2"/>
    <n v="2018"/>
    <n v="749.99"/>
    <x v="5"/>
  </r>
  <r>
    <n v="312"/>
    <s v="Electra Townie Commute 8D Ladies' - 2018"/>
    <n v="1"/>
    <n v="2"/>
    <n v="2018"/>
    <n v="699.99"/>
    <x v="5"/>
  </r>
  <r>
    <n v="313"/>
    <s v="Electra Townie Original 1 Ladies' - 2018"/>
    <n v="1"/>
    <n v="2"/>
    <n v="2018"/>
    <n v="449.99"/>
    <x v="5"/>
  </r>
  <r>
    <n v="314"/>
    <s v="Electra Townie Original 21D EQ Ladies' - 2018"/>
    <n v="1"/>
    <n v="2"/>
    <n v="2018"/>
    <n v="679.99"/>
    <x v="5"/>
  </r>
  <r>
    <n v="315"/>
    <s v="Electra Townie Original 21D Ladies' - 2018"/>
    <n v="1"/>
    <n v="2"/>
    <n v="2018"/>
    <n v="559.99"/>
    <x v="5"/>
  </r>
  <r>
    <n v="316"/>
    <s v="Trek Checkpoint ALR 4 Women's - 2019"/>
    <n v="9"/>
    <n v="7"/>
    <n v="2019"/>
    <n v="1699.99"/>
    <x v="6"/>
  </r>
  <r>
    <n v="317"/>
    <s v="Trek Checkpoint ALR 5 - 2019"/>
    <n v="9"/>
    <n v="7"/>
    <n v="2019"/>
    <n v="1999.99"/>
    <x v="6"/>
  </r>
  <r>
    <n v="318"/>
    <s v="Trek Checkpoint ALR 5 Women's - 2019"/>
    <n v="9"/>
    <n v="7"/>
    <n v="2019"/>
    <n v="1999.99"/>
    <x v="6"/>
  </r>
  <r>
    <n v="319"/>
    <s v="Trek Checkpoint SL 5 Women's - 2019"/>
    <n v="9"/>
    <n v="7"/>
    <n v="2019"/>
    <n v="2799.99"/>
    <x v="6"/>
  </r>
  <r>
    <n v="320"/>
    <s v="Trek Checkpoint SL 6 - 2019"/>
    <n v="9"/>
    <n v="7"/>
    <n v="2019"/>
    <n v="3799.99"/>
    <x v="6"/>
  </r>
  <r>
    <n v="321"/>
    <s v="Trek Checkpoint ALR Frameset - 2019"/>
    <n v="9"/>
    <n v="7"/>
    <n v="2019"/>
    <n v="3199.99"/>
    <x v="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15">
  <r>
    <n v="1"/>
    <n v="1"/>
    <n v="20"/>
    <n v="1"/>
    <n v="599.99"/>
    <n v="0.2"/>
    <n v="599.79"/>
    <s v="Electra Townie Original 7D EQ - Women's - 2016"/>
    <x v="0"/>
  </r>
  <r>
    <n v="2"/>
    <n v="1"/>
    <n v="20"/>
    <n v="1"/>
    <n v="599.99"/>
    <n v="7.0000000000000007E-2"/>
    <n v="599.91999999999996"/>
    <s v="Electra Townie Original 7D EQ - Women's - 2016"/>
    <x v="0"/>
  </r>
  <r>
    <n v="3"/>
    <n v="1"/>
    <n v="3"/>
    <n v="1"/>
    <n v="999.99"/>
    <n v="0.05"/>
    <n v="999.94"/>
    <s v="Surly Wednesday Frameset - 2016"/>
    <x v="0"/>
  </r>
  <r>
    <n v="4"/>
    <n v="1"/>
    <n v="2"/>
    <n v="2"/>
    <n v="749.99"/>
    <n v="0.1"/>
    <n v="1499.88"/>
    <s v="Ritchey Timberwolf Frameset - 2016"/>
    <x v="0"/>
  </r>
  <r>
    <n v="5"/>
    <n v="1"/>
    <n v="10"/>
    <n v="2"/>
    <n v="1549"/>
    <n v="0.05"/>
    <n v="3097.95"/>
    <s v="Surly Straggler - 2016"/>
    <x v="0"/>
  </r>
  <r>
    <n v="6"/>
    <n v="1"/>
    <n v="18"/>
    <n v="1"/>
    <n v="449"/>
    <n v="7.0000000000000007E-2"/>
    <n v="448.93"/>
    <s v="Pure Cycles Western 3-Speed - Women's - 2015/2016"/>
    <x v="0"/>
  </r>
  <r>
    <n v="7"/>
    <n v="1"/>
    <n v="15"/>
    <n v="1"/>
    <n v="529.99"/>
    <n v="7.0000000000000007E-2"/>
    <n v="529.91999999999996"/>
    <s v="Electra Moto 1 - 2016"/>
    <x v="0"/>
  </r>
  <r>
    <n v="8"/>
    <n v="1"/>
    <n v="22"/>
    <n v="1"/>
    <n v="269.99"/>
    <n v="0.05"/>
    <n v="269.94"/>
    <s v="Electra Girl's Hawaii 1 (16-inch) - 2015/2016"/>
    <x v="0"/>
  </r>
  <r>
    <n v="9"/>
    <n v="1"/>
    <n v="7"/>
    <n v="2"/>
    <n v="3999.99"/>
    <n v="0.1"/>
    <n v="7999.8799999999992"/>
    <s v="Trek Slash 8 27.5 - 2016"/>
    <x v="1"/>
  </r>
  <r>
    <n v="10"/>
    <n v="1"/>
    <n v="14"/>
    <n v="1"/>
    <n v="269.99"/>
    <n v="0.1"/>
    <n v="269.89"/>
    <s v="Electra Girl's Hawaii 1 (16-inch) - 2015/2016"/>
    <x v="2"/>
  </r>
  <r>
    <n v="11"/>
    <n v="1"/>
    <n v="8"/>
    <n v="1"/>
    <n v="1799.99"/>
    <n v="0.05"/>
    <n v="1799.94"/>
    <s v="Trek Remedy 29 Carbon Frameset - 2016"/>
    <x v="2"/>
  </r>
  <r>
    <n v="12"/>
    <n v="1"/>
    <n v="4"/>
    <n v="2"/>
    <n v="2899.99"/>
    <n v="0.1"/>
    <n v="5799.8799999999992"/>
    <s v="Trek Fuel EX 8 29 - 2016"/>
    <x v="3"/>
  </r>
  <r>
    <n v="13"/>
    <n v="1"/>
    <n v="13"/>
    <n v="1"/>
    <n v="269.99"/>
    <n v="0.1"/>
    <n v="269.89"/>
    <s v="Electra Cruiser 1 (24-Inch) - 2016"/>
    <x v="3"/>
  </r>
  <r>
    <n v="14"/>
    <n v="1"/>
    <n v="6"/>
    <n v="1"/>
    <n v="469.99"/>
    <n v="7.0000000000000007E-2"/>
    <n v="469.92"/>
    <s v="Surly Ice Cream Truck Frameset - 2016"/>
    <x v="3"/>
  </r>
  <r>
    <n v="15"/>
    <n v="1"/>
    <n v="12"/>
    <n v="2"/>
    <n v="549.99"/>
    <n v="7.0000000000000007E-2"/>
    <n v="1099.9100000000001"/>
    <s v="Electra Townie Original 21D - 2016"/>
    <x v="3"/>
  </r>
  <r>
    <n v="16"/>
    <n v="1"/>
    <n v="8"/>
    <n v="1"/>
    <n v="1799.99"/>
    <n v="0.2"/>
    <n v="1799.79"/>
    <s v="Trek Remedy 29 Carbon Frameset - 2016"/>
    <x v="3"/>
  </r>
  <r>
    <n v="17"/>
    <n v="1"/>
    <n v="8"/>
    <n v="1"/>
    <n v="1799.99"/>
    <n v="7.0000000000000007E-2"/>
    <n v="1799.92"/>
    <s v="Trek Remedy 29 Carbon Frameset - 2016"/>
    <x v="3"/>
  </r>
  <r>
    <n v="18"/>
    <n v="1"/>
    <n v="2"/>
    <n v="2"/>
    <n v="749.99"/>
    <n v="0.2"/>
    <n v="1499.78"/>
    <s v="Ritchey Timberwolf Frameset - 2016"/>
    <x v="3"/>
  </r>
  <r>
    <n v="19"/>
    <n v="1"/>
    <n v="10"/>
    <n v="1"/>
    <n v="1549"/>
    <n v="7.0000000000000007E-2"/>
    <n v="1548.93"/>
    <s v="Surly Straggler - 2016"/>
    <x v="3"/>
  </r>
  <r>
    <n v="20"/>
    <n v="1"/>
    <n v="9"/>
    <n v="1"/>
    <n v="2999.99"/>
    <n v="7.0000000000000007E-2"/>
    <n v="2999.9199999999996"/>
    <s v="Trek Conduit+ - 2016"/>
    <x v="3"/>
  </r>
  <r>
    <n v="21"/>
    <n v="1"/>
    <n v="14"/>
    <n v="1"/>
    <n v="269.99"/>
    <n v="0.05"/>
    <n v="269.94"/>
    <s v="Electra Girl's Hawaii 1 (16-inch) - 2015/2016"/>
    <x v="4"/>
  </r>
  <r>
    <n v="22"/>
    <n v="1"/>
    <n v="15"/>
    <n v="2"/>
    <n v="529.99"/>
    <n v="0.2"/>
    <n v="1059.78"/>
    <s v="Electra Moto 1 - 2016"/>
    <x v="4"/>
  </r>
  <r>
    <n v="23"/>
    <n v="1"/>
    <n v="4"/>
    <n v="2"/>
    <n v="2899.99"/>
    <n v="0.05"/>
    <n v="5799.9299999999994"/>
    <s v="Trek Fuel EX 8 29 - 2016"/>
    <x v="4"/>
  </r>
  <r>
    <n v="24"/>
    <n v="1"/>
    <n v="3"/>
    <n v="2"/>
    <n v="999.99"/>
    <n v="0.1"/>
    <n v="1999.88"/>
    <s v="Surly Wednesday Frameset - 2016"/>
    <x v="5"/>
  </r>
  <r>
    <n v="25"/>
    <n v="1"/>
    <n v="23"/>
    <n v="2"/>
    <n v="299.99"/>
    <n v="0.2"/>
    <n v="599.78"/>
    <s v="Electra Girl's Hawaii 1 (20-inch) - 2015/2016"/>
    <x v="5"/>
  </r>
  <r>
    <n v="26"/>
    <n v="1"/>
    <n v="7"/>
    <n v="1"/>
    <n v="3999.99"/>
    <n v="0.05"/>
    <n v="3999.9399999999996"/>
    <s v="Trek Slash 8 27.5 - 2016"/>
    <x v="5"/>
  </r>
  <r>
    <n v="27"/>
    <n v="1"/>
    <n v="5"/>
    <n v="1"/>
    <n v="1320.99"/>
    <n v="0.2"/>
    <n v="1320.79"/>
    <s v="Heller Shagamaw Frame - 2016"/>
    <x v="0"/>
  </r>
  <r>
    <n v="28"/>
    <n v="1"/>
    <n v="5"/>
    <n v="1"/>
    <n v="1320.99"/>
    <n v="0.05"/>
    <n v="1320.94"/>
    <s v="Heller Shagamaw Frame - 2016"/>
    <x v="0"/>
  </r>
  <r>
    <n v="29"/>
    <n v="1"/>
    <n v="24"/>
    <n v="2"/>
    <n v="549.99"/>
    <n v="0.05"/>
    <n v="1099.93"/>
    <s v="Electra Townie Original 21D - 2016"/>
    <x v="0"/>
  </r>
  <r>
    <n v="30"/>
    <n v="1"/>
    <n v="26"/>
    <n v="1"/>
    <n v="599.99"/>
    <n v="0.05"/>
    <n v="599.94000000000005"/>
    <s v="Electra Townie Original 7D EQ - 2016"/>
    <x v="0"/>
  </r>
  <r>
    <n v="31"/>
    <n v="1"/>
    <n v="11"/>
    <n v="2"/>
    <n v="1680.99"/>
    <n v="0.05"/>
    <n v="3361.93"/>
    <s v="Surly Straggler 650b - 2016"/>
    <x v="0"/>
  </r>
  <r>
    <n v="32"/>
    <n v="1"/>
    <n v="8"/>
    <n v="2"/>
    <n v="1799.99"/>
    <n v="7.0000000000000007E-2"/>
    <n v="3599.91"/>
    <s v="Trek Remedy 29 Carbon Frameset - 2016"/>
    <x v="0"/>
  </r>
  <r>
    <n v="33"/>
    <n v="1"/>
    <n v="23"/>
    <n v="2"/>
    <n v="299.99"/>
    <n v="7.0000000000000007E-2"/>
    <n v="599.91"/>
    <s v="Electra Girl's Hawaii 1 (20-inch) - 2015/2016"/>
    <x v="0"/>
  </r>
  <r>
    <n v="34"/>
    <n v="1"/>
    <n v="8"/>
    <n v="2"/>
    <n v="1799.99"/>
    <n v="7.0000000000000007E-2"/>
    <n v="3599.91"/>
    <s v="Trek Remedy 29 Carbon Frameset - 2016"/>
    <x v="0"/>
  </r>
  <r>
    <n v="35"/>
    <n v="1"/>
    <n v="18"/>
    <n v="1"/>
    <n v="449"/>
    <n v="0.05"/>
    <n v="448.95"/>
    <s v="Pure Cycles Western 3-Speed - Women's - 2015/2016"/>
    <x v="0"/>
  </r>
  <r>
    <n v="36"/>
    <n v="1"/>
    <n v="9"/>
    <n v="1"/>
    <n v="2999.99"/>
    <n v="7.0000000000000007E-2"/>
    <n v="2999.9199999999996"/>
    <s v="Trek Conduit+ - 2016"/>
    <x v="0"/>
  </r>
  <r>
    <n v="37"/>
    <n v="1"/>
    <n v="16"/>
    <n v="2"/>
    <n v="599.99"/>
    <n v="0.05"/>
    <n v="1199.93"/>
    <s v="Electra Townie Original 7D EQ - 2016"/>
    <x v="0"/>
  </r>
  <r>
    <n v="38"/>
    <n v="1"/>
    <n v="7"/>
    <n v="2"/>
    <n v="3999.99"/>
    <n v="0.05"/>
    <n v="7999.9299999999994"/>
    <s v="Trek Slash 8 27.5 - 2016"/>
    <x v="0"/>
  </r>
  <r>
    <n v="39"/>
    <n v="1"/>
    <n v="22"/>
    <n v="2"/>
    <n v="269.99"/>
    <n v="0.2"/>
    <n v="539.78"/>
    <s v="Electra Girl's Hawaii 1 (16-inch) - 2015/2016"/>
    <x v="0"/>
  </r>
  <r>
    <n v="40"/>
    <n v="1"/>
    <n v="17"/>
    <n v="1"/>
    <n v="429"/>
    <n v="0.2"/>
    <n v="428.8"/>
    <s v="Pure Cycles Vine 8-Speed - 2016"/>
    <x v="0"/>
  </r>
  <r>
    <n v="41"/>
    <n v="1"/>
    <n v="5"/>
    <n v="1"/>
    <n v="1320.99"/>
    <n v="0.1"/>
    <n v="1320.89"/>
    <s v="Heller Shagamaw Frame - 2016"/>
    <x v="0"/>
  </r>
  <r>
    <n v="42"/>
    <n v="1"/>
    <n v="19"/>
    <n v="1"/>
    <n v="449"/>
    <n v="0.05"/>
    <n v="448.95"/>
    <s v="Pure Cycles William 3-Speed - 2016"/>
    <x v="0"/>
  </r>
  <r>
    <n v="43"/>
    <n v="1"/>
    <n v="13"/>
    <n v="2"/>
    <n v="269.99"/>
    <n v="0.1"/>
    <n v="539.88"/>
    <s v="Electra Cruiser 1 (24-Inch) - 2016"/>
    <x v="0"/>
  </r>
  <r>
    <n v="44"/>
    <n v="1"/>
    <n v="7"/>
    <n v="1"/>
    <n v="3999.99"/>
    <n v="0.1"/>
    <n v="3999.89"/>
    <s v="Trek Slash 8 27.5 - 2016"/>
    <x v="0"/>
  </r>
  <r>
    <n v="45"/>
    <n v="1"/>
    <n v="4"/>
    <n v="2"/>
    <n v="2899.99"/>
    <n v="0.2"/>
    <n v="5799.78"/>
    <s v="Trek Fuel EX 8 29 - 2016"/>
    <x v="0"/>
  </r>
  <r>
    <n v="46"/>
    <n v="1"/>
    <n v="17"/>
    <n v="1"/>
    <n v="429"/>
    <n v="0.1"/>
    <n v="428.9"/>
    <s v="Pure Cycles Vine 8-Speed - 2016"/>
    <x v="0"/>
  </r>
  <r>
    <n v="47"/>
    <n v="1"/>
    <n v="6"/>
    <n v="1"/>
    <n v="469.99"/>
    <n v="0.05"/>
    <n v="469.94"/>
    <s v="Surly Ice Cream Truck Frameset - 2016"/>
    <x v="0"/>
  </r>
  <r>
    <n v="48"/>
    <n v="1"/>
    <n v="11"/>
    <n v="1"/>
    <n v="1680.99"/>
    <n v="0.1"/>
    <n v="1680.89"/>
    <s v="Surly Straggler 650b - 2016"/>
    <x v="6"/>
  </r>
  <r>
    <n v="49"/>
    <n v="1"/>
    <n v="13"/>
    <n v="2"/>
    <n v="269.99"/>
    <n v="7.0000000000000007E-2"/>
    <n v="539.91"/>
    <s v="Electra Cruiser 1 (24-Inch) - 2016"/>
    <x v="6"/>
  </r>
  <r>
    <n v="50"/>
    <n v="1"/>
    <n v="3"/>
    <n v="1"/>
    <n v="999.99"/>
    <n v="0.05"/>
    <n v="999.94"/>
    <s v="Surly Wednesday Frameset - 2016"/>
    <x v="6"/>
  </r>
  <r>
    <n v="51"/>
    <n v="1"/>
    <n v="13"/>
    <n v="1"/>
    <n v="269.99"/>
    <n v="0.05"/>
    <n v="269.94"/>
    <s v="Electra Cruiser 1 (24-Inch) - 2016"/>
    <x v="6"/>
  </r>
  <r>
    <n v="52"/>
    <n v="1"/>
    <n v="25"/>
    <n v="1"/>
    <n v="499.99"/>
    <n v="7.0000000000000007E-2"/>
    <n v="499.92"/>
    <s v="Electra Townie Original 7D - 2015/2016"/>
    <x v="6"/>
  </r>
  <r>
    <n v="53"/>
    <n v="1"/>
    <n v="8"/>
    <n v="2"/>
    <n v="1799.99"/>
    <n v="0.2"/>
    <n v="3599.78"/>
    <s v="Trek Remedy 29 Carbon Frameset - 2016"/>
    <x v="6"/>
  </r>
  <r>
    <n v="54"/>
    <n v="1"/>
    <n v="26"/>
    <n v="2"/>
    <n v="599.99"/>
    <n v="0.2"/>
    <n v="1199.78"/>
    <s v="Electra Townie Original 7D EQ - 2016"/>
    <x v="6"/>
  </r>
  <r>
    <n v="55"/>
    <n v="1"/>
    <n v="21"/>
    <n v="1"/>
    <n v="269.99"/>
    <n v="0.05"/>
    <n v="269.94"/>
    <s v="Electra Cruiser 1 (24-Inch) - 2016"/>
    <x v="6"/>
  </r>
  <r>
    <n v="56"/>
    <n v="1"/>
    <n v="20"/>
    <n v="2"/>
    <n v="599.99"/>
    <n v="7.0000000000000007E-2"/>
    <n v="1199.9100000000001"/>
    <s v="Electra Townie Original 7D EQ - Women's - 2016"/>
    <x v="6"/>
  </r>
  <r>
    <n v="57"/>
    <n v="1"/>
    <n v="23"/>
    <n v="2"/>
    <n v="299.99"/>
    <n v="0.1"/>
    <n v="599.88"/>
    <s v="Electra Girl's Hawaii 1 (20-inch) - 2015/2016"/>
    <x v="6"/>
  </r>
  <r>
    <n v="58"/>
    <n v="1"/>
    <n v="14"/>
    <n v="2"/>
    <n v="269.99"/>
    <n v="0.05"/>
    <n v="539.93000000000006"/>
    <s v="Electra Girl's Hawaii 1 (16-inch) - 2015/2016"/>
    <x v="6"/>
  </r>
  <r>
    <n v="59"/>
    <n v="1"/>
    <n v="21"/>
    <n v="1"/>
    <n v="269.99"/>
    <n v="0.05"/>
    <n v="269.94"/>
    <s v="Electra Cruiser 1 (24-Inch) - 2016"/>
    <x v="6"/>
  </r>
  <r>
    <n v="60"/>
    <n v="1"/>
    <n v="14"/>
    <n v="2"/>
    <n v="269.99"/>
    <n v="0.05"/>
    <n v="539.93000000000006"/>
    <s v="Electra Girl's Hawaii 1 (16-inch) - 2015/2016"/>
    <x v="1"/>
  </r>
  <r>
    <n v="61"/>
    <n v="1"/>
    <n v="25"/>
    <n v="1"/>
    <n v="499.99"/>
    <n v="0.1"/>
    <n v="499.89"/>
    <s v="Electra Townie Original 7D - 2015/2016"/>
    <x v="1"/>
  </r>
  <r>
    <n v="62"/>
    <n v="1"/>
    <n v="14"/>
    <n v="1"/>
    <n v="269.99"/>
    <n v="7.0000000000000007E-2"/>
    <n v="269.92"/>
    <s v="Electra Girl's Hawaii 1 (16-inch) - 2015/2016"/>
    <x v="2"/>
  </r>
  <r>
    <n v="63"/>
    <n v="1"/>
    <n v="25"/>
    <n v="2"/>
    <n v="499.99"/>
    <n v="0.1"/>
    <n v="999.88"/>
    <s v="Electra Townie Original 7D - 2015/2016"/>
    <x v="2"/>
  </r>
  <r>
    <n v="64"/>
    <n v="1"/>
    <n v="25"/>
    <n v="2"/>
    <n v="499.99"/>
    <n v="0.1"/>
    <n v="999.88"/>
    <s v="Electra Townie Original 7D - 2015/2016"/>
    <x v="3"/>
  </r>
  <r>
    <n v="65"/>
    <n v="1"/>
    <n v="12"/>
    <n v="1"/>
    <n v="549.99"/>
    <n v="0.1"/>
    <n v="549.89"/>
    <s v="Electra Townie Original 21D - 2016"/>
    <x v="3"/>
  </r>
  <r>
    <n v="66"/>
    <n v="1"/>
    <n v="2"/>
    <n v="1"/>
    <n v="749.99"/>
    <n v="0.2"/>
    <n v="749.79"/>
    <s v="Ritchey Timberwolf Frameset - 2016"/>
    <x v="3"/>
  </r>
  <r>
    <n v="67"/>
    <n v="1"/>
    <n v="23"/>
    <n v="2"/>
    <n v="299.99"/>
    <n v="0.2"/>
    <n v="599.78"/>
    <s v="Electra Girl's Hawaii 1 (20-inch) - 2015/2016"/>
    <x v="3"/>
  </r>
  <r>
    <n v="68"/>
    <n v="1"/>
    <n v="13"/>
    <n v="2"/>
    <n v="269.99"/>
    <n v="7.0000000000000007E-2"/>
    <n v="539.91"/>
    <s v="Electra Cruiser 1 (24-Inch) - 2016"/>
    <x v="3"/>
  </r>
  <r>
    <n v="69"/>
    <n v="1"/>
    <n v="22"/>
    <n v="2"/>
    <n v="269.99"/>
    <n v="0.1"/>
    <n v="539.88"/>
    <s v="Electra Girl's Hawaii 1 (16-inch) - 2015/2016"/>
    <x v="3"/>
  </r>
  <r>
    <n v="70"/>
    <n v="1"/>
    <n v="3"/>
    <n v="2"/>
    <n v="999.99"/>
    <n v="0.05"/>
    <n v="1999.93"/>
    <s v="Surly Wednesday Frameset - 2016"/>
    <x v="3"/>
  </r>
  <r>
    <n v="71"/>
    <n v="1"/>
    <n v="26"/>
    <n v="2"/>
    <n v="599.99"/>
    <n v="0.05"/>
    <n v="1199.93"/>
    <s v="Electra Townie Original 7D EQ - 2016"/>
    <x v="3"/>
  </r>
  <r>
    <n v="72"/>
    <n v="1"/>
    <n v="17"/>
    <n v="2"/>
    <n v="429"/>
    <n v="7.0000000000000007E-2"/>
    <n v="857.93"/>
    <s v="Pure Cycles Vine 8-Speed - 2016"/>
    <x v="3"/>
  </r>
  <r>
    <n v="73"/>
    <n v="1"/>
    <n v="22"/>
    <n v="1"/>
    <n v="269.99"/>
    <n v="7.0000000000000007E-2"/>
    <n v="269.92"/>
    <s v="Electra Girl's Hawaii 1 (16-inch) - 2015/2016"/>
    <x v="3"/>
  </r>
  <r>
    <n v="74"/>
    <n v="1"/>
    <n v="16"/>
    <n v="2"/>
    <n v="599.99"/>
    <n v="0.05"/>
    <n v="1199.93"/>
    <s v="Electra Townie Original 7D EQ - 2016"/>
    <x v="3"/>
  </r>
  <r>
    <n v="75"/>
    <n v="1"/>
    <n v="3"/>
    <n v="1"/>
    <n v="999.99"/>
    <n v="0.1"/>
    <n v="999.89"/>
    <s v="Surly Wednesday Frameset - 2016"/>
    <x v="3"/>
  </r>
  <r>
    <n v="76"/>
    <n v="1"/>
    <n v="12"/>
    <n v="1"/>
    <n v="549.99"/>
    <n v="0.05"/>
    <n v="549.94000000000005"/>
    <s v="Electra Townie Original 21D - 2016"/>
    <x v="3"/>
  </r>
  <r>
    <n v="77"/>
    <n v="1"/>
    <n v="20"/>
    <n v="1"/>
    <n v="599.99"/>
    <n v="7.0000000000000007E-2"/>
    <n v="599.91999999999996"/>
    <s v="Electra Townie Original 7D EQ - Women's - 2016"/>
    <x v="3"/>
  </r>
  <r>
    <n v="78"/>
    <n v="1"/>
    <n v="17"/>
    <n v="1"/>
    <n v="429"/>
    <n v="7.0000000000000007E-2"/>
    <n v="428.93"/>
    <s v="Pure Cycles Vine 8-Speed - 2016"/>
    <x v="3"/>
  </r>
  <r>
    <n v="79"/>
    <n v="1"/>
    <n v="9"/>
    <n v="2"/>
    <n v="2999.99"/>
    <n v="0.1"/>
    <n v="5999.8799999999992"/>
    <s v="Trek Conduit+ - 2016"/>
    <x v="3"/>
  </r>
  <r>
    <n v="80"/>
    <n v="1"/>
    <n v="26"/>
    <n v="1"/>
    <n v="599.99"/>
    <n v="0.1"/>
    <n v="599.89"/>
    <s v="Electra Townie Original 7D EQ - 2016"/>
    <x v="3"/>
  </r>
  <r>
    <n v="81"/>
    <n v="1"/>
    <n v="10"/>
    <n v="2"/>
    <n v="1549"/>
    <n v="0.2"/>
    <n v="3097.8"/>
    <s v="Surly Straggler - 2016"/>
    <x v="3"/>
  </r>
  <r>
    <n v="82"/>
    <n v="1"/>
    <n v="25"/>
    <n v="2"/>
    <n v="499.99"/>
    <n v="0.1"/>
    <n v="999.88"/>
    <s v="Electra Townie Original 7D - 2015/2016"/>
    <x v="3"/>
  </r>
  <r>
    <n v="83"/>
    <n v="1"/>
    <n v="20"/>
    <n v="1"/>
    <n v="599.99"/>
    <n v="0.2"/>
    <n v="599.79"/>
    <s v="Electra Townie Original 7D EQ - Women's - 2016"/>
    <x v="4"/>
  </r>
  <r>
    <n v="84"/>
    <n v="1"/>
    <n v="23"/>
    <n v="2"/>
    <n v="299.99"/>
    <n v="7.0000000000000007E-2"/>
    <n v="599.91"/>
    <s v="Electra Girl's Hawaii 1 (20-inch) - 2015/2016"/>
    <x v="4"/>
  </r>
  <r>
    <n v="85"/>
    <n v="1"/>
    <n v="4"/>
    <n v="2"/>
    <n v="2899.99"/>
    <n v="0.05"/>
    <n v="5799.9299999999994"/>
    <s v="Trek Fuel EX 8 29 - 2016"/>
    <x v="4"/>
  </r>
  <r>
    <n v="86"/>
    <n v="1"/>
    <n v="9"/>
    <n v="2"/>
    <n v="2999.99"/>
    <n v="0.1"/>
    <n v="5999.8799999999992"/>
    <s v="Trek Conduit+ - 2016"/>
    <x v="4"/>
  </r>
  <r>
    <n v="87"/>
    <n v="1"/>
    <n v="20"/>
    <n v="2"/>
    <n v="599.99"/>
    <n v="0.2"/>
    <n v="1199.78"/>
    <s v="Electra Townie Original 7D EQ - Women's - 2016"/>
    <x v="4"/>
  </r>
  <r>
    <n v="88"/>
    <n v="1"/>
    <n v="10"/>
    <n v="1"/>
    <n v="1549"/>
    <n v="7.0000000000000007E-2"/>
    <n v="1548.93"/>
    <s v="Surly Straggler - 2016"/>
    <x v="4"/>
  </r>
  <r>
    <n v="89"/>
    <n v="1"/>
    <n v="5"/>
    <n v="1"/>
    <n v="1320.99"/>
    <n v="0.05"/>
    <n v="1320.94"/>
    <s v="Heller Shagamaw Frame - 2016"/>
    <x v="4"/>
  </r>
  <r>
    <n v="90"/>
    <n v="1"/>
    <n v="3"/>
    <n v="1"/>
    <n v="999.99"/>
    <n v="0.1"/>
    <n v="999.89"/>
    <s v="Surly Wednesday Frameset - 2016"/>
    <x v="4"/>
  </r>
  <r>
    <n v="91"/>
    <n v="1"/>
    <n v="11"/>
    <n v="1"/>
    <n v="1680.99"/>
    <n v="0.1"/>
    <n v="1680.89"/>
    <s v="Surly Straggler 650b - 2016"/>
    <x v="4"/>
  </r>
  <r>
    <n v="92"/>
    <n v="1"/>
    <n v="8"/>
    <n v="1"/>
    <n v="1799.99"/>
    <n v="0.1"/>
    <n v="1799.89"/>
    <s v="Trek Remedy 29 Carbon Frameset - 2016"/>
    <x v="4"/>
  </r>
  <r>
    <n v="93"/>
    <n v="1"/>
    <n v="22"/>
    <n v="2"/>
    <n v="269.99"/>
    <n v="7.0000000000000007E-2"/>
    <n v="539.91"/>
    <s v="Electra Girl's Hawaii 1 (16-inch) - 2015/2016"/>
    <x v="4"/>
  </r>
  <r>
    <n v="94"/>
    <n v="1"/>
    <n v="12"/>
    <n v="1"/>
    <n v="549.99"/>
    <n v="0.05"/>
    <n v="549.94000000000005"/>
    <s v="Electra Townie Original 21D - 2016"/>
    <x v="4"/>
  </r>
  <r>
    <n v="95"/>
    <n v="1"/>
    <n v="10"/>
    <n v="2"/>
    <n v="1549"/>
    <n v="0.2"/>
    <n v="3097.8"/>
    <s v="Surly Straggler - 2016"/>
    <x v="4"/>
  </r>
  <r>
    <n v="96"/>
    <n v="1"/>
    <n v="26"/>
    <n v="1"/>
    <n v="599.99"/>
    <n v="0.1"/>
    <n v="599.89"/>
    <s v="Electra Townie Original 7D EQ - 2016"/>
    <x v="4"/>
  </r>
  <r>
    <n v="97"/>
    <n v="1"/>
    <n v="20"/>
    <n v="2"/>
    <n v="599.99"/>
    <n v="0.2"/>
    <n v="1199.78"/>
    <s v="Electra Townie Original 7D EQ - Women's - 2016"/>
    <x v="4"/>
  </r>
  <r>
    <n v="98"/>
    <n v="1"/>
    <n v="19"/>
    <n v="1"/>
    <n v="449"/>
    <n v="7.0000000000000007E-2"/>
    <n v="448.93"/>
    <s v="Pure Cycles William 3-Speed - 2016"/>
    <x v="4"/>
  </r>
  <r>
    <n v="99"/>
    <n v="1"/>
    <n v="13"/>
    <n v="1"/>
    <n v="269.99"/>
    <n v="0.2"/>
    <n v="269.79000000000002"/>
    <s v="Electra Cruiser 1 (24-Inch) - 2016"/>
    <x v="4"/>
  </r>
  <r>
    <n v="100"/>
    <n v="1"/>
    <n v="12"/>
    <n v="2"/>
    <n v="549.99"/>
    <n v="0.05"/>
    <n v="1099.93"/>
    <s v="Electra Townie Original 21D - 2016"/>
    <x v="4"/>
  </r>
  <r>
    <n v="101"/>
    <n v="1"/>
    <n v="12"/>
    <n v="2"/>
    <n v="549.99"/>
    <n v="0.2"/>
    <n v="1099.78"/>
    <s v="Electra Townie Original 21D - 2016"/>
    <x v="4"/>
  </r>
  <r>
    <n v="102"/>
    <n v="1"/>
    <n v="15"/>
    <n v="1"/>
    <n v="529.99"/>
    <n v="0.05"/>
    <n v="529.94000000000005"/>
    <s v="Electra Moto 1 - 2016"/>
    <x v="5"/>
  </r>
  <r>
    <n v="103"/>
    <n v="1"/>
    <n v="17"/>
    <n v="1"/>
    <n v="429"/>
    <n v="7.0000000000000007E-2"/>
    <n v="428.93"/>
    <s v="Pure Cycles Vine 8-Speed - 2016"/>
    <x v="5"/>
  </r>
  <r>
    <n v="104"/>
    <n v="1"/>
    <n v="19"/>
    <n v="2"/>
    <n v="449"/>
    <n v="0.1"/>
    <n v="897.9"/>
    <s v="Pure Cycles William 3-Speed - 2016"/>
    <x v="5"/>
  </r>
  <r>
    <n v="105"/>
    <n v="1"/>
    <n v="11"/>
    <n v="2"/>
    <n v="1680.99"/>
    <n v="0.2"/>
    <n v="3361.78"/>
    <s v="Surly Straggler 650b - 2016"/>
    <x v="5"/>
  </r>
  <r>
    <n v="106"/>
    <n v="1"/>
    <n v="17"/>
    <n v="1"/>
    <n v="429"/>
    <n v="0.1"/>
    <n v="428.9"/>
    <s v="Pure Cycles Vine 8-Speed - 2016"/>
    <x v="5"/>
  </r>
  <r>
    <n v="107"/>
    <n v="1"/>
    <n v="19"/>
    <n v="1"/>
    <n v="449"/>
    <n v="0.2"/>
    <n v="448.8"/>
    <s v="Pure Cycles William 3-Speed - 2016"/>
    <x v="5"/>
  </r>
  <r>
    <n v="108"/>
    <n v="1"/>
    <n v="11"/>
    <n v="1"/>
    <n v="1680.99"/>
    <n v="0.1"/>
    <n v="1680.89"/>
    <s v="Surly Straggler 650b - 2016"/>
    <x v="5"/>
  </r>
  <r>
    <n v="109"/>
    <n v="1"/>
    <n v="22"/>
    <n v="2"/>
    <n v="269.99"/>
    <n v="0.1"/>
    <n v="539.88"/>
    <s v="Electra Girl's Hawaii 1 (16-inch) - 2015/2016"/>
    <x v="5"/>
  </r>
  <r>
    <n v="110"/>
    <n v="1"/>
    <n v="14"/>
    <n v="1"/>
    <n v="269.99"/>
    <n v="0.1"/>
    <n v="269.89"/>
    <s v="Electra Girl's Hawaii 1 (16-inch) - 2015/2016"/>
    <x v="5"/>
  </r>
  <r>
    <n v="111"/>
    <n v="1"/>
    <n v="14"/>
    <n v="1"/>
    <n v="269.99"/>
    <n v="0.1"/>
    <n v="269.89"/>
    <s v="Electra Girl's Hawaii 1 (16-inch) - 2015/2016"/>
    <x v="5"/>
  </r>
  <r>
    <n v="112"/>
    <n v="1"/>
    <n v="23"/>
    <n v="2"/>
    <n v="299.99"/>
    <n v="0.2"/>
    <n v="599.78"/>
    <s v="Electra Girl's Hawaii 1 (20-inch) - 2015/2016"/>
    <x v="0"/>
  </r>
  <r>
    <n v="113"/>
    <n v="1"/>
    <n v="12"/>
    <n v="2"/>
    <n v="549.99"/>
    <n v="7.0000000000000007E-2"/>
    <n v="1099.9100000000001"/>
    <s v="Electra Townie Original 21D - 2016"/>
    <x v="0"/>
  </r>
  <r>
    <n v="114"/>
    <n v="1"/>
    <n v="12"/>
    <n v="1"/>
    <n v="549.99"/>
    <n v="0.05"/>
    <n v="549.94000000000005"/>
    <s v="Electra Townie Original 21D - 2016"/>
    <x v="0"/>
  </r>
  <r>
    <n v="115"/>
    <n v="1"/>
    <n v="22"/>
    <n v="1"/>
    <n v="269.99"/>
    <n v="0.2"/>
    <n v="269.79000000000002"/>
    <s v="Electra Girl's Hawaii 1 (16-inch) - 2015/2016"/>
    <x v="0"/>
  </r>
  <r>
    <n v="116"/>
    <n v="1"/>
    <n v="26"/>
    <n v="1"/>
    <n v="599.99"/>
    <n v="0.05"/>
    <n v="599.94000000000005"/>
    <s v="Electra Townie Original 7D EQ - 2016"/>
    <x v="0"/>
  </r>
  <r>
    <n v="117"/>
    <n v="1"/>
    <n v="22"/>
    <n v="2"/>
    <n v="269.99"/>
    <n v="0.2"/>
    <n v="539.78"/>
    <s v="Electra Girl's Hawaii 1 (16-inch) - 2015/2016"/>
    <x v="0"/>
  </r>
  <r>
    <n v="118"/>
    <n v="1"/>
    <n v="18"/>
    <n v="1"/>
    <n v="449"/>
    <n v="7.0000000000000007E-2"/>
    <n v="448.93"/>
    <s v="Pure Cycles Western 3-Speed - Women's - 2015/2016"/>
    <x v="0"/>
  </r>
  <r>
    <n v="119"/>
    <n v="1"/>
    <n v="25"/>
    <n v="1"/>
    <n v="499.99"/>
    <n v="0.05"/>
    <n v="499.94"/>
    <s v="Electra Townie Original 7D - 2015/2016"/>
    <x v="0"/>
  </r>
  <r>
    <n v="120"/>
    <n v="1"/>
    <n v="13"/>
    <n v="2"/>
    <n v="269.99"/>
    <n v="0.05"/>
    <n v="539.93000000000006"/>
    <s v="Electra Cruiser 1 (24-Inch) - 2016"/>
    <x v="0"/>
  </r>
  <r>
    <n v="121"/>
    <n v="1"/>
    <n v="5"/>
    <n v="1"/>
    <n v="1320.99"/>
    <n v="0.2"/>
    <n v="1320.79"/>
    <s v="Heller Shagamaw Frame - 2016"/>
    <x v="0"/>
  </r>
  <r>
    <n v="122"/>
    <n v="1"/>
    <n v="16"/>
    <n v="1"/>
    <n v="599.99"/>
    <n v="0.1"/>
    <n v="599.89"/>
    <s v="Electra Townie Original 7D EQ - 2016"/>
    <x v="0"/>
  </r>
  <r>
    <n v="123"/>
    <n v="1"/>
    <n v="12"/>
    <n v="2"/>
    <n v="549.99"/>
    <n v="0.1"/>
    <n v="1099.8800000000001"/>
    <s v="Electra Townie Original 21D - 2016"/>
    <x v="0"/>
  </r>
  <r>
    <n v="124"/>
    <n v="1"/>
    <n v="16"/>
    <n v="1"/>
    <n v="599.99"/>
    <n v="0.05"/>
    <n v="599.94000000000005"/>
    <s v="Electra Townie Original 7D EQ - 2016"/>
    <x v="0"/>
  </r>
  <r>
    <n v="125"/>
    <n v="1"/>
    <n v="17"/>
    <n v="1"/>
    <n v="429"/>
    <n v="0.1"/>
    <n v="428.9"/>
    <s v="Pure Cycles Vine 8-Speed - 2016"/>
    <x v="0"/>
  </r>
  <r>
    <n v="126"/>
    <n v="1"/>
    <n v="9"/>
    <n v="2"/>
    <n v="2999.99"/>
    <n v="0.05"/>
    <n v="5999.9299999999994"/>
    <s v="Trek Conduit+ - 2016"/>
    <x v="0"/>
  </r>
  <r>
    <n v="127"/>
    <n v="1"/>
    <n v="17"/>
    <n v="1"/>
    <n v="429"/>
    <n v="7.0000000000000007E-2"/>
    <n v="428.93"/>
    <s v="Pure Cycles Vine 8-Speed - 2016"/>
    <x v="0"/>
  </r>
  <r>
    <n v="128"/>
    <n v="1"/>
    <n v="24"/>
    <n v="2"/>
    <n v="549.99"/>
    <n v="0.1"/>
    <n v="1099.8800000000001"/>
    <s v="Electra Townie Original 21D - 2016"/>
    <x v="0"/>
  </r>
  <r>
    <n v="129"/>
    <n v="1"/>
    <n v="18"/>
    <n v="1"/>
    <n v="449"/>
    <n v="0.1"/>
    <n v="448.9"/>
    <s v="Pure Cycles Western 3-Speed - Women's - 2015/2016"/>
    <x v="0"/>
  </r>
  <r>
    <n v="130"/>
    <n v="1"/>
    <n v="26"/>
    <n v="1"/>
    <n v="599.99"/>
    <n v="0.05"/>
    <n v="599.94000000000005"/>
    <s v="Electra Townie Original 7D EQ - 2016"/>
    <x v="0"/>
  </r>
  <r>
    <n v="131"/>
    <n v="1"/>
    <n v="22"/>
    <n v="2"/>
    <n v="269.99"/>
    <n v="0.2"/>
    <n v="539.78"/>
    <s v="Electra Girl's Hawaii 1 (16-inch) - 2015/2016"/>
    <x v="0"/>
  </r>
  <r>
    <n v="132"/>
    <n v="1"/>
    <n v="2"/>
    <n v="2"/>
    <n v="749.99"/>
    <n v="0.05"/>
    <n v="1499.93"/>
    <s v="Ritchey Timberwolf Frameset - 2016"/>
    <x v="0"/>
  </r>
  <r>
    <n v="133"/>
    <n v="1"/>
    <n v="13"/>
    <n v="2"/>
    <n v="269.99"/>
    <n v="0.05"/>
    <n v="539.93000000000006"/>
    <s v="Electra Cruiser 1 (24-Inch) - 2016"/>
    <x v="0"/>
  </r>
  <r>
    <n v="134"/>
    <n v="1"/>
    <n v="19"/>
    <n v="2"/>
    <n v="449"/>
    <n v="0.1"/>
    <n v="897.9"/>
    <s v="Pure Cycles William 3-Speed - 2016"/>
    <x v="0"/>
  </r>
  <r>
    <n v="135"/>
    <n v="1"/>
    <n v="5"/>
    <n v="2"/>
    <n v="1320.99"/>
    <n v="0.05"/>
    <n v="2641.93"/>
    <s v="Heller Shagamaw Frame - 2016"/>
    <x v="0"/>
  </r>
  <r>
    <n v="136"/>
    <n v="1"/>
    <n v="7"/>
    <n v="2"/>
    <n v="3999.99"/>
    <n v="0.2"/>
    <n v="7999.78"/>
    <s v="Trek Slash 8 27.5 - 2016"/>
    <x v="0"/>
  </r>
  <r>
    <n v="137"/>
    <n v="1"/>
    <n v="23"/>
    <n v="1"/>
    <n v="299.99"/>
    <n v="7.0000000000000007E-2"/>
    <n v="299.92"/>
    <s v="Electra Girl's Hawaii 1 (20-inch) - 2015/2016"/>
    <x v="0"/>
  </r>
  <r>
    <n v="138"/>
    <n v="1"/>
    <n v="16"/>
    <n v="2"/>
    <n v="599.99"/>
    <n v="0.1"/>
    <n v="1199.8800000000001"/>
    <s v="Electra Townie Original 7D EQ - 2016"/>
    <x v="0"/>
  </r>
  <r>
    <n v="139"/>
    <n v="1"/>
    <n v="19"/>
    <n v="2"/>
    <n v="449"/>
    <n v="7.0000000000000007E-2"/>
    <n v="897.93"/>
    <s v="Pure Cycles William 3-Speed - 2016"/>
    <x v="0"/>
  </r>
  <r>
    <n v="140"/>
    <n v="1"/>
    <n v="15"/>
    <n v="1"/>
    <n v="529.99"/>
    <n v="0.2"/>
    <n v="529.79"/>
    <s v="Electra Moto 1 - 2016"/>
    <x v="0"/>
  </r>
  <r>
    <n v="141"/>
    <n v="1"/>
    <n v="18"/>
    <n v="1"/>
    <n v="449"/>
    <n v="0.2"/>
    <n v="448.8"/>
    <s v="Pure Cycles Western 3-Speed - Women's - 2015/2016"/>
    <x v="0"/>
  </r>
  <r>
    <n v="142"/>
    <n v="1"/>
    <n v="16"/>
    <n v="2"/>
    <n v="599.99"/>
    <n v="0.1"/>
    <n v="1199.8800000000001"/>
    <s v="Electra Townie Original 7D EQ - 2016"/>
    <x v="0"/>
  </r>
  <r>
    <n v="143"/>
    <n v="1"/>
    <n v="6"/>
    <n v="1"/>
    <n v="469.99"/>
    <n v="0.2"/>
    <n v="469.79"/>
    <s v="Surly Ice Cream Truck Frameset - 2016"/>
    <x v="6"/>
  </r>
  <r>
    <n v="144"/>
    <n v="1"/>
    <n v="8"/>
    <n v="2"/>
    <n v="1799.99"/>
    <n v="0.05"/>
    <n v="3599.93"/>
    <s v="Trek Remedy 29 Carbon Frameset - 2016"/>
    <x v="6"/>
  </r>
  <r>
    <n v="145"/>
    <n v="1"/>
    <n v="11"/>
    <n v="1"/>
    <n v="1680.99"/>
    <n v="0.2"/>
    <n v="1680.79"/>
    <s v="Surly Straggler 650b - 2016"/>
    <x v="6"/>
  </r>
  <r>
    <n v="146"/>
    <n v="1"/>
    <n v="3"/>
    <n v="2"/>
    <n v="999.99"/>
    <n v="0.2"/>
    <n v="1999.78"/>
    <s v="Surly Wednesday Frameset - 2016"/>
    <x v="6"/>
  </r>
  <r>
    <n v="147"/>
    <n v="1"/>
    <n v="26"/>
    <n v="2"/>
    <n v="599.99"/>
    <n v="0.2"/>
    <n v="1199.78"/>
    <s v="Electra Townie Original 7D EQ - 2016"/>
    <x v="6"/>
  </r>
  <r>
    <n v="148"/>
    <n v="1"/>
    <n v="14"/>
    <n v="1"/>
    <n v="269.99"/>
    <n v="0.05"/>
    <n v="269.94"/>
    <s v="Electra Girl's Hawaii 1 (16-inch) - 2015/2016"/>
    <x v="6"/>
  </r>
  <r>
    <n v="149"/>
    <n v="1"/>
    <n v="12"/>
    <n v="2"/>
    <n v="549.99"/>
    <n v="7.0000000000000007E-2"/>
    <n v="1099.9100000000001"/>
    <s v="Electra Townie Original 21D - 2016"/>
    <x v="6"/>
  </r>
  <r>
    <n v="150"/>
    <n v="1"/>
    <n v="7"/>
    <n v="1"/>
    <n v="3999.99"/>
    <n v="0.1"/>
    <n v="3999.89"/>
    <s v="Trek Slash 8 27.5 - 2016"/>
    <x v="6"/>
  </r>
  <r>
    <n v="151"/>
    <n v="1"/>
    <n v="17"/>
    <n v="1"/>
    <n v="429"/>
    <n v="0.1"/>
    <n v="428.9"/>
    <s v="Pure Cycles Vine 8-Speed - 2016"/>
    <x v="6"/>
  </r>
  <r>
    <n v="152"/>
    <n v="1"/>
    <n v="6"/>
    <n v="2"/>
    <n v="469.99"/>
    <n v="0.2"/>
    <n v="939.78"/>
    <s v="Surly Ice Cream Truck Frameset - 2016"/>
    <x v="6"/>
  </r>
  <r>
    <n v="153"/>
    <n v="1"/>
    <n v="16"/>
    <n v="1"/>
    <n v="599.99"/>
    <n v="7.0000000000000007E-2"/>
    <n v="599.91999999999996"/>
    <s v="Electra Townie Original 7D EQ - 2016"/>
    <x v="6"/>
  </r>
  <r>
    <n v="154"/>
    <n v="1"/>
    <n v="12"/>
    <n v="1"/>
    <n v="549.99"/>
    <n v="0.1"/>
    <n v="549.89"/>
    <s v="Electra Townie Original 21D - 2016"/>
    <x v="6"/>
  </r>
  <r>
    <n v="155"/>
    <n v="1"/>
    <n v="8"/>
    <n v="1"/>
    <n v="1799.99"/>
    <n v="0.1"/>
    <n v="1799.89"/>
    <s v="Trek Remedy 29 Carbon Frameset - 2016"/>
    <x v="6"/>
  </r>
  <r>
    <n v="156"/>
    <n v="1"/>
    <n v="18"/>
    <n v="2"/>
    <n v="449"/>
    <n v="0.2"/>
    <n v="897.8"/>
    <s v="Pure Cycles Western 3-Speed - Women's - 2015/2016"/>
    <x v="6"/>
  </r>
  <r>
    <n v="157"/>
    <n v="1"/>
    <n v="4"/>
    <n v="1"/>
    <n v="2899.99"/>
    <n v="0.1"/>
    <n v="2899.89"/>
    <s v="Trek Fuel EX 8 29 - 2016"/>
    <x v="6"/>
  </r>
  <r>
    <n v="158"/>
    <n v="1"/>
    <n v="24"/>
    <n v="1"/>
    <n v="549.99"/>
    <n v="0.1"/>
    <n v="549.89"/>
    <s v="Electra Townie Original 21D - 2016"/>
    <x v="6"/>
  </r>
  <r>
    <n v="159"/>
    <n v="1"/>
    <n v="13"/>
    <n v="1"/>
    <n v="269.99"/>
    <n v="0.2"/>
    <n v="269.79000000000002"/>
    <s v="Electra Cruiser 1 (24-Inch) - 2016"/>
    <x v="6"/>
  </r>
  <r>
    <n v="160"/>
    <n v="1"/>
    <n v="21"/>
    <n v="1"/>
    <n v="269.99"/>
    <n v="7.0000000000000007E-2"/>
    <n v="269.92"/>
    <s v="Electra Cruiser 1 (24-Inch) - 2016"/>
    <x v="6"/>
  </r>
  <r>
    <n v="161"/>
    <n v="1"/>
    <n v="24"/>
    <n v="2"/>
    <n v="549.99"/>
    <n v="7.0000000000000007E-2"/>
    <n v="1099.9100000000001"/>
    <s v="Electra Townie Original 21D - 2016"/>
    <x v="6"/>
  </r>
  <r>
    <n v="162"/>
    <n v="1"/>
    <n v="18"/>
    <n v="1"/>
    <n v="449"/>
    <n v="7.0000000000000007E-2"/>
    <n v="448.93"/>
    <s v="Pure Cycles Western 3-Speed - Women's - 2015/2016"/>
    <x v="6"/>
  </r>
  <r>
    <n v="163"/>
    <n v="1"/>
    <n v="12"/>
    <n v="1"/>
    <n v="549.99"/>
    <n v="0.1"/>
    <n v="549.89"/>
    <s v="Electra Townie Original 21D - 2016"/>
    <x v="6"/>
  </r>
  <r>
    <n v="164"/>
    <n v="1"/>
    <n v="4"/>
    <n v="2"/>
    <n v="2899.99"/>
    <n v="0.05"/>
    <n v="5799.9299999999994"/>
    <s v="Trek Fuel EX 8 29 - 2016"/>
    <x v="6"/>
  </r>
  <r>
    <n v="165"/>
    <n v="1"/>
    <n v="4"/>
    <n v="2"/>
    <n v="2899.99"/>
    <n v="0.05"/>
    <n v="5799.9299999999994"/>
    <s v="Trek Fuel EX 8 29 - 2016"/>
    <x v="6"/>
  </r>
  <r>
    <n v="166"/>
    <n v="1"/>
    <n v="10"/>
    <n v="2"/>
    <n v="1549"/>
    <n v="0.1"/>
    <n v="3097.9"/>
    <s v="Surly Straggler - 2016"/>
    <x v="6"/>
  </r>
  <r>
    <n v="167"/>
    <n v="1"/>
    <n v="12"/>
    <n v="1"/>
    <n v="549.99"/>
    <n v="0.05"/>
    <n v="549.94000000000005"/>
    <s v="Electra Townie Original 21D - 2016"/>
    <x v="6"/>
  </r>
  <r>
    <n v="168"/>
    <n v="1"/>
    <n v="6"/>
    <n v="1"/>
    <n v="469.99"/>
    <n v="0.1"/>
    <n v="469.89"/>
    <s v="Surly Ice Cream Truck Frameset - 2016"/>
    <x v="6"/>
  </r>
  <r>
    <n v="169"/>
    <n v="1"/>
    <n v="20"/>
    <n v="2"/>
    <n v="599.99"/>
    <n v="0.1"/>
    <n v="1199.8800000000001"/>
    <s v="Electra Townie Original 7D EQ - Women's - 2016"/>
    <x v="6"/>
  </r>
  <r>
    <n v="170"/>
    <n v="1"/>
    <n v="12"/>
    <n v="2"/>
    <n v="549.99"/>
    <n v="0.1"/>
    <n v="1099.8800000000001"/>
    <s v="Electra Townie Original 21D - 2016"/>
    <x v="6"/>
  </r>
  <r>
    <n v="171"/>
    <n v="1"/>
    <n v="8"/>
    <n v="1"/>
    <n v="1799.99"/>
    <n v="0.05"/>
    <n v="1799.94"/>
    <s v="Trek Remedy 29 Carbon Frameset - 2016"/>
    <x v="6"/>
  </r>
  <r>
    <n v="172"/>
    <n v="1"/>
    <n v="23"/>
    <n v="1"/>
    <n v="299.99"/>
    <n v="7.0000000000000007E-2"/>
    <n v="299.92"/>
    <s v="Electra Girl's Hawaii 1 (20-inch) - 2015/2016"/>
    <x v="6"/>
  </r>
  <r>
    <n v="173"/>
    <n v="1"/>
    <n v="14"/>
    <n v="1"/>
    <n v="269.99"/>
    <n v="0.05"/>
    <n v="269.94"/>
    <s v="Electra Girl's Hawaii 1 (16-inch) - 2015/2016"/>
    <x v="6"/>
  </r>
  <r>
    <n v="174"/>
    <n v="1"/>
    <n v="22"/>
    <n v="2"/>
    <n v="269.99"/>
    <n v="0.2"/>
    <n v="539.78"/>
    <s v="Electra Girl's Hawaii 1 (16-inch) - 2015/2016"/>
    <x v="6"/>
  </r>
  <r>
    <n v="175"/>
    <n v="1"/>
    <n v="5"/>
    <n v="1"/>
    <n v="1320.99"/>
    <n v="0.1"/>
    <n v="1320.89"/>
    <s v="Heller Shagamaw Frame - 2016"/>
    <x v="6"/>
  </r>
  <r>
    <n v="176"/>
    <n v="1"/>
    <n v="2"/>
    <n v="2"/>
    <n v="749.99"/>
    <n v="7.0000000000000007E-2"/>
    <n v="1499.91"/>
    <s v="Ritchey Timberwolf Frameset - 2016"/>
    <x v="6"/>
  </r>
  <r>
    <n v="177"/>
    <n v="1"/>
    <n v="20"/>
    <n v="2"/>
    <n v="599.99"/>
    <n v="0.1"/>
    <n v="1199.8800000000001"/>
    <s v="Electra Townie Original 7D EQ - Women's - 2016"/>
    <x v="6"/>
  </r>
  <r>
    <n v="178"/>
    <n v="1"/>
    <n v="10"/>
    <n v="2"/>
    <n v="1549"/>
    <n v="0.2"/>
    <n v="3097.8"/>
    <s v="Surly Straggler - 2016"/>
    <x v="6"/>
  </r>
  <r>
    <n v="179"/>
    <n v="1"/>
    <n v="13"/>
    <n v="2"/>
    <n v="269.99"/>
    <n v="0.05"/>
    <n v="539.93000000000006"/>
    <s v="Electra Cruiser 1 (24-Inch) - 2016"/>
    <x v="6"/>
  </r>
  <r>
    <n v="180"/>
    <n v="1"/>
    <n v="16"/>
    <n v="1"/>
    <n v="599.99"/>
    <n v="7.0000000000000007E-2"/>
    <n v="599.91999999999996"/>
    <s v="Electra Townie Original 7D EQ - 2016"/>
    <x v="6"/>
  </r>
  <r>
    <n v="181"/>
    <n v="1"/>
    <n v="10"/>
    <n v="1"/>
    <n v="1549"/>
    <n v="0.05"/>
    <n v="1548.95"/>
    <s v="Surly Straggler - 2016"/>
    <x v="6"/>
  </r>
  <r>
    <n v="182"/>
    <n v="1"/>
    <n v="25"/>
    <n v="2"/>
    <n v="499.99"/>
    <n v="0.05"/>
    <n v="999.93000000000006"/>
    <s v="Electra Townie Original 7D - 2015/2016"/>
    <x v="6"/>
  </r>
  <r>
    <n v="183"/>
    <n v="1"/>
    <n v="11"/>
    <n v="2"/>
    <n v="1680.99"/>
    <n v="0.2"/>
    <n v="3361.78"/>
    <s v="Surly Straggler 650b - 2016"/>
    <x v="6"/>
  </r>
  <r>
    <n v="184"/>
    <n v="1"/>
    <n v="4"/>
    <n v="1"/>
    <n v="2899.99"/>
    <n v="0.2"/>
    <n v="2899.79"/>
    <s v="Trek Fuel EX 8 29 - 2016"/>
    <x v="6"/>
  </r>
  <r>
    <n v="185"/>
    <n v="1"/>
    <n v="20"/>
    <n v="1"/>
    <n v="599.99"/>
    <n v="0.1"/>
    <n v="599.89"/>
    <s v="Electra Townie Original 7D EQ - Women's - 2016"/>
    <x v="1"/>
  </r>
  <r>
    <n v="186"/>
    <n v="1"/>
    <n v="4"/>
    <n v="1"/>
    <n v="2899.99"/>
    <n v="0.1"/>
    <n v="2899.89"/>
    <s v="Trek Fuel EX 8 29 - 2016"/>
    <x v="1"/>
  </r>
  <r>
    <n v="187"/>
    <n v="1"/>
    <n v="5"/>
    <n v="1"/>
    <n v="1320.99"/>
    <n v="0.05"/>
    <n v="1320.94"/>
    <s v="Heller Shagamaw Frame - 2016"/>
    <x v="1"/>
  </r>
  <r>
    <n v="188"/>
    <n v="1"/>
    <n v="7"/>
    <n v="2"/>
    <n v="3999.99"/>
    <n v="7.0000000000000007E-2"/>
    <n v="7999.91"/>
    <s v="Trek Slash 8 27.5 - 2016"/>
    <x v="1"/>
  </r>
  <r>
    <n v="189"/>
    <n v="1"/>
    <n v="16"/>
    <n v="2"/>
    <n v="599.99"/>
    <n v="0.2"/>
    <n v="1199.78"/>
    <s v="Electra Townie Original 7D EQ - 2016"/>
    <x v="1"/>
  </r>
  <r>
    <n v="190"/>
    <n v="1"/>
    <n v="24"/>
    <n v="1"/>
    <n v="549.99"/>
    <n v="0.05"/>
    <n v="549.94000000000005"/>
    <s v="Electra Townie Original 21D - 2016"/>
    <x v="1"/>
  </r>
  <r>
    <n v="191"/>
    <n v="1"/>
    <n v="25"/>
    <n v="1"/>
    <n v="499.99"/>
    <n v="0.05"/>
    <n v="499.94"/>
    <s v="Electra Townie Original 7D - 2015/2016"/>
    <x v="1"/>
  </r>
  <r>
    <n v="192"/>
    <n v="1"/>
    <n v="8"/>
    <n v="2"/>
    <n v="1799.99"/>
    <n v="0.1"/>
    <n v="3599.88"/>
    <s v="Trek Remedy 29 Carbon Frameset - 2016"/>
    <x v="1"/>
  </r>
  <r>
    <n v="193"/>
    <n v="1"/>
    <n v="12"/>
    <n v="2"/>
    <n v="549.99"/>
    <n v="0.1"/>
    <n v="1099.8800000000001"/>
    <s v="Electra Townie Original 21D - 2016"/>
    <x v="1"/>
  </r>
  <r>
    <n v="194"/>
    <n v="1"/>
    <n v="21"/>
    <n v="2"/>
    <n v="269.99"/>
    <n v="0.2"/>
    <n v="539.78"/>
    <s v="Electra Cruiser 1 (24-Inch) - 2016"/>
    <x v="1"/>
  </r>
  <r>
    <n v="195"/>
    <n v="1"/>
    <n v="18"/>
    <n v="1"/>
    <n v="449"/>
    <n v="0.2"/>
    <n v="448.8"/>
    <s v="Pure Cycles Western 3-Speed - Women's - 2015/2016"/>
    <x v="1"/>
  </r>
  <r>
    <n v="196"/>
    <n v="1"/>
    <n v="6"/>
    <n v="1"/>
    <n v="469.99"/>
    <n v="0.05"/>
    <n v="469.94"/>
    <s v="Surly Ice Cream Truck Frameset - 2016"/>
    <x v="1"/>
  </r>
  <r>
    <n v="197"/>
    <n v="1"/>
    <n v="4"/>
    <n v="2"/>
    <n v="2899.99"/>
    <n v="0.2"/>
    <n v="5799.78"/>
    <s v="Trek Fuel EX 8 29 - 2016"/>
    <x v="1"/>
  </r>
  <r>
    <n v="198"/>
    <n v="1"/>
    <n v="6"/>
    <n v="2"/>
    <n v="469.99"/>
    <n v="0.05"/>
    <n v="939.93000000000006"/>
    <s v="Surly Ice Cream Truck Frameset - 2016"/>
    <x v="1"/>
  </r>
  <r>
    <n v="199"/>
    <n v="1"/>
    <n v="25"/>
    <n v="2"/>
    <n v="499.99"/>
    <n v="0.05"/>
    <n v="999.93000000000006"/>
    <s v="Electra Townie Original 7D - 2015/2016"/>
    <x v="1"/>
  </r>
  <r>
    <n v="200"/>
    <n v="1"/>
    <n v="23"/>
    <n v="2"/>
    <n v="299.99"/>
    <n v="0.05"/>
    <n v="599.93000000000006"/>
    <s v="Electra Girl's Hawaii 1 (20-inch) - 2015/2016"/>
    <x v="1"/>
  </r>
  <r>
    <n v="201"/>
    <n v="1"/>
    <n v="24"/>
    <n v="1"/>
    <n v="549.99"/>
    <n v="0.05"/>
    <n v="549.94000000000005"/>
    <s v="Electra Townie Original 21D - 2016"/>
    <x v="1"/>
  </r>
  <r>
    <n v="202"/>
    <n v="1"/>
    <n v="8"/>
    <n v="1"/>
    <n v="1799.99"/>
    <n v="7.0000000000000007E-2"/>
    <n v="1799.92"/>
    <s v="Trek Remedy 29 Carbon Frameset - 2016"/>
    <x v="1"/>
  </r>
  <r>
    <n v="203"/>
    <n v="1"/>
    <n v="26"/>
    <n v="1"/>
    <n v="599.99"/>
    <n v="0.05"/>
    <n v="599.94000000000005"/>
    <s v="Electra Townie Original 7D EQ - 2016"/>
    <x v="1"/>
  </r>
  <r>
    <n v="204"/>
    <n v="1"/>
    <n v="6"/>
    <n v="2"/>
    <n v="469.99"/>
    <n v="7.0000000000000007E-2"/>
    <n v="939.91"/>
    <s v="Surly Ice Cream Truck Frameset - 2016"/>
    <x v="1"/>
  </r>
  <r>
    <n v="205"/>
    <n v="1"/>
    <n v="22"/>
    <n v="2"/>
    <n v="269.99"/>
    <n v="0.05"/>
    <n v="539.93000000000006"/>
    <s v="Electra Girl's Hawaii 1 (16-inch) - 2015/2016"/>
    <x v="1"/>
  </r>
  <r>
    <n v="206"/>
    <n v="1"/>
    <n v="25"/>
    <n v="1"/>
    <n v="499.99"/>
    <n v="0.05"/>
    <n v="499.94"/>
    <s v="Electra Townie Original 7D - 2015/2016"/>
    <x v="2"/>
  </r>
  <r>
    <n v="207"/>
    <n v="1"/>
    <n v="12"/>
    <n v="2"/>
    <n v="549.99"/>
    <n v="0.2"/>
    <n v="1099.78"/>
    <s v="Electra Townie Original 21D - 2016"/>
    <x v="2"/>
  </r>
  <r>
    <n v="208"/>
    <n v="1"/>
    <n v="6"/>
    <n v="2"/>
    <n v="469.99"/>
    <n v="0.05"/>
    <n v="939.93000000000006"/>
    <s v="Surly Ice Cream Truck Frameset - 2016"/>
    <x v="2"/>
  </r>
  <r>
    <n v="209"/>
    <n v="1"/>
    <n v="13"/>
    <n v="1"/>
    <n v="269.99"/>
    <n v="0.1"/>
    <n v="269.89"/>
    <s v="Electra Cruiser 1 (24-Inch) - 2016"/>
    <x v="2"/>
  </r>
  <r>
    <n v="210"/>
    <n v="1"/>
    <n v="14"/>
    <n v="1"/>
    <n v="269.99"/>
    <n v="7.0000000000000007E-2"/>
    <n v="269.92"/>
    <s v="Electra Girl's Hawaii 1 (16-inch) - 2015/2016"/>
    <x v="2"/>
  </r>
  <r>
    <n v="211"/>
    <n v="1"/>
    <n v="10"/>
    <n v="1"/>
    <n v="1549"/>
    <n v="7.0000000000000007E-2"/>
    <n v="1548.93"/>
    <s v="Surly Straggler - 2016"/>
    <x v="2"/>
  </r>
  <r>
    <n v="212"/>
    <n v="1"/>
    <n v="16"/>
    <n v="2"/>
    <n v="599.99"/>
    <n v="7.0000000000000007E-2"/>
    <n v="1199.9100000000001"/>
    <s v="Electra Townie Original 7D EQ - 2016"/>
    <x v="3"/>
  </r>
  <r>
    <n v="213"/>
    <n v="1"/>
    <n v="13"/>
    <n v="1"/>
    <n v="269.99"/>
    <n v="0.1"/>
    <n v="269.89"/>
    <s v="Electra Cruiser 1 (24-Inch) - 2016"/>
    <x v="3"/>
  </r>
  <r>
    <n v="214"/>
    <n v="1"/>
    <n v="21"/>
    <n v="1"/>
    <n v="269.99"/>
    <n v="0.1"/>
    <n v="269.89"/>
    <s v="Electra Cruiser 1 (24-Inch) - 2016"/>
    <x v="3"/>
  </r>
  <r>
    <n v="215"/>
    <n v="1"/>
    <n v="19"/>
    <n v="1"/>
    <n v="449"/>
    <n v="7.0000000000000007E-2"/>
    <n v="448.93"/>
    <s v="Pure Cycles William 3-Speed - 2016"/>
    <x v="3"/>
  </r>
  <r>
    <n v="216"/>
    <n v="1"/>
    <n v="22"/>
    <n v="2"/>
    <n v="269.99"/>
    <n v="0.1"/>
    <n v="539.88"/>
    <s v="Electra Girl's Hawaii 1 (16-inch) - 2015/2016"/>
    <x v="3"/>
  </r>
  <r>
    <n v="217"/>
    <n v="1"/>
    <n v="18"/>
    <n v="1"/>
    <n v="449"/>
    <n v="0.1"/>
    <n v="448.9"/>
    <s v="Pure Cycles Western 3-Speed - Women's - 2015/2016"/>
    <x v="3"/>
  </r>
  <r>
    <n v="218"/>
    <n v="1"/>
    <n v="2"/>
    <n v="2"/>
    <n v="749.99"/>
    <n v="0.1"/>
    <n v="1499.88"/>
    <s v="Ritchey Timberwolf Frameset - 2016"/>
    <x v="3"/>
  </r>
  <r>
    <n v="219"/>
    <n v="1"/>
    <n v="26"/>
    <n v="1"/>
    <n v="599.99"/>
    <n v="0.05"/>
    <n v="599.94000000000005"/>
    <s v="Electra Townie Original 7D EQ - 2016"/>
    <x v="3"/>
  </r>
  <r>
    <n v="220"/>
    <n v="1"/>
    <n v="6"/>
    <n v="2"/>
    <n v="469.99"/>
    <n v="0.05"/>
    <n v="939.93000000000006"/>
    <s v="Surly Ice Cream Truck Frameset - 2016"/>
    <x v="3"/>
  </r>
  <r>
    <n v="221"/>
    <n v="1"/>
    <n v="11"/>
    <n v="2"/>
    <n v="1680.99"/>
    <n v="7.0000000000000007E-2"/>
    <n v="3361.91"/>
    <s v="Surly Straggler 650b - 2016"/>
    <x v="3"/>
  </r>
  <r>
    <n v="222"/>
    <n v="1"/>
    <n v="10"/>
    <n v="1"/>
    <n v="1549"/>
    <n v="0.1"/>
    <n v="1548.9"/>
    <s v="Surly Straggler - 2016"/>
    <x v="3"/>
  </r>
  <r>
    <n v="223"/>
    <n v="1"/>
    <n v="7"/>
    <n v="2"/>
    <n v="3999.99"/>
    <n v="0.05"/>
    <n v="7999.9299999999994"/>
    <s v="Trek Slash 8 27.5 - 2016"/>
    <x v="3"/>
  </r>
  <r>
    <n v="224"/>
    <n v="1"/>
    <n v="6"/>
    <n v="1"/>
    <n v="469.99"/>
    <n v="7.0000000000000007E-2"/>
    <n v="469.92"/>
    <s v="Surly Ice Cream Truck Frameset - 2016"/>
    <x v="3"/>
  </r>
  <r>
    <n v="225"/>
    <n v="1"/>
    <n v="21"/>
    <n v="1"/>
    <n v="269.99"/>
    <n v="0.1"/>
    <n v="269.89"/>
    <s v="Electra Cruiser 1 (24-Inch) - 2016"/>
    <x v="3"/>
  </r>
  <r>
    <n v="226"/>
    <n v="1"/>
    <n v="2"/>
    <n v="1"/>
    <n v="749.99"/>
    <n v="0.05"/>
    <n v="749.94"/>
    <s v="Ritchey Timberwolf Frameset - 2016"/>
    <x v="3"/>
  </r>
  <r>
    <n v="227"/>
    <n v="1"/>
    <n v="3"/>
    <n v="2"/>
    <n v="999.99"/>
    <n v="0.05"/>
    <n v="1999.93"/>
    <s v="Surly Wednesday Frameset - 2016"/>
    <x v="3"/>
  </r>
  <r>
    <n v="228"/>
    <n v="1"/>
    <n v="25"/>
    <n v="1"/>
    <n v="499.99"/>
    <n v="0.2"/>
    <n v="499.79"/>
    <s v="Electra Townie Original 7D - 2015/2016"/>
    <x v="3"/>
  </r>
  <r>
    <n v="229"/>
    <n v="1"/>
    <n v="25"/>
    <n v="2"/>
    <n v="499.99"/>
    <n v="0.2"/>
    <n v="999.78"/>
    <s v="Electra Townie Original 7D - 2015/2016"/>
    <x v="3"/>
  </r>
  <r>
    <n v="230"/>
    <n v="1"/>
    <n v="11"/>
    <n v="2"/>
    <n v="1680.99"/>
    <n v="7.0000000000000007E-2"/>
    <n v="3361.91"/>
    <s v="Surly Straggler 650b - 2016"/>
    <x v="3"/>
  </r>
  <r>
    <n v="231"/>
    <n v="1"/>
    <n v="8"/>
    <n v="2"/>
    <n v="1799.99"/>
    <n v="7.0000000000000007E-2"/>
    <n v="3599.91"/>
    <s v="Trek Remedy 29 Carbon Frameset - 2016"/>
    <x v="3"/>
  </r>
  <r>
    <n v="232"/>
    <n v="1"/>
    <n v="18"/>
    <n v="1"/>
    <n v="449"/>
    <n v="7.0000000000000007E-2"/>
    <n v="448.93"/>
    <s v="Pure Cycles Western 3-Speed - Women's - 2015/2016"/>
    <x v="3"/>
  </r>
  <r>
    <n v="233"/>
    <n v="1"/>
    <n v="14"/>
    <n v="1"/>
    <n v="269.99"/>
    <n v="0.1"/>
    <n v="269.89"/>
    <s v="Electra Girl's Hawaii 1 (16-inch) - 2015/2016"/>
    <x v="3"/>
  </r>
  <r>
    <n v="234"/>
    <n v="1"/>
    <n v="11"/>
    <n v="2"/>
    <n v="1680.99"/>
    <n v="0.2"/>
    <n v="3361.78"/>
    <s v="Surly Straggler 650b - 2016"/>
    <x v="3"/>
  </r>
  <r>
    <n v="235"/>
    <n v="1"/>
    <n v="6"/>
    <n v="1"/>
    <n v="469.99"/>
    <n v="7.0000000000000007E-2"/>
    <n v="469.92"/>
    <s v="Surly Ice Cream Truck Frameset - 2016"/>
    <x v="3"/>
  </r>
  <r>
    <n v="236"/>
    <n v="1"/>
    <n v="3"/>
    <n v="2"/>
    <n v="999.99"/>
    <n v="7.0000000000000007E-2"/>
    <n v="1999.91"/>
    <s v="Surly Wednesday Frameset - 2016"/>
    <x v="3"/>
  </r>
  <r>
    <n v="237"/>
    <n v="1"/>
    <n v="15"/>
    <n v="1"/>
    <n v="529.99"/>
    <n v="0.2"/>
    <n v="529.79"/>
    <s v="Electra Moto 1 - 2016"/>
    <x v="3"/>
  </r>
  <r>
    <n v="238"/>
    <n v="1"/>
    <n v="20"/>
    <n v="2"/>
    <n v="599.99"/>
    <n v="0.2"/>
    <n v="1199.78"/>
    <s v="Electra Townie Original 7D EQ - Women's - 2016"/>
    <x v="3"/>
  </r>
  <r>
    <n v="239"/>
    <n v="1"/>
    <n v="16"/>
    <n v="2"/>
    <n v="599.99"/>
    <n v="0.1"/>
    <n v="1199.8800000000001"/>
    <s v="Electra Townie Original 7D EQ - 2016"/>
    <x v="3"/>
  </r>
  <r>
    <n v="240"/>
    <n v="1"/>
    <n v="9"/>
    <n v="1"/>
    <n v="2999.99"/>
    <n v="7.0000000000000007E-2"/>
    <n v="2999.9199999999996"/>
    <s v="Trek Conduit+ - 2016"/>
    <x v="3"/>
  </r>
  <r>
    <n v="241"/>
    <n v="1"/>
    <n v="7"/>
    <n v="1"/>
    <n v="3999.99"/>
    <n v="0.2"/>
    <n v="3999.79"/>
    <s v="Trek Slash 8 27.5 - 2016"/>
    <x v="3"/>
  </r>
  <r>
    <n v="242"/>
    <n v="1"/>
    <n v="3"/>
    <n v="1"/>
    <n v="999.99"/>
    <n v="0.2"/>
    <n v="999.79"/>
    <s v="Surly Wednesday Frameset - 2016"/>
    <x v="3"/>
  </r>
  <r>
    <n v="243"/>
    <n v="1"/>
    <n v="25"/>
    <n v="2"/>
    <n v="499.99"/>
    <n v="0.05"/>
    <n v="999.93000000000006"/>
    <s v="Electra Townie Original 7D - 2015/2016"/>
    <x v="3"/>
  </r>
  <r>
    <n v="244"/>
    <n v="1"/>
    <n v="19"/>
    <n v="1"/>
    <n v="449"/>
    <n v="7.0000000000000007E-2"/>
    <n v="448.93"/>
    <s v="Pure Cycles William 3-Speed - 2016"/>
    <x v="3"/>
  </r>
  <r>
    <n v="245"/>
    <n v="1"/>
    <n v="10"/>
    <n v="2"/>
    <n v="1549"/>
    <n v="0.05"/>
    <n v="3097.95"/>
    <s v="Surly Straggler - 2016"/>
    <x v="3"/>
  </r>
  <r>
    <n v="246"/>
    <n v="1"/>
    <n v="17"/>
    <n v="2"/>
    <n v="429"/>
    <n v="0.2"/>
    <n v="857.8"/>
    <s v="Pure Cycles Vine 8-Speed - 2016"/>
    <x v="3"/>
  </r>
  <r>
    <n v="247"/>
    <n v="1"/>
    <n v="25"/>
    <n v="1"/>
    <n v="499.99"/>
    <n v="7.0000000000000007E-2"/>
    <n v="499.92"/>
    <s v="Electra Townie Original 7D - 2015/2016"/>
    <x v="3"/>
  </r>
  <r>
    <n v="248"/>
    <n v="1"/>
    <n v="13"/>
    <n v="1"/>
    <n v="269.99"/>
    <n v="0.1"/>
    <n v="269.89"/>
    <s v="Electra Cruiser 1 (24-Inch) - 2016"/>
    <x v="3"/>
  </r>
  <r>
    <n v="249"/>
    <n v="1"/>
    <n v="7"/>
    <n v="2"/>
    <n v="3999.99"/>
    <n v="0.05"/>
    <n v="7999.9299999999994"/>
    <s v="Trek Slash 8 27.5 - 2016"/>
    <x v="3"/>
  </r>
  <r>
    <n v="250"/>
    <n v="1"/>
    <n v="17"/>
    <n v="2"/>
    <n v="429"/>
    <n v="0.05"/>
    <n v="857.95"/>
    <s v="Pure Cycles Vine 8-Speed - 2016"/>
    <x v="3"/>
  </r>
  <r>
    <n v="251"/>
    <n v="1"/>
    <n v="23"/>
    <n v="2"/>
    <n v="299.99"/>
    <n v="0.2"/>
    <n v="599.78"/>
    <s v="Electra Girl's Hawaii 1 (20-inch) - 2015/2016"/>
    <x v="3"/>
  </r>
  <r>
    <n v="252"/>
    <n v="1"/>
    <n v="11"/>
    <n v="2"/>
    <n v="1680.99"/>
    <n v="0.1"/>
    <n v="3361.88"/>
    <s v="Surly Straggler 650b - 2016"/>
    <x v="3"/>
  </r>
  <r>
    <n v="253"/>
    <n v="1"/>
    <n v="11"/>
    <n v="2"/>
    <n v="1680.99"/>
    <n v="7.0000000000000007E-2"/>
    <n v="3361.91"/>
    <s v="Surly Straggler 650b - 2016"/>
    <x v="3"/>
  </r>
  <r>
    <n v="254"/>
    <n v="1"/>
    <n v="6"/>
    <n v="2"/>
    <n v="469.99"/>
    <n v="7.0000000000000007E-2"/>
    <n v="939.91"/>
    <s v="Surly Ice Cream Truck Frameset - 2016"/>
    <x v="3"/>
  </r>
  <r>
    <n v="255"/>
    <n v="1"/>
    <n v="5"/>
    <n v="2"/>
    <n v="1320.99"/>
    <n v="0.1"/>
    <n v="2641.88"/>
    <s v="Heller Shagamaw Frame - 2016"/>
    <x v="3"/>
  </r>
  <r>
    <n v="256"/>
    <n v="1"/>
    <n v="11"/>
    <n v="1"/>
    <n v="1680.99"/>
    <n v="0.1"/>
    <n v="1680.89"/>
    <s v="Surly Straggler 650b - 2016"/>
    <x v="3"/>
  </r>
  <r>
    <n v="257"/>
    <n v="1"/>
    <n v="8"/>
    <n v="2"/>
    <n v="1799.99"/>
    <n v="7.0000000000000007E-2"/>
    <n v="3599.91"/>
    <s v="Trek Remedy 29 Carbon Frameset - 2016"/>
    <x v="3"/>
  </r>
  <r>
    <n v="258"/>
    <n v="1"/>
    <n v="8"/>
    <n v="2"/>
    <n v="1799.99"/>
    <n v="0.05"/>
    <n v="3599.93"/>
    <s v="Trek Remedy 29 Carbon Frameset - 2016"/>
    <x v="3"/>
  </r>
  <r>
    <n v="259"/>
    <n v="1"/>
    <n v="26"/>
    <n v="1"/>
    <n v="599.99"/>
    <n v="0.05"/>
    <n v="599.94000000000005"/>
    <s v="Electra Townie Original 7D EQ - 2016"/>
    <x v="3"/>
  </r>
  <r>
    <n v="260"/>
    <n v="1"/>
    <n v="23"/>
    <n v="2"/>
    <n v="299.99"/>
    <n v="0.2"/>
    <n v="599.78"/>
    <s v="Electra Girl's Hawaii 1 (20-inch) - 2015/2016"/>
    <x v="3"/>
  </r>
  <r>
    <n v="261"/>
    <n v="1"/>
    <n v="16"/>
    <n v="2"/>
    <n v="599.99"/>
    <n v="0.05"/>
    <n v="1199.93"/>
    <s v="Electra Townie Original 7D EQ - 2016"/>
    <x v="3"/>
  </r>
  <r>
    <n v="262"/>
    <n v="1"/>
    <n v="2"/>
    <n v="1"/>
    <n v="749.99"/>
    <n v="7.0000000000000007E-2"/>
    <n v="749.92"/>
    <s v="Ritchey Timberwolf Frameset - 2016"/>
    <x v="4"/>
  </r>
  <r>
    <n v="263"/>
    <n v="1"/>
    <n v="9"/>
    <n v="1"/>
    <n v="2999.99"/>
    <n v="7.0000000000000007E-2"/>
    <n v="2999.9199999999996"/>
    <s v="Trek Conduit+ - 2016"/>
    <x v="4"/>
  </r>
  <r>
    <n v="264"/>
    <n v="1"/>
    <n v="10"/>
    <n v="1"/>
    <n v="1549"/>
    <n v="0.2"/>
    <n v="1548.8"/>
    <s v="Surly Straggler - 2016"/>
    <x v="4"/>
  </r>
  <r>
    <n v="265"/>
    <n v="1"/>
    <n v="9"/>
    <n v="2"/>
    <n v="2999.99"/>
    <n v="0.2"/>
    <n v="5999.78"/>
    <s v="Trek Conduit+ - 2016"/>
    <x v="4"/>
  </r>
  <r>
    <n v="266"/>
    <n v="1"/>
    <n v="6"/>
    <n v="2"/>
    <n v="469.99"/>
    <n v="7.0000000000000007E-2"/>
    <n v="939.91"/>
    <s v="Surly Ice Cream Truck Frameset - 2016"/>
    <x v="4"/>
  </r>
  <r>
    <n v="267"/>
    <n v="1"/>
    <n v="22"/>
    <n v="2"/>
    <n v="269.99"/>
    <n v="0.2"/>
    <n v="539.78"/>
    <s v="Electra Girl's Hawaii 1 (16-inch) - 2015/2016"/>
    <x v="4"/>
  </r>
  <r>
    <n v="268"/>
    <n v="1"/>
    <n v="7"/>
    <n v="1"/>
    <n v="3999.99"/>
    <n v="0.05"/>
    <n v="3999.9399999999996"/>
    <s v="Trek Slash 8 27.5 - 2016"/>
    <x v="4"/>
  </r>
  <r>
    <n v="269"/>
    <n v="1"/>
    <n v="5"/>
    <n v="1"/>
    <n v="1320.99"/>
    <n v="7.0000000000000007E-2"/>
    <n v="1320.92"/>
    <s v="Heller Shagamaw Frame - 2016"/>
    <x v="4"/>
  </r>
  <r>
    <n v="270"/>
    <n v="1"/>
    <n v="25"/>
    <n v="2"/>
    <n v="499.99"/>
    <n v="0.2"/>
    <n v="999.78"/>
    <s v="Electra Townie Original 7D - 2015/2016"/>
    <x v="4"/>
  </r>
  <r>
    <n v="271"/>
    <n v="1"/>
    <n v="11"/>
    <n v="2"/>
    <n v="1680.99"/>
    <n v="7.0000000000000007E-2"/>
    <n v="3361.91"/>
    <s v="Surly Straggler 650b - 2016"/>
    <x v="4"/>
  </r>
  <r>
    <n v="272"/>
    <n v="1"/>
    <n v="2"/>
    <n v="2"/>
    <n v="749.99"/>
    <n v="7.0000000000000007E-2"/>
    <n v="1499.91"/>
    <s v="Ritchey Timberwolf Frameset - 2016"/>
    <x v="4"/>
  </r>
  <r>
    <n v="273"/>
    <n v="1"/>
    <n v="21"/>
    <n v="1"/>
    <n v="269.99"/>
    <n v="0.1"/>
    <n v="269.89"/>
    <s v="Electra Cruiser 1 (24-Inch) - 2016"/>
    <x v="4"/>
  </r>
  <r>
    <n v="274"/>
    <n v="1"/>
    <n v="11"/>
    <n v="2"/>
    <n v="1680.99"/>
    <n v="0.05"/>
    <n v="3361.93"/>
    <s v="Surly Straggler 650b - 2016"/>
    <x v="4"/>
  </r>
  <r>
    <n v="275"/>
    <n v="1"/>
    <n v="18"/>
    <n v="1"/>
    <n v="449"/>
    <n v="0.05"/>
    <n v="448.95"/>
    <s v="Pure Cycles Western 3-Speed - Women's - 2015/2016"/>
    <x v="4"/>
  </r>
  <r>
    <n v="276"/>
    <n v="1"/>
    <n v="3"/>
    <n v="2"/>
    <n v="999.99"/>
    <n v="0.2"/>
    <n v="1999.78"/>
    <s v="Surly Wednesday Frameset - 2016"/>
    <x v="4"/>
  </r>
  <r>
    <n v="277"/>
    <n v="1"/>
    <n v="20"/>
    <n v="2"/>
    <n v="599.99"/>
    <n v="0.2"/>
    <n v="1199.78"/>
    <s v="Electra Townie Original 7D EQ - Women's - 2016"/>
    <x v="4"/>
  </r>
  <r>
    <n v="278"/>
    <n v="1"/>
    <n v="16"/>
    <n v="1"/>
    <n v="599.99"/>
    <n v="0.2"/>
    <n v="599.79"/>
    <s v="Electra Townie Original 7D EQ - 2016"/>
    <x v="4"/>
  </r>
  <r>
    <n v="279"/>
    <n v="1"/>
    <n v="25"/>
    <n v="1"/>
    <n v="499.99"/>
    <n v="7.0000000000000007E-2"/>
    <n v="499.92"/>
    <s v="Electra Townie Original 7D - 2015/2016"/>
    <x v="4"/>
  </r>
  <r>
    <n v="280"/>
    <n v="1"/>
    <n v="25"/>
    <n v="1"/>
    <n v="499.99"/>
    <n v="7.0000000000000007E-2"/>
    <n v="499.92"/>
    <s v="Electra Townie Original 7D - 2015/2016"/>
    <x v="4"/>
  </r>
  <r>
    <n v="281"/>
    <n v="1"/>
    <n v="22"/>
    <n v="1"/>
    <n v="269.99"/>
    <n v="7.0000000000000007E-2"/>
    <n v="269.92"/>
    <s v="Electra Girl's Hawaii 1 (16-inch) - 2015/2016"/>
    <x v="4"/>
  </r>
  <r>
    <n v="282"/>
    <n v="1"/>
    <n v="20"/>
    <n v="1"/>
    <n v="599.99"/>
    <n v="7.0000000000000007E-2"/>
    <n v="599.91999999999996"/>
    <s v="Electra Townie Original 7D EQ - Women's - 2016"/>
    <x v="4"/>
  </r>
  <r>
    <n v="283"/>
    <n v="1"/>
    <n v="9"/>
    <n v="1"/>
    <n v="2999.99"/>
    <n v="0.05"/>
    <n v="2999.9399999999996"/>
    <s v="Trek Conduit+ - 2016"/>
    <x v="4"/>
  </r>
  <r>
    <n v="284"/>
    <n v="1"/>
    <n v="24"/>
    <n v="2"/>
    <n v="549.99"/>
    <n v="0.2"/>
    <n v="1099.78"/>
    <s v="Electra Townie Original 21D - 2016"/>
    <x v="4"/>
  </r>
  <r>
    <n v="285"/>
    <n v="1"/>
    <n v="16"/>
    <n v="2"/>
    <n v="599.99"/>
    <n v="0.05"/>
    <n v="1199.93"/>
    <s v="Electra Townie Original 7D EQ - 2016"/>
    <x v="4"/>
  </r>
  <r>
    <n v="286"/>
    <n v="1"/>
    <n v="26"/>
    <n v="2"/>
    <n v="599.99"/>
    <n v="0.2"/>
    <n v="1199.78"/>
    <s v="Electra Townie Original 7D EQ - 2016"/>
    <x v="4"/>
  </r>
  <r>
    <n v="287"/>
    <n v="1"/>
    <n v="5"/>
    <n v="1"/>
    <n v="1320.99"/>
    <n v="0.2"/>
    <n v="1320.79"/>
    <s v="Heller Shagamaw Frame - 2016"/>
    <x v="4"/>
  </r>
  <r>
    <n v="288"/>
    <n v="1"/>
    <n v="4"/>
    <n v="1"/>
    <n v="2899.99"/>
    <n v="0.2"/>
    <n v="2899.79"/>
    <s v="Trek Fuel EX 8 29 - 2016"/>
    <x v="4"/>
  </r>
  <r>
    <n v="289"/>
    <n v="1"/>
    <n v="13"/>
    <n v="1"/>
    <n v="269.99"/>
    <n v="7.0000000000000007E-2"/>
    <n v="269.92"/>
    <s v="Electra Cruiser 1 (24-Inch) - 2016"/>
    <x v="4"/>
  </r>
  <r>
    <n v="290"/>
    <n v="1"/>
    <n v="2"/>
    <n v="2"/>
    <n v="749.99"/>
    <n v="7.0000000000000007E-2"/>
    <n v="1499.91"/>
    <s v="Ritchey Timberwolf Frameset - 2016"/>
    <x v="4"/>
  </r>
  <r>
    <n v="291"/>
    <n v="1"/>
    <n v="6"/>
    <n v="2"/>
    <n v="469.99"/>
    <n v="0.05"/>
    <n v="939.93000000000006"/>
    <s v="Surly Ice Cream Truck Frameset - 2016"/>
    <x v="4"/>
  </r>
  <r>
    <n v="292"/>
    <n v="1"/>
    <n v="18"/>
    <n v="2"/>
    <n v="449"/>
    <n v="0.1"/>
    <n v="897.9"/>
    <s v="Pure Cycles Western 3-Speed - Women's - 2015/2016"/>
    <x v="4"/>
  </r>
  <r>
    <n v="293"/>
    <n v="1"/>
    <n v="19"/>
    <n v="2"/>
    <n v="449"/>
    <n v="0.05"/>
    <n v="897.95"/>
    <s v="Pure Cycles William 3-Speed - 2016"/>
    <x v="4"/>
  </r>
  <r>
    <n v="294"/>
    <n v="1"/>
    <n v="18"/>
    <n v="1"/>
    <n v="449"/>
    <n v="0.2"/>
    <n v="448.8"/>
    <s v="Pure Cycles Western 3-Speed - Women's - 2015/2016"/>
    <x v="4"/>
  </r>
  <r>
    <n v="295"/>
    <n v="1"/>
    <n v="22"/>
    <n v="2"/>
    <n v="269.99"/>
    <n v="7.0000000000000007E-2"/>
    <n v="539.91"/>
    <s v="Electra Girl's Hawaii 1 (16-inch) - 2015/2016"/>
    <x v="4"/>
  </r>
  <r>
    <n v="296"/>
    <n v="1"/>
    <n v="25"/>
    <n v="2"/>
    <n v="499.99"/>
    <n v="7.0000000000000007E-2"/>
    <n v="999.91"/>
    <s v="Electra Townie Original 7D - 2015/2016"/>
    <x v="4"/>
  </r>
  <r>
    <n v="297"/>
    <n v="1"/>
    <n v="4"/>
    <n v="2"/>
    <n v="2899.99"/>
    <n v="0.2"/>
    <n v="5799.78"/>
    <s v="Trek Fuel EX 8 29 - 2016"/>
    <x v="4"/>
  </r>
  <r>
    <n v="298"/>
    <n v="1"/>
    <n v="23"/>
    <n v="1"/>
    <n v="299.99"/>
    <n v="0.2"/>
    <n v="299.79000000000002"/>
    <s v="Electra Girl's Hawaii 1 (20-inch) - 2015/2016"/>
    <x v="4"/>
  </r>
  <r>
    <n v="299"/>
    <n v="1"/>
    <n v="11"/>
    <n v="2"/>
    <n v="1680.99"/>
    <n v="0.05"/>
    <n v="3361.93"/>
    <s v="Surly Straggler 650b - 2016"/>
    <x v="5"/>
  </r>
  <r>
    <n v="300"/>
    <n v="1"/>
    <n v="16"/>
    <n v="2"/>
    <n v="599.99"/>
    <n v="0.1"/>
    <n v="1199.8800000000001"/>
    <s v="Electra Townie Original 7D EQ - 2016"/>
    <x v="5"/>
  </r>
  <r>
    <n v="301"/>
    <n v="1"/>
    <n v="6"/>
    <n v="1"/>
    <n v="469.99"/>
    <n v="0.05"/>
    <n v="469.94"/>
    <s v="Surly Ice Cream Truck Frameset - 2016"/>
    <x v="5"/>
  </r>
  <r>
    <n v="302"/>
    <n v="1"/>
    <n v="24"/>
    <n v="2"/>
    <n v="549.99"/>
    <n v="0.2"/>
    <n v="1099.78"/>
    <s v="Electra Townie Original 21D - 2016"/>
    <x v="5"/>
  </r>
  <r>
    <n v="303"/>
    <n v="1"/>
    <n v="8"/>
    <n v="2"/>
    <n v="1799.99"/>
    <n v="0.05"/>
    <n v="3599.93"/>
    <s v="Trek Remedy 29 Carbon Frameset - 2016"/>
    <x v="5"/>
  </r>
  <r>
    <n v="304"/>
    <n v="1"/>
    <n v="10"/>
    <n v="1"/>
    <n v="1549"/>
    <n v="0.05"/>
    <n v="1548.95"/>
    <s v="Surly Straggler - 2016"/>
    <x v="5"/>
  </r>
  <r>
    <n v="305"/>
    <n v="1"/>
    <n v="10"/>
    <n v="1"/>
    <n v="1549"/>
    <n v="7.0000000000000007E-2"/>
    <n v="1548.93"/>
    <s v="Surly Straggler - 2016"/>
    <x v="5"/>
  </r>
  <r>
    <n v="306"/>
    <n v="1"/>
    <n v="10"/>
    <n v="1"/>
    <n v="1549"/>
    <n v="0.2"/>
    <n v="1548.8"/>
    <s v="Surly Straggler - 2016"/>
    <x v="5"/>
  </r>
  <r>
    <n v="307"/>
    <n v="1"/>
    <n v="15"/>
    <n v="2"/>
    <n v="529.99"/>
    <n v="0.05"/>
    <n v="1059.93"/>
    <s v="Electra Moto 1 - 2016"/>
    <x v="5"/>
  </r>
  <r>
    <n v="308"/>
    <n v="1"/>
    <n v="7"/>
    <n v="1"/>
    <n v="3999.99"/>
    <n v="0.1"/>
    <n v="3999.89"/>
    <s v="Trek Slash 8 27.5 - 2016"/>
    <x v="5"/>
  </r>
  <r>
    <n v="309"/>
    <n v="1"/>
    <n v="3"/>
    <n v="1"/>
    <n v="999.99"/>
    <n v="0.05"/>
    <n v="999.94"/>
    <s v="Surly Wednesday Frameset - 2016"/>
    <x v="5"/>
  </r>
  <r>
    <n v="310"/>
    <n v="1"/>
    <n v="7"/>
    <n v="2"/>
    <n v="3999.99"/>
    <n v="7.0000000000000007E-2"/>
    <n v="7999.91"/>
    <s v="Trek Slash 8 27.5 - 2016"/>
    <x v="5"/>
  </r>
  <r>
    <n v="311"/>
    <n v="1"/>
    <n v="17"/>
    <n v="2"/>
    <n v="429"/>
    <n v="0.05"/>
    <n v="857.95"/>
    <s v="Pure Cycles Vine 8-Speed - 2016"/>
    <x v="5"/>
  </r>
  <r>
    <n v="312"/>
    <n v="1"/>
    <n v="24"/>
    <n v="2"/>
    <n v="549.99"/>
    <n v="0.05"/>
    <n v="1099.93"/>
    <s v="Electra Townie Original 21D - 2016"/>
    <x v="5"/>
  </r>
  <r>
    <n v="313"/>
    <n v="1"/>
    <n v="4"/>
    <n v="1"/>
    <n v="2899.99"/>
    <n v="7.0000000000000007E-2"/>
    <n v="2899.9199999999996"/>
    <s v="Trek Fuel EX 8 29 - 2016"/>
    <x v="5"/>
  </r>
  <r>
    <n v="314"/>
    <n v="1"/>
    <n v="5"/>
    <n v="1"/>
    <n v="1320.99"/>
    <n v="7.0000000000000007E-2"/>
    <n v="1320.92"/>
    <s v="Heller Shagamaw Frame - 2016"/>
    <x v="5"/>
  </r>
  <r>
    <n v="315"/>
    <n v="1"/>
    <n v="11"/>
    <n v="1"/>
    <n v="1680.99"/>
    <n v="0.2"/>
    <n v="1680.79"/>
    <s v="Surly Straggler 650b - 2016"/>
    <x v="5"/>
  </r>
  <r>
    <n v="316"/>
    <n v="1"/>
    <n v="2"/>
    <n v="2"/>
    <n v="749.99"/>
    <n v="0.2"/>
    <n v="1499.78"/>
    <s v="Ritchey Timberwolf Frameset - 2016"/>
    <x v="6"/>
  </r>
  <r>
    <n v="317"/>
    <n v="1"/>
    <n v="10"/>
    <n v="1"/>
    <n v="1549"/>
    <n v="0.2"/>
    <n v="1548.8"/>
    <s v="Surly Straggler - 2016"/>
    <x v="6"/>
  </r>
  <r>
    <n v="318"/>
    <n v="1"/>
    <n v="13"/>
    <n v="2"/>
    <n v="269.99"/>
    <n v="0.1"/>
    <n v="539.88"/>
    <s v="Electra Cruiser 1 (24-Inch) - 2016"/>
    <x v="6"/>
  </r>
  <r>
    <n v="319"/>
    <n v="1"/>
    <n v="11"/>
    <n v="1"/>
    <n v="1680.99"/>
    <n v="7.0000000000000007E-2"/>
    <n v="1680.92"/>
    <s v="Surly Straggler 650b - 2016"/>
    <x v="6"/>
  </r>
  <r>
    <n v="320"/>
    <n v="1"/>
    <n v="2"/>
    <n v="1"/>
    <n v="749.99"/>
    <n v="0.1"/>
    <n v="749.89"/>
    <s v="Ritchey Timberwolf Frameset - 2016"/>
    <x v="6"/>
  </r>
  <r>
    <n v="321"/>
    <n v="1"/>
    <n v="4"/>
    <n v="2"/>
    <n v="2899.99"/>
    <n v="0.2"/>
    <n v="5799.78"/>
    <s v="Trek Fuel EX 8 29 - 2016"/>
    <x v="6"/>
  </r>
  <r>
    <n v="322"/>
    <n v="1"/>
    <n v="13"/>
    <n v="2"/>
    <n v="269.99"/>
    <n v="0.2"/>
    <n v="539.78"/>
    <s v="Electra Cruiser 1 (24-Inch) - 2016"/>
    <x v="7"/>
  </r>
  <r>
    <n v="323"/>
    <n v="1"/>
    <n v="13"/>
    <n v="2"/>
    <n v="269.99"/>
    <n v="7.0000000000000007E-2"/>
    <n v="539.91"/>
    <s v="Electra Cruiser 1 (24-Inch) - 2016"/>
    <x v="7"/>
  </r>
  <r>
    <n v="324"/>
    <n v="1"/>
    <n v="2"/>
    <n v="2"/>
    <n v="749.99"/>
    <n v="0.1"/>
    <n v="1499.88"/>
    <s v="Ritchey Timberwolf Frameset - 2016"/>
    <x v="7"/>
  </r>
  <r>
    <n v="325"/>
    <n v="1"/>
    <n v="7"/>
    <n v="1"/>
    <n v="3999.99"/>
    <n v="0.05"/>
    <n v="3999.9399999999996"/>
    <s v="Trek Slash 8 27.5 - 2016"/>
    <x v="7"/>
  </r>
  <r>
    <n v="326"/>
    <n v="1"/>
    <n v="12"/>
    <n v="1"/>
    <n v="549.99"/>
    <n v="0.1"/>
    <n v="549.89"/>
    <s v="Electra Townie Original 21D - 2016"/>
    <x v="7"/>
  </r>
  <r>
    <n v="327"/>
    <n v="1"/>
    <n v="12"/>
    <n v="2"/>
    <n v="549.99"/>
    <n v="7.0000000000000007E-2"/>
    <n v="1099.9100000000001"/>
    <s v="Electra Townie Original 21D - 2016"/>
    <x v="7"/>
  </r>
  <r>
    <n v="328"/>
    <n v="1"/>
    <n v="6"/>
    <n v="2"/>
    <n v="469.99"/>
    <n v="0.1"/>
    <n v="939.88"/>
    <s v="Surly Ice Cream Truck Frameset - 2016"/>
    <x v="7"/>
  </r>
  <r>
    <n v="329"/>
    <n v="1"/>
    <n v="14"/>
    <n v="2"/>
    <n v="269.99"/>
    <n v="7.0000000000000007E-2"/>
    <n v="539.91"/>
    <s v="Electra Girl's Hawaii 1 (16-inch) - 2015/2016"/>
    <x v="7"/>
  </r>
  <r>
    <n v="330"/>
    <n v="1"/>
    <n v="21"/>
    <n v="2"/>
    <n v="269.99"/>
    <n v="0.05"/>
    <n v="539.93000000000006"/>
    <s v="Electra Cruiser 1 (24-Inch) - 2016"/>
    <x v="7"/>
  </r>
  <r>
    <n v="331"/>
    <n v="1"/>
    <n v="17"/>
    <n v="2"/>
    <n v="429"/>
    <n v="0.1"/>
    <n v="857.9"/>
    <s v="Pure Cycles Vine 8-Speed - 2016"/>
    <x v="7"/>
  </r>
  <r>
    <n v="332"/>
    <n v="1"/>
    <n v="18"/>
    <n v="2"/>
    <n v="449"/>
    <n v="0.05"/>
    <n v="897.95"/>
    <s v="Pure Cycles Western 3-Speed - Women's - 2015/2016"/>
    <x v="7"/>
  </r>
  <r>
    <n v="333"/>
    <n v="1"/>
    <n v="18"/>
    <n v="2"/>
    <n v="449"/>
    <n v="7.0000000000000007E-2"/>
    <n v="897.93"/>
    <s v="Pure Cycles Western 3-Speed - Women's - 2015/2016"/>
    <x v="7"/>
  </r>
  <r>
    <n v="334"/>
    <n v="1"/>
    <n v="16"/>
    <n v="2"/>
    <n v="599.99"/>
    <n v="0.2"/>
    <n v="1199.78"/>
    <s v="Electra Townie Original 7D EQ - 2016"/>
    <x v="7"/>
  </r>
  <r>
    <n v="335"/>
    <n v="1"/>
    <n v="6"/>
    <n v="1"/>
    <n v="469.99"/>
    <n v="0.1"/>
    <n v="469.89"/>
    <s v="Surly Ice Cream Truck Frameset - 2016"/>
    <x v="7"/>
  </r>
  <r>
    <n v="336"/>
    <n v="1"/>
    <n v="4"/>
    <n v="1"/>
    <n v="2899.99"/>
    <n v="0.1"/>
    <n v="2899.89"/>
    <s v="Trek Fuel EX 8 29 - 2016"/>
    <x v="7"/>
  </r>
  <r>
    <n v="337"/>
    <n v="1"/>
    <n v="18"/>
    <n v="1"/>
    <n v="449"/>
    <n v="0.05"/>
    <n v="448.95"/>
    <s v="Pure Cycles Western 3-Speed - Women's - 2015/2016"/>
    <x v="7"/>
  </r>
  <r>
    <n v="338"/>
    <n v="1"/>
    <n v="6"/>
    <n v="2"/>
    <n v="469.99"/>
    <n v="7.0000000000000007E-2"/>
    <n v="939.91"/>
    <s v="Surly Ice Cream Truck Frameset - 2016"/>
    <x v="7"/>
  </r>
  <r>
    <n v="339"/>
    <n v="1"/>
    <n v="13"/>
    <n v="1"/>
    <n v="269.99"/>
    <n v="0.1"/>
    <n v="269.89"/>
    <s v="Electra Cruiser 1 (24-Inch) - 2016"/>
    <x v="7"/>
  </r>
  <r>
    <n v="340"/>
    <n v="1"/>
    <n v="11"/>
    <n v="1"/>
    <n v="1680.99"/>
    <n v="0.05"/>
    <n v="1680.94"/>
    <s v="Surly Straggler 650b - 2016"/>
    <x v="7"/>
  </r>
  <r>
    <n v="341"/>
    <n v="1"/>
    <n v="23"/>
    <n v="2"/>
    <n v="299.99"/>
    <n v="0.05"/>
    <n v="599.93000000000006"/>
    <s v="Electra Girl's Hawaii 1 (20-inch) - 2015/2016"/>
    <x v="7"/>
  </r>
  <r>
    <n v="342"/>
    <n v="1"/>
    <n v="26"/>
    <n v="1"/>
    <n v="599.99"/>
    <n v="7.0000000000000007E-2"/>
    <n v="599.91999999999996"/>
    <s v="Electra Townie Original 7D EQ - 2016"/>
    <x v="7"/>
  </r>
  <r>
    <n v="343"/>
    <n v="1"/>
    <n v="20"/>
    <n v="2"/>
    <n v="599.99"/>
    <n v="0.2"/>
    <n v="1199.78"/>
    <s v="Electra Townie Original 7D EQ - Women's - 2016"/>
    <x v="7"/>
  </r>
  <r>
    <n v="344"/>
    <n v="1"/>
    <n v="22"/>
    <n v="1"/>
    <n v="269.99"/>
    <n v="0.05"/>
    <n v="269.94"/>
    <s v="Electra Girl's Hawaii 1 (16-inch) - 2015/2016"/>
    <x v="7"/>
  </r>
  <r>
    <n v="345"/>
    <n v="1"/>
    <n v="18"/>
    <n v="2"/>
    <n v="449"/>
    <n v="0.1"/>
    <n v="897.9"/>
    <s v="Pure Cycles Western 3-Speed - Women's - 2015/2016"/>
    <x v="7"/>
  </r>
  <r>
    <n v="346"/>
    <n v="1"/>
    <n v="13"/>
    <n v="1"/>
    <n v="269.99"/>
    <n v="7.0000000000000007E-2"/>
    <n v="269.92"/>
    <s v="Electra Cruiser 1 (24-Inch) - 2016"/>
    <x v="7"/>
  </r>
  <r>
    <n v="347"/>
    <n v="1"/>
    <n v="23"/>
    <n v="1"/>
    <n v="299.99"/>
    <n v="7.0000000000000007E-2"/>
    <n v="299.92"/>
    <s v="Electra Girl's Hawaii 1 (20-inch) - 2015/2016"/>
    <x v="7"/>
  </r>
  <r>
    <n v="348"/>
    <n v="1"/>
    <n v="5"/>
    <n v="2"/>
    <n v="1320.99"/>
    <n v="0.05"/>
    <n v="2641.93"/>
    <s v="Heller Shagamaw Frame - 2016"/>
    <x v="7"/>
  </r>
  <r>
    <n v="349"/>
    <n v="1"/>
    <n v="20"/>
    <n v="2"/>
    <n v="599.99"/>
    <n v="0.2"/>
    <n v="1199.78"/>
    <s v="Electra Townie Original 7D EQ - Women's - 2016"/>
    <x v="7"/>
  </r>
  <r>
    <n v="350"/>
    <n v="1"/>
    <n v="6"/>
    <n v="2"/>
    <n v="469.99"/>
    <n v="0.05"/>
    <n v="939.93000000000006"/>
    <s v="Surly Ice Cream Truck Frameset - 2016"/>
    <x v="7"/>
  </r>
  <r>
    <n v="351"/>
    <n v="1"/>
    <n v="4"/>
    <n v="2"/>
    <n v="2899.99"/>
    <n v="0.05"/>
    <n v="5799.9299999999994"/>
    <s v="Trek Fuel EX 8 29 - 2016"/>
    <x v="7"/>
  </r>
  <r>
    <n v="352"/>
    <n v="1"/>
    <n v="11"/>
    <n v="1"/>
    <n v="1680.99"/>
    <n v="0.2"/>
    <n v="1680.79"/>
    <s v="Surly Straggler 650b - 2016"/>
    <x v="7"/>
  </r>
  <r>
    <n v="353"/>
    <n v="1"/>
    <n v="2"/>
    <n v="2"/>
    <n v="749.99"/>
    <n v="0.2"/>
    <n v="1499.78"/>
    <s v="Ritchey Timberwolf Frameset - 2016"/>
    <x v="7"/>
  </r>
  <r>
    <n v="354"/>
    <n v="1"/>
    <n v="21"/>
    <n v="1"/>
    <n v="269.99"/>
    <n v="0.2"/>
    <n v="269.79000000000002"/>
    <s v="Electra Cruiser 1 (24-Inch) - 2016"/>
    <x v="7"/>
  </r>
  <r>
    <n v="355"/>
    <n v="1"/>
    <n v="16"/>
    <n v="1"/>
    <n v="599.99"/>
    <n v="0.1"/>
    <n v="599.89"/>
    <s v="Electra Townie Original 7D EQ - 2016"/>
    <x v="7"/>
  </r>
  <r>
    <n v="356"/>
    <n v="1"/>
    <n v="23"/>
    <n v="2"/>
    <n v="299.99"/>
    <n v="0.05"/>
    <n v="599.93000000000006"/>
    <s v="Electra Girl's Hawaii 1 (20-inch) - 2015/2016"/>
    <x v="7"/>
  </r>
  <r>
    <n v="357"/>
    <n v="1"/>
    <n v="17"/>
    <n v="2"/>
    <n v="429"/>
    <n v="0.05"/>
    <n v="857.95"/>
    <s v="Pure Cycles Vine 8-Speed - 2016"/>
    <x v="7"/>
  </r>
  <r>
    <n v="358"/>
    <n v="1"/>
    <n v="21"/>
    <n v="2"/>
    <n v="269.99"/>
    <n v="0.1"/>
    <n v="539.88"/>
    <s v="Electra Cruiser 1 (24-Inch) - 2016"/>
    <x v="7"/>
  </r>
  <r>
    <n v="359"/>
    <n v="1"/>
    <n v="15"/>
    <n v="2"/>
    <n v="529.99"/>
    <n v="7.0000000000000007E-2"/>
    <n v="1059.9100000000001"/>
    <s v="Electra Moto 1 - 2016"/>
    <x v="7"/>
  </r>
  <r>
    <n v="360"/>
    <n v="1"/>
    <n v="26"/>
    <n v="1"/>
    <n v="599.99"/>
    <n v="0.05"/>
    <n v="599.94000000000005"/>
    <s v="Electra Townie Original 7D EQ - 2016"/>
    <x v="7"/>
  </r>
  <r>
    <n v="361"/>
    <n v="1"/>
    <n v="24"/>
    <n v="2"/>
    <n v="549.99"/>
    <n v="0.05"/>
    <n v="1099.93"/>
    <s v="Electra Townie Original 21D - 2016"/>
    <x v="7"/>
  </r>
  <r>
    <n v="362"/>
    <n v="1"/>
    <n v="2"/>
    <n v="1"/>
    <n v="749.99"/>
    <n v="7.0000000000000007E-2"/>
    <n v="749.92"/>
    <s v="Ritchey Timberwolf Frameset - 2016"/>
    <x v="7"/>
  </r>
  <r>
    <n v="363"/>
    <n v="1"/>
    <n v="21"/>
    <n v="2"/>
    <n v="269.99"/>
    <n v="0.1"/>
    <n v="539.88"/>
    <s v="Electra Cruiser 1 (24-Inch) - 2016"/>
    <x v="7"/>
  </r>
  <r>
    <n v="364"/>
    <n v="1"/>
    <n v="25"/>
    <n v="2"/>
    <n v="499.99"/>
    <n v="0.05"/>
    <n v="999.93000000000006"/>
    <s v="Electra Townie Original 7D - 2015/2016"/>
    <x v="7"/>
  </r>
  <r>
    <n v="365"/>
    <n v="1"/>
    <n v="24"/>
    <n v="2"/>
    <n v="549.99"/>
    <n v="7.0000000000000007E-2"/>
    <n v="1099.9100000000001"/>
    <s v="Electra Townie Original 21D - 2016"/>
    <x v="7"/>
  </r>
  <r>
    <n v="366"/>
    <n v="1"/>
    <n v="21"/>
    <n v="1"/>
    <n v="269.99"/>
    <n v="0.1"/>
    <n v="269.89"/>
    <s v="Electra Cruiser 1 (24-Inch) - 2016"/>
    <x v="7"/>
  </r>
  <r>
    <n v="367"/>
    <n v="1"/>
    <n v="26"/>
    <n v="2"/>
    <n v="599.99"/>
    <n v="0.1"/>
    <n v="1199.8800000000001"/>
    <s v="Electra Townie Original 7D EQ - 2016"/>
    <x v="7"/>
  </r>
  <r>
    <n v="368"/>
    <n v="1"/>
    <n v="5"/>
    <n v="1"/>
    <n v="1320.99"/>
    <n v="0.2"/>
    <n v="1320.79"/>
    <s v="Heller Shagamaw Frame - 2016"/>
    <x v="7"/>
  </r>
  <r>
    <n v="369"/>
    <n v="1"/>
    <n v="10"/>
    <n v="2"/>
    <n v="1549"/>
    <n v="7.0000000000000007E-2"/>
    <n v="3097.93"/>
    <s v="Surly Straggler - 2016"/>
    <x v="7"/>
  </r>
  <r>
    <n v="370"/>
    <n v="1"/>
    <n v="25"/>
    <n v="2"/>
    <n v="499.99"/>
    <n v="0.05"/>
    <n v="999.93000000000006"/>
    <s v="Electra Townie Original 7D - 2015/2016"/>
    <x v="7"/>
  </r>
  <r>
    <n v="371"/>
    <n v="1"/>
    <n v="14"/>
    <n v="1"/>
    <n v="269.99"/>
    <n v="0.2"/>
    <n v="269.79000000000002"/>
    <s v="Electra Girl's Hawaii 1 (16-inch) - 2015/2016"/>
    <x v="7"/>
  </r>
  <r>
    <n v="372"/>
    <n v="1"/>
    <n v="11"/>
    <n v="1"/>
    <n v="1680.99"/>
    <n v="0.05"/>
    <n v="1680.94"/>
    <s v="Surly Straggler 650b - 2016"/>
    <x v="7"/>
  </r>
  <r>
    <n v="373"/>
    <n v="1"/>
    <n v="8"/>
    <n v="2"/>
    <n v="1799.99"/>
    <n v="0.05"/>
    <n v="3599.93"/>
    <s v="Trek Remedy 29 Carbon Frameset - 2016"/>
    <x v="7"/>
  </r>
  <r>
    <n v="374"/>
    <n v="1"/>
    <n v="10"/>
    <n v="1"/>
    <n v="1549"/>
    <n v="0.1"/>
    <n v="1548.9"/>
    <s v="Surly Straggler - 2016"/>
    <x v="7"/>
  </r>
  <r>
    <n v="375"/>
    <n v="1"/>
    <n v="21"/>
    <n v="2"/>
    <n v="269.99"/>
    <n v="0.05"/>
    <n v="539.93000000000006"/>
    <s v="Electra Cruiser 1 (24-Inch) - 2016"/>
    <x v="7"/>
  </r>
  <r>
    <n v="376"/>
    <n v="1"/>
    <n v="2"/>
    <n v="2"/>
    <n v="749.99"/>
    <n v="7.0000000000000007E-2"/>
    <n v="1499.91"/>
    <s v="Ritchey Timberwolf Frameset - 2016"/>
    <x v="7"/>
  </r>
  <r>
    <n v="377"/>
    <n v="1"/>
    <n v="8"/>
    <n v="1"/>
    <n v="1799.99"/>
    <n v="0.05"/>
    <n v="1799.94"/>
    <s v="Trek Remedy 29 Carbon Frameset - 2016"/>
    <x v="7"/>
  </r>
  <r>
    <n v="378"/>
    <n v="1"/>
    <n v="26"/>
    <n v="2"/>
    <n v="599.99"/>
    <n v="0.05"/>
    <n v="1199.93"/>
    <s v="Electra Townie Original 7D EQ - 2016"/>
    <x v="7"/>
  </r>
  <r>
    <n v="379"/>
    <n v="1"/>
    <n v="9"/>
    <n v="1"/>
    <n v="2999.99"/>
    <n v="7.0000000000000007E-2"/>
    <n v="2999.9199999999996"/>
    <s v="Trek Conduit+ - 2016"/>
    <x v="7"/>
  </r>
  <r>
    <n v="380"/>
    <n v="1"/>
    <n v="16"/>
    <n v="1"/>
    <n v="599.99"/>
    <n v="0.05"/>
    <n v="599.94000000000005"/>
    <s v="Electra Townie Original 7D EQ - 2016"/>
    <x v="7"/>
  </r>
  <r>
    <n v="381"/>
    <n v="1"/>
    <n v="21"/>
    <n v="2"/>
    <n v="269.99"/>
    <n v="7.0000000000000007E-2"/>
    <n v="539.91"/>
    <s v="Electra Cruiser 1 (24-Inch) - 2016"/>
    <x v="7"/>
  </r>
  <r>
    <n v="382"/>
    <n v="1"/>
    <n v="8"/>
    <n v="1"/>
    <n v="1799.99"/>
    <n v="0.1"/>
    <n v="1799.89"/>
    <s v="Trek Remedy 29 Carbon Frameset - 2016"/>
    <x v="7"/>
  </r>
  <r>
    <n v="383"/>
    <n v="1"/>
    <n v="19"/>
    <n v="1"/>
    <n v="449"/>
    <n v="7.0000000000000007E-2"/>
    <n v="448.93"/>
    <s v="Pure Cycles William 3-Speed - 2016"/>
    <x v="7"/>
  </r>
  <r>
    <n v="384"/>
    <n v="1"/>
    <n v="20"/>
    <n v="1"/>
    <n v="599.99"/>
    <n v="0.1"/>
    <n v="599.89"/>
    <s v="Electra Townie Original 7D EQ - Women's - 2016"/>
    <x v="7"/>
  </r>
  <r>
    <n v="385"/>
    <n v="1"/>
    <n v="21"/>
    <n v="1"/>
    <n v="269.99"/>
    <n v="7.0000000000000007E-2"/>
    <n v="269.92"/>
    <s v="Electra Cruiser 1 (24-Inch) - 2016"/>
    <x v="7"/>
  </r>
  <r>
    <n v="386"/>
    <n v="1"/>
    <n v="8"/>
    <n v="1"/>
    <n v="1799.99"/>
    <n v="0.2"/>
    <n v="1799.79"/>
    <s v="Trek Remedy 29 Carbon Frameset - 2016"/>
    <x v="7"/>
  </r>
  <r>
    <n v="387"/>
    <n v="1"/>
    <n v="18"/>
    <n v="1"/>
    <n v="449"/>
    <n v="0.2"/>
    <n v="448.8"/>
    <s v="Pure Cycles Western 3-Speed - Women's - 2015/2016"/>
    <x v="7"/>
  </r>
  <r>
    <n v="388"/>
    <n v="1"/>
    <n v="19"/>
    <n v="2"/>
    <n v="449"/>
    <n v="0.2"/>
    <n v="897.8"/>
    <s v="Pure Cycles William 3-Speed - 2016"/>
    <x v="7"/>
  </r>
  <r>
    <n v="389"/>
    <n v="1"/>
    <n v="2"/>
    <n v="1"/>
    <n v="749.99"/>
    <n v="7.0000000000000007E-2"/>
    <n v="749.92"/>
    <s v="Ritchey Timberwolf Frameset - 2016"/>
    <x v="7"/>
  </r>
  <r>
    <n v="390"/>
    <n v="1"/>
    <n v="23"/>
    <n v="1"/>
    <n v="299.99"/>
    <n v="0.05"/>
    <n v="299.94"/>
    <s v="Electra Girl's Hawaii 1 (20-inch) - 2015/2016"/>
    <x v="7"/>
  </r>
  <r>
    <n v="391"/>
    <n v="1"/>
    <n v="8"/>
    <n v="1"/>
    <n v="1799.99"/>
    <n v="7.0000000000000007E-2"/>
    <n v="1799.92"/>
    <s v="Trek Remedy 29 Carbon Frameset - 2016"/>
    <x v="7"/>
  </r>
  <r>
    <n v="392"/>
    <n v="1"/>
    <n v="14"/>
    <n v="2"/>
    <n v="269.99"/>
    <n v="0.1"/>
    <n v="539.88"/>
    <s v="Electra Girl's Hawaii 1 (16-inch) - 2015/2016"/>
    <x v="7"/>
  </r>
  <r>
    <n v="393"/>
    <n v="1"/>
    <n v="6"/>
    <n v="2"/>
    <n v="469.99"/>
    <n v="0.2"/>
    <n v="939.78"/>
    <s v="Surly Ice Cream Truck Frameset - 2016"/>
    <x v="7"/>
  </r>
  <r>
    <n v="394"/>
    <n v="1"/>
    <n v="23"/>
    <n v="1"/>
    <n v="299.99"/>
    <n v="0.05"/>
    <n v="299.94"/>
    <s v="Electra Girl's Hawaii 1 (20-inch) - 2015/2016"/>
    <x v="7"/>
  </r>
  <r>
    <n v="395"/>
    <n v="1"/>
    <n v="14"/>
    <n v="1"/>
    <n v="269.99"/>
    <n v="0.05"/>
    <n v="269.94"/>
    <s v="Electra Girl's Hawaii 1 (16-inch) - 2015/2016"/>
    <x v="7"/>
  </r>
  <r>
    <n v="396"/>
    <n v="1"/>
    <n v="12"/>
    <n v="1"/>
    <n v="549.99"/>
    <n v="0.1"/>
    <n v="549.89"/>
    <s v="Electra Townie Original 21D - 2016"/>
    <x v="7"/>
  </r>
  <r>
    <n v="397"/>
    <n v="1"/>
    <n v="7"/>
    <n v="1"/>
    <n v="3999.99"/>
    <n v="0.05"/>
    <n v="3999.9399999999996"/>
    <s v="Trek Slash 8 27.5 - 2016"/>
    <x v="7"/>
  </r>
  <r>
    <n v="398"/>
    <n v="1"/>
    <n v="8"/>
    <n v="2"/>
    <n v="1799.99"/>
    <n v="0.05"/>
    <n v="3599.93"/>
    <s v="Trek Remedy 29 Carbon Frameset - 2016"/>
    <x v="7"/>
  </r>
  <r>
    <n v="399"/>
    <n v="1"/>
    <n v="25"/>
    <n v="1"/>
    <n v="499.99"/>
    <n v="0.05"/>
    <n v="499.94"/>
    <s v="Electra Townie Original 7D - 2015/2016"/>
    <x v="7"/>
  </r>
  <r>
    <n v="400"/>
    <n v="1"/>
    <n v="24"/>
    <n v="2"/>
    <n v="549.99"/>
    <n v="7.0000000000000007E-2"/>
    <n v="1099.9100000000001"/>
    <s v="Electra Townie Original 21D - 2016"/>
    <x v="7"/>
  </r>
  <r>
    <n v="401"/>
    <n v="1"/>
    <n v="23"/>
    <n v="1"/>
    <n v="299.99"/>
    <n v="0.2"/>
    <n v="299.79000000000002"/>
    <s v="Electra Girl's Hawaii 1 (20-inch) - 2015/2016"/>
    <x v="7"/>
  </r>
  <r>
    <n v="402"/>
    <n v="1"/>
    <n v="6"/>
    <n v="2"/>
    <n v="469.99"/>
    <n v="7.0000000000000007E-2"/>
    <n v="939.91"/>
    <s v="Surly Ice Cream Truck Frameset - 2016"/>
    <x v="7"/>
  </r>
  <r>
    <n v="403"/>
    <n v="1"/>
    <n v="12"/>
    <n v="2"/>
    <n v="549.99"/>
    <n v="0.1"/>
    <n v="1099.8800000000001"/>
    <s v="Electra Townie Original 21D - 2016"/>
    <x v="7"/>
  </r>
  <r>
    <n v="404"/>
    <n v="1"/>
    <n v="9"/>
    <n v="1"/>
    <n v="2999.99"/>
    <n v="7.0000000000000007E-2"/>
    <n v="2999.9199999999996"/>
    <s v="Trek Conduit+ - 2016"/>
    <x v="7"/>
  </r>
  <r>
    <n v="405"/>
    <n v="1"/>
    <n v="3"/>
    <n v="2"/>
    <n v="999.99"/>
    <n v="0.2"/>
    <n v="1999.78"/>
    <s v="Surly Wednesday Frameset - 2016"/>
    <x v="7"/>
  </r>
  <r>
    <n v="406"/>
    <n v="1"/>
    <n v="4"/>
    <n v="1"/>
    <n v="2899.99"/>
    <n v="0.2"/>
    <n v="2899.79"/>
    <s v="Trek Fuel EX 8 29 - 2016"/>
    <x v="7"/>
  </r>
  <r>
    <n v="407"/>
    <n v="1"/>
    <n v="20"/>
    <n v="1"/>
    <n v="599.99"/>
    <n v="0.2"/>
    <n v="599.79"/>
    <s v="Electra Townie Original 7D EQ - Women's - 2016"/>
    <x v="7"/>
  </r>
  <r>
    <n v="408"/>
    <n v="1"/>
    <n v="18"/>
    <n v="1"/>
    <n v="449"/>
    <n v="0.2"/>
    <n v="448.8"/>
    <s v="Pure Cycles Western 3-Speed - Women's - 2015/2016"/>
    <x v="7"/>
  </r>
  <r>
    <n v="409"/>
    <n v="1"/>
    <n v="15"/>
    <n v="1"/>
    <n v="529.99"/>
    <n v="7.0000000000000007E-2"/>
    <n v="529.91999999999996"/>
    <s v="Electra Moto 1 - 2016"/>
    <x v="7"/>
  </r>
  <r>
    <n v="410"/>
    <n v="1"/>
    <n v="25"/>
    <n v="1"/>
    <n v="499.99"/>
    <n v="0.1"/>
    <n v="499.89"/>
    <s v="Electra Townie Original 7D - 2015/2016"/>
    <x v="7"/>
  </r>
  <r>
    <n v="411"/>
    <n v="1"/>
    <n v="2"/>
    <n v="1"/>
    <n v="749.99"/>
    <n v="7.0000000000000007E-2"/>
    <n v="749.92"/>
    <s v="Ritchey Timberwolf Frameset - 2016"/>
    <x v="7"/>
  </r>
  <r>
    <n v="412"/>
    <n v="1"/>
    <n v="7"/>
    <n v="1"/>
    <n v="3999.99"/>
    <n v="0.1"/>
    <n v="3999.89"/>
    <s v="Trek Slash 8 27.5 - 2016"/>
    <x v="7"/>
  </r>
  <r>
    <n v="413"/>
    <n v="1"/>
    <n v="8"/>
    <n v="2"/>
    <n v="1799.99"/>
    <n v="0.05"/>
    <n v="3599.93"/>
    <s v="Trek Remedy 29 Carbon Frameset - 2016"/>
    <x v="7"/>
  </r>
  <r>
    <n v="414"/>
    <n v="1"/>
    <n v="4"/>
    <n v="2"/>
    <n v="2899.99"/>
    <n v="0.1"/>
    <n v="5799.8799999999992"/>
    <s v="Trek Fuel EX 8 29 - 2016"/>
    <x v="7"/>
  </r>
  <r>
    <n v="415"/>
    <n v="1"/>
    <n v="3"/>
    <n v="1"/>
    <n v="999.99"/>
    <n v="7.0000000000000007E-2"/>
    <n v="999.92"/>
    <s v="Surly Wednesday Frameset - 2016"/>
    <x v="7"/>
  </r>
  <r>
    <n v="416"/>
    <n v="1"/>
    <n v="22"/>
    <n v="1"/>
    <n v="269.99"/>
    <n v="7.0000000000000007E-2"/>
    <n v="269.92"/>
    <s v="Electra Girl's Hawaii 1 (16-inch) - 2015/2016"/>
    <x v="7"/>
  </r>
  <r>
    <n v="417"/>
    <n v="1"/>
    <n v="26"/>
    <n v="2"/>
    <n v="599.99"/>
    <n v="7.0000000000000007E-2"/>
    <n v="1199.9100000000001"/>
    <s v="Electra Townie Original 7D EQ - 2016"/>
    <x v="7"/>
  </r>
  <r>
    <n v="418"/>
    <n v="1"/>
    <n v="12"/>
    <n v="1"/>
    <n v="549.99"/>
    <n v="0.05"/>
    <n v="549.94000000000005"/>
    <s v="Electra Townie Original 21D - 2016"/>
    <x v="7"/>
  </r>
  <r>
    <n v="419"/>
    <n v="1"/>
    <n v="9"/>
    <n v="1"/>
    <n v="2999.99"/>
    <n v="0.05"/>
    <n v="2999.9399999999996"/>
    <s v="Trek Conduit+ - 2016"/>
    <x v="7"/>
  </r>
  <r>
    <n v="420"/>
    <n v="1"/>
    <n v="17"/>
    <n v="2"/>
    <n v="429"/>
    <n v="0.2"/>
    <n v="857.8"/>
    <s v="Pure Cycles Vine 8-Speed - 2016"/>
    <x v="7"/>
  </r>
  <r>
    <n v="421"/>
    <n v="1"/>
    <n v="6"/>
    <n v="2"/>
    <n v="469.99"/>
    <n v="7.0000000000000007E-2"/>
    <n v="939.91"/>
    <s v="Surly Ice Cream Truck Frameset - 2016"/>
    <x v="7"/>
  </r>
  <r>
    <n v="422"/>
    <n v="1"/>
    <n v="20"/>
    <n v="2"/>
    <n v="599.99"/>
    <n v="0.05"/>
    <n v="1199.93"/>
    <s v="Electra Townie Original 7D EQ - Women's - 2016"/>
    <x v="7"/>
  </r>
  <r>
    <n v="423"/>
    <n v="1"/>
    <n v="8"/>
    <n v="2"/>
    <n v="1799.99"/>
    <n v="0.05"/>
    <n v="3599.93"/>
    <s v="Trek Remedy 29 Carbon Frameset - 2016"/>
    <x v="7"/>
  </r>
  <r>
    <n v="424"/>
    <n v="1"/>
    <n v="22"/>
    <n v="1"/>
    <n v="269.99"/>
    <n v="0.1"/>
    <n v="269.89"/>
    <s v="Electra Girl's Hawaii 1 (16-inch) - 2015/2016"/>
    <x v="7"/>
  </r>
  <r>
    <n v="425"/>
    <n v="1"/>
    <n v="6"/>
    <n v="1"/>
    <n v="469.99"/>
    <n v="0.1"/>
    <n v="469.89"/>
    <s v="Surly Ice Cream Truck Frameset - 2016"/>
    <x v="7"/>
  </r>
  <r>
    <n v="426"/>
    <n v="1"/>
    <n v="10"/>
    <n v="1"/>
    <n v="1549"/>
    <n v="0.1"/>
    <n v="1548.9"/>
    <s v="Surly Straggler - 2016"/>
    <x v="7"/>
  </r>
  <r>
    <n v="427"/>
    <n v="1"/>
    <n v="12"/>
    <n v="2"/>
    <n v="549.99"/>
    <n v="7.0000000000000007E-2"/>
    <n v="1099.9100000000001"/>
    <s v="Electra Townie Original 21D - 2016"/>
    <x v="7"/>
  </r>
  <r>
    <n v="428"/>
    <n v="1"/>
    <n v="5"/>
    <n v="2"/>
    <n v="1320.99"/>
    <n v="0.2"/>
    <n v="2641.78"/>
    <s v="Heller Shagamaw Frame - 2016"/>
    <x v="7"/>
  </r>
  <r>
    <n v="429"/>
    <n v="1"/>
    <n v="11"/>
    <n v="1"/>
    <n v="1680.99"/>
    <n v="0.2"/>
    <n v="1680.79"/>
    <s v="Surly Straggler 650b - 2016"/>
    <x v="7"/>
  </r>
  <r>
    <n v="430"/>
    <n v="1"/>
    <n v="22"/>
    <n v="2"/>
    <n v="269.99"/>
    <n v="0.1"/>
    <n v="539.88"/>
    <s v="Electra Girl's Hawaii 1 (16-inch) - 2015/2016"/>
    <x v="7"/>
  </r>
  <r>
    <n v="431"/>
    <n v="1"/>
    <n v="14"/>
    <n v="2"/>
    <n v="269.99"/>
    <n v="0.2"/>
    <n v="539.78"/>
    <s v="Electra Girl's Hawaii 1 (16-inch) - 2015/2016"/>
    <x v="7"/>
  </r>
  <r>
    <n v="432"/>
    <n v="1"/>
    <n v="10"/>
    <n v="2"/>
    <n v="1549"/>
    <n v="0.2"/>
    <n v="3097.8"/>
    <s v="Surly Straggler - 2016"/>
    <x v="7"/>
  </r>
  <r>
    <n v="433"/>
    <n v="1"/>
    <n v="6"/>
    <n v="1"/>
    <n v="469.99"/>
    <n v="0.1"/>
    <n v="469.89"/>
    <s v="Surly Ice Cream Truck Frameset - 2016"/>
    <x v="7"/>
  </r>
  <r>
    <n v="434"/>
    <n v="1"/>
    <n v="21"/>
    <n v="1"/>
    <n v="269.99"/>
    <n v="0.05"/>
    <n v="269.94"/>
    <s v="Electra Cruiser 1 (24-Inch) - 2016"/>
    <x v="7"/>
  </r>
  <r>
    <n v="435"/>
    <n v="1"/>
    <n v="22"/>
    <n v="1"/>
    <n v="269.99"/>
    <n v="0.05"/>
    <n v="269.94"/>
    <s v="Electra Girl's Hawaii 1 (16-inch) - 2015/2016"/>
    <x v="7"/>
  </r>
  <r>
    <n v="436"/>
    <n v="1"/>
    <n v="3"/>
    <n v="1"/>
    <n v="999.99"/>
    <n v="0.05"/>
    <n v="999.94"/>
    <s v="Surly Wednesday Frameset - 2016"/>
    <x v="7"/>
  </r>
  <r>
    <n v="437"/>
    <n v="1"/>
    <n v="3"/>
    <n v="1"/>
    <n v="999.99"/>
    <n v="0.05"/>
    <n v="999.94"/>
    <s v="Surly Wednesday Frameset - 2016"/>
    <x v="7"/>
  </r>
  <r>
    <n v="438"/>
    <n v="1"/>
    <n v="4"/>
    <n v="1"/>
    <n v="2899.99"/>
    <n v="7.0000000000000007E-2"/>
    <n v="2899.9199999999996"/>
    <s v="Trek Fuel EX 8 29 - 2016"/>
    <x v="7"/>
  </r>
  <r>
    <n v="439"/>
    <n v="1"/>
    <n v="6"/>
    <n v="2"/>
    <n v="469.99"/>
    <n v="7.0000000000000007E-2"/>
    <n v="939.91"/>
    <s v="Surly Ice Cream Truck Frameset - 2016"/>
    <x v="7"/>
  </r>
  <r>
    <n v="440"/>
    <n v="1"/>
    <n v="19"/>
    <n v="2"/>
    <n v="449"/>
    <n v="7.0000000000000007E-2"/>
    <n v="897.93"/>
    <s v="Pure Cycles William 3-Speed - 2016"/>
    <x v="7"/>
  </r>
  <r>
    <n v="441"/>
    <n v="1"/>
    <n v="12"/>
    <n v="1"/>
    <n v="549.99"/>
    <n v="7.0000000000000007E-2"/>
    <n v="549.91999999999996"/>
    <s v="Electra Townie Original 21D - 2016"/>
    <x v="7"/>
  </r>
  <r>
    <n v="442"/>
    <n v="1"/>
    <n v="16"/>
    <n v="2"/>
    <n v="599.99"/>
    <n v="7.0000000000000007E-2"/>
    <n v="1199.9100000000001"/>
    <s v="Electra Townie Original 7D EQ - 2016"/>
    <x v="7"/>
  </r>
  <r>
    <n v="443"/>
    <n v="1"/>
    <n v="5"/>
    <n v="1"/>
    <n v="1320.99"/>
    <n v="0.05"/>
    <n v="1320.94"/>
    <s v="Heller Shagamaw Frame - 2016"/>
    <x v="7"/>
  </r>
  <r>
    <n v="444"/>
    <n v="1"/>
    <n v="22"/>
    <n v="1"/>
    <n v="269.99"/>
    <n v="7.0000000000000007E-2"/>
    <n v="269.92"/>
    <s v="Electra Girl's Hawaii 1 (16-inch) - 2015/2016"/>
    <x v="7"/>
  </r>
  <r>
    <n v="445"/>
    <n v="1"/>
    <n v="7"/>
    <n v="1"/>
    <n v="3999.99"/>
    <n v="0.2"/>
    <n v="3999.79"/>
    <s v="Trek Slash 8 27.5 - 2016"/>
    <x v="7"/>
  </r>
  <r>
    <n v="446"/>
    <n v="1"/>
    <n v="22"/>
    <n v="1"/>
    <n v="269.99"/>
    <n v="0.2"/>
    <n v="269.79000000000002"/>
    <s v="Electra Girl's Hawaii 1 (16-inch) - 2015/2016"/>
    <x v="7"/>
  </r>
  <r>
    <n v="447"/>
    <n v="1"/>
    <n v="4"/>
    <n v="2"/>
    <n v="2899.99"/>
    <n v="0.05"/>
    <n v="5799.9299999999994"/>
    <s v="Trek Fuel EX 8 29 - 2016"/>
    <x v="7"/>
  </r>
  <r>
    <n v="448"/>
    <n v="1"/>
    <n v="13"/>
    <n v="2"/>
    <n v="269.99"/>
    <n v="0.05"/>
    <n v="539.93000000000006"/>
    <s v="Electra Cruiser 1 (24-Inch) - 2016"/>
    <x v="7"/>
  </r>
  <r>
    <n v="449"/>
    <n v="1"/>
    <n v="17"/>
    <n v="2"/>
    <n v="429"/>
    <n v="0.05"/>
    <n v="857.95"/>
    <s v="Pure Cycles Vine 8-Speed - 2016"/>
    <x v="7"/>
  </r>
  <r>
    <n v="450"/>
    <n v="1"/>
    <n v="24"/>
    <n v="1"/>
    <n v="549.99"/>
    <n v="0.05"/>
    <n v="549.94000000000005"/>
    <s v="Electra Townie Original 21D - 2016"/>
    <x v="7"/>
  </r>
  <r>
    <n v="451"/>
    <n v="1"/>
    <n v="14"/>
    <n v="2"/>
    <n v="269.99"/>
    <n v="0.05"/>
    <n v="539.93000000000006"/>
    <s v="Electra Girl's Hawaii 1 (16-inch) - 2015/2016"/>
    <x v="7"/>
  </r>
  <r>
    <n v="452"/>
    <n v="1"/>
    <n v="11"/>
    <n v="1"/>
    <n v="1680.99"/>
    <n v="0.05"/>
    <n v="1680.94"/>
    <s v="Surly Straggler 650b - 2016"/>
    <x v="7"/>
  </r>
  <r>
    <n v="453"/>
    <n v="1"/>
    <n v="23"/>
    <n v="1"/>
    <n v="299.99"/>
    <n v="0.05"/>
    <n v="299.94"/>
    <s v="Electra Girl's Hawaii 1 (20-inch) - 2015/2016"/>
    <x v="7"/>
  </r>
  <r>
    <n v="454"/>
    <n v="1"/>
    <n v="25"/>
    <n v="2"/>
    <n v="499.99"/>
    <n v="7.0000000000000007E-2"/>
    <n v="999.91"/>
    <s v="Electra Townie Original 7D - 2015/2016"/>
    <x v="7"/>
  </r>
  <r>
    <n v="455"/>
    <n v="1"/>
    <n v="9"/>
    <n v="1"/>
    <n v="2999.99"/>
    <n v="0.05"/>
    <n v="2999.9399999999996"/>
    <s v="Trek Conduit+ - 2016"/>
    <x v="7"/>
  </r>
  <r>
    <n v="456"/>
    <n v="1"/>
    <n v="17"/>
    <n v="2"/>
    <n v="429"/>
    <n v="7.0000000000000007E-2"/>
    <n v="857.93"/>
    <s v="Pure Cycles Vine 8-Speed - 2016"/>
    <x v="7"/>
  </r>
  <r>
    <n v="457"/>
    <n v="1"/>
    <n v="24"/>
    <n v="2"/>
    <n v="549.99"/>
    <n v="7.0000000000000007E-2"/>
    <n v="1099.9100000000001"/>
    <s v="Electra Townie Original 21D - 2016"/>
    <x v="7"/>
  </r>
  <r>
    <n v="458"/>
    <n v="1"/>
    <n v="2"/>
    <n v="1"/>
    <n v="749.99"/>
    <n v="0.2"/>
    <n v="749.79"/>
    <s v="Ritchey Timberwolf Frameset - 2016"/>
    <x v="7"/>
  </r>
  <r>
    <n v="459"/>
    <n v="1"/>
    <n v="11"/>
    <n v="1"/>
    <n v="1680.99"/>
    <n v="0.2"/>
    <n v="1680.79"/>
    <s v="Surly Straggler 650b - 2016"/>
    <x v="7"/>
  </r>
  <r>
    <n v="460"/>
    <n v="1"/>
    <n v="19"/>
    <n v="1"/>
    <n v="449"/>
    <n v="0.05"/>
    <n v="448.95"/>
    <s v="Pure Cycles William 3-Speed - 2016"/>
    <x v="7"/>
  </r>
  <r>
    <n v="461"/>
    <n v="1"/>
    <n v="16"/>
    <n v="1"/>
    <n v="599.99"/>
    <n v="7.0000000000000007E-2"/>
    <n v="599.91999999999996"/>
    <s v="Electra Townie Original 7D EQ - 2016"/>
    <x v="7"/>
  </r>
  <r>
    <n v="462"/>
    <n v="1"/>
    <n v="12"/>
    <n v="2"/>
    <n v="549.99"/>
    <n v="0.1"/>
    <n v="1099.8800000000001"/>
    <s v="Electra Townie Original 21D - 2016"/>
    <x v="7"/>
  </r>
  <r>
    <n v="463"/>
    <n v="1"/>
    <n v="13"/>
    <n v="2"/>
    <n v="269.99"/>
    <n v="7.0000000000000007E-2"/>
    <n v="539.91"/>
    <s v="Electra Cruiser 1 (24-Inch) - 2016"/>
    <x v="7"/>
  </r>
  <r>
    <n v="464"/>
    <n v="1"/>
    <n v="7"/>
    <n v="1"/>
    <n v="3999.99"/>
    <n v="0.1"/>
    <n v="3999.89"/>
    <s v="Trek Slash 8 27.5 - 2016"/>
    <x v="7"/>
  </r>
  <r>
    <n v="465"/>
    <n v="1"/>
    <n v="6"/>
    <n v="2"/>
    <n v="469.99"/>
    <n v="0.1"/>
    <n v="939.88"/>
    <s v="Surly Ice Cream Truck Frameset - 2016"/>
    <x v="7"/>
  </r>
  <r>
    <n v="466"/>
    <n v="1"/>
    <n v="19"/>
    <n v="2"/>
    <n v="449"/>
    <n v="0.2"/>
    <n v="897.8"/>
    <s v="Pure Cycles William 3-Speed - 2016"/>
    <x v="7"/>
  </r>
  <r>
    <n v="467"/>
    <n v="1"/>
    <n v="19"/>
    <n v="1"/>
    <n v="449"/>
    <n v="7.0000000000000007E-2"/>
    <n v="448.93"/>
    <s v="Pure Cycles William 3-Speed - 2016"/>
    <x v="7"/>
  </r>
  <r>
    <n v="468"/>
    <n v="1"/>
    <n v="19"/>
    <n v="1"/>
    <n v="449"/>
    <n v="0.1"/>
    <n v="448.9"/>
    <s v="Pure Cycles William 3-Speed - 2016"/>
    <x v="7"/>
  </r>
  <r>
    <n v="469"/>
    <n v="1"/>
    <n v="8"/>
    <n v="2"/>
    <n v="1799.99"/>
    <n v="0.1"/>
    <n v="3599.88"/>
    <s v="Trek Remedy 29 Carbon Frameset - 2016"/>
    <x v="7"/>
  </r>
  <r>
    <n v="470"/>
    <n v="1"/>
    <n v="18"/>
    <n v="1"/>
    <n v="449"/>
    <n v="0.05"/>
    <n v="448.95"/>
    <s v="Pure Cycles Western 3-Speed - Women's - 2015/2016"/>
    <x v="7"/>
  </r>
  <r>
    <n v="471"/>
    <n v="1"/>
    <n v="14"/>
    <n v="1"/>
    <n v="269.99"/>
    <n v="0.2"/>
    <n v="269.79000000000002"/>
    <s v="Electra Girl's Hawaii 1 (16-inch) - 2015/2016"/>
    <x v="7"/>
  </r>
  <r>
    <n v="472"/>
    <n v="1"/>
    <n v="15"/>
    <n v="1"/>
    <n v="529.99"/>
    <n v="0.1"/>
    <n v="529.89"/>
    <s v="Electra Moto 1 - 2016"/>
    <x v="7"/>
  </r>
  <r>
    <n v="473"/>
    <n v="1"/>
    <n v="26"/>
    <n v="1"/>
    <n v="599.99"/>
    <n v="7.0000000000000007E-2"/>
    <n v="599.91999999999996"/>
    <s v="Electra Townie Original 7D EQ - 2016"/>
    <x v="7"/>
  </r>
  <r>
    <n v="474"/>
    <n v="1"/>
    <n v="19"/>
    <n v="2"/>
    <n v="449"/>
    <n v="0.05"/>
    <n v="897.95"/>
    <s v="Pure Cycles William 3-Speed - 2016"/>
    <x v="7"/>
  </r>
  <r>
    <n v="475"/>
    <n v="1"/>
    <n v="17"/>
    <n v="2"/>
    <n v="429"/>
    <n v="7.0000000000000007E-2"/>
    <n v="857.93"/>
    <s v="Pure Cycles Vine 8-Speed - 2016"/>
    <x v="7"/>
  </r>
  <r>
    <n v="476"/>
    <n v="1"/>
    <n v="22"/>
    <n v="2"/>
    <n v="269.99"/>
    <n v="7.0000000000000007E-2"/>
    <n v="539.91"/>
    <s v="Electra Girl's Hawaii 1 (16-inch) - 2015/2016"/>
    <x v="7"/>
  </r>
  <r>
    <n v="477"/>
    <n v="1"/>
    <n v="6"/>
    <n v="1"/>
    <n v="469.99"/>
    <n v="0.1"/>
    <n v="469.89"/>
    <s v="Surly Ice Cream Truck Frameset - 2016"/>
    <x v="7"/>
  </r>
  <r>
    <n v="478"/>
    <n v="1"/>
    <n v="21"/>
    <n v="2"/>
    <n v="269.99"/>
    <n v="7.0000000000000007E-2"/>
    <n v="539.91"/>
    <s v="Electra Cruiser 1 (24-Inch) - 2016"/>
    <x v="7"/>
  </r>
  <r>
    <n v="479"/>
    <n v="1"/>
    <n v="26"/>
    <n v="1"/>
    <n v="599.99"/>
    <n v="7.0000000000000007E-2"/>
    <n v="599.91999999999996"/>
    <s v="Electra Townie Original 7D EQ - 2016"/>
    <x v="7"/>
  </r>
  <r>
    <n v="480"/>
    <n v="1"/>
    <n v="4"/>
    <n v="1"/>
    <n v="2899.99"/>
    <n v="0.05"/>
    <n v="2899.9399999999996"/>
    <s v="Trek Fuel EX 8 29 - 2016"/>
    <x v="7"/>
  </r>
  <r>
    <n v="481"/>
    <n v="1"/>
    <n v="13"/>
    <n v="2"/>
    <n v="269.99"/>
    <n v="0.2"/>
    <n v="539.78"/>
    <s v="Electra Cruiser 1 (24-Inch) - 2016"/>
    <x v="7"/>
  </r>
  <r>
    <n v="482"/>
    <n v="1"/>
    <n v="13"/>
    <n v="1"/>
    <n v="269.99"/>
    <n v="0.2"/>
    <n v="269.79000000000002"/>
    <s v="Electra Cruiser 1 (24-Inch) - 2016"/>
    <x v="7"/>
  </r>
  <r>
    <n v="483"/>
    <n v="1"/>
    <n v="17"/>
    <n v="1"/>
    <n v="429"/>
    <n v="7.0000000000000007E-2"/>
    <n v="428.93"/>
    <s v="Pure Cycles Vine 8-Speed - 2016"/>
    <x v="7"/>
  </r>
  <r>
    <n v="484"/>
    <n v="1"/>
    <n v="8"/>
    <n v="2"/>
    <n v="1799.99"/>
    <n v="0.1"/>
    <n v="3599.88"/>
    <s v="Trek Remedy 29 Carbon Frameset - 2016"/>
    <x v="7"/>
  </r>
  <r>
    <n v="485"/>
    <n v="1"/>
    <n v="13"/>
    <n v="1"/>
    <n v="269.99"/>
    <n v="0.1"/>
    <n v="269.89"/>
    <s v="Electra Cruiser 1 (24-Inch) - 2016"/>
    <x v="7"/>
  </r>
  <r>
    <n v="486"/>
    <n v="1"/>
    <n v="9"/>
    <n v="1"/>
    <n v="2999.99"/>
    <n v="7.0000000000000007E-2"/>
    <n v="2999.9199999999996"/>
    <s v="Trek Conduit+ - 2016"/>
    <x v="7"/>
  </r>
  <r>
    <n v="487"/>
    <n v="1"/>
    <n v="6"/>
    <n v="1"/>
    <n v="469.99"/>
    <n v="0.2"/>
    <n v="469.79"/>
    <s v="Surly Ice Cream Truck Frameset - 2016"/>
    <x v="7"/>
  </r>
  <r>
    <n v="488"/>
    <n v="1"/>
    <n v="13"/>
    <n v="2"/>
    <n v="269.99"/>
    <n v="7.0000000000000007E-2"/>
    <n v="539.91"/>
    <s v="Electra Cruiser 1 (24-Inch) - 2016"/>
    <x v="7"/>
  </r>
  <r>
    <n v="489"/>
    <n v="1"/>
    <n v="8"/>
    <n v="2"/>
    <n v="1799.99"/>
    <n v="0.1"/>
    <n v="3599.88"/>
    <s v="Trek Remedy 29 Carbon Frameset - 2016"/>
    <x v="7"/>
  </r>
  <r>
    <n v="490"/>
    <n v="1"/>
    <n v="12"/>
    <n v="1"/>
    <n v="549.99"/>
    <n v="0.1"/>
    <n v="549.89"/>
    <s v="Electra Townie Original 21D - 2016"/>
    <x v="7"/>
  </r>
  <r>
    <n v="491"/>
    <n v="1"/>
    <n v="9"/>
    <n v="2"/>
    <n v="2999.99"/>
    <n v="0.2"/>
    <n v="5999.78"/>
    <s v="Trek Conduit+ - 2016"/>
    <x v="7"/>
  </r>
  <r>
    <n v="492"/>
    <n v="1"/>
    <n v="6"/>
    <n v="1"/>
    <n v="469.99"/>
    <n v="0.1"/>
    <n v="469.89"/>
    <s v="Surly Ice Cream Truck Frameset - 2016"/>
    <x v="7"/>
  </r>
  <r>
    <n v="493"/>
    <n v="1"/>
    <n v="15"/>
    <n v="1"/>
    <n v="529.99"/>
    <n v="0.05"/>
    <n v="529.94000000000005"/>
    <s v="Electra Moto 1 - 2016"/>
    <x v="7"/>
  </r>
  <r>
    <n v="494"/>
    <n v="1"/>
    <n v="23"/>
    <n v="1"/>
    <n v="299.99"/>
    <n v="0.1"/>
    <n v="299.89"/>
    <s v="Electra Girl's Hawaii 1 (20-inch) - 2015/2016"/>
    <x v="7"/>
  </r>
  <r>
    <n v="495"/>
    <n v="1"/>
    <n v="22"/>
    <n v="1"/>
    <n v="269.99"/>
    <n v="0.2"/>
    <n v="269.79000000000002"/>
    <s v="Electra Girl's Hawaii 1 (16-inch) - 2015/2016"/>
    <x v="7"/>
  </r>
  <r>
    <n v="496"/>
    <n v="1"/>
    <n v="23"/>
    <n v="1"/>
    <n v="299.99"/>
    <n v="0.2"/>
    <n v="299.79000000000002"/>
    <s v="Electra Girl's Hawaii 1 (20-inch) - 2015/2016"/>
    <x v="7"/>
  </r>
  <r>
    <n v="497"/>
    <n v="1"/>
    <n v="25"/>
    <n v="2"/>
    <n v="499.99"/>
    <n v="7.0000000000000007E-2"/>
    <n v="999.91"/>
    <s v="Electra Townie Original 7D - 2015/2016"/>
    <x v="7"/>
  </r>
  <r>
    <n v="498"/>
    <n v="1"/>
    <n v="24"/>
    <n v="1"/>
    <n v="549.99"/>
    <n v="7.0000000000000007E-2"/>
    <n v="549.91999999999996"/>
    <s v="Electra Townie Original 21D - 2016"/>
    <x v="7"/>
  </r>
  <r>
    <n v="499"/>
    <n v="1"/>
    <n v="11"/>
    <n v="1"/>
    <n v="1680.99"/>
    <n v="0.2"/>
    <n v="1680.79"/>
    <s v="Surly Straggler 650b - 2016"/>
    <x v="7"/>
  </r>
  <r>
    <n v="500"/>
    <n v="1"/>
    <n v="12"/>
    <n v="2"/>
    <n v="549.99"/>
    <n v="0.05"/>
    <n v="1099.93"/>
    <s v="Electra Townie Original 21D - 2016"/>
    <x v="7"/>
  </r>
  <r>
    <n v="501"/>
    <n v="1"/>
    <n v="19"/>
    <n v="2"/>
    <n v="449"/>
    <n v="0.05"/>
    <n v="897.95"/>
    <s v="Pure Cycles William 3-Speed - 2016"/>
    <x v="7"/>
  </r>
  <r>
    <n v="502"/>
    <n v="1"/>
    <n v="13"/>
    <n v="1"/>
    <n v="269.99"/>
    <n v="0.05"/>
    <n v="269.94"/>
    <s v="Electra Cruiser 1 (24-Inch) - 2016"/>
    <x v="7"/>
  </r>
  <r>
    <n v="503"/>
    <n v="1"/>
    <n v="13"/>
    <n v="2"/>
    <n v="269.99"/>
    <n v="7.0000000000000007E-2"/>
    <n v="539.91"/>
    <s v="Electra Cruiser 1 (24-Inch) - 2016"/>
    <x v="7"/>
  </r>
  <r>
    <n v="504"/>
    <n v="1"/>
    <n v="24"/>
    <n v="2"/>
    <n v="549.99"/>
    <n v="0.1"/>
    <n v="1099.8800000000001"/>
    <s v="Electra Townie Original 21D - 2016"/>
    <x v="7"/>
  </r>
  <r>
    <n v="505"/>
    <n v="1"/>
    <n v="26"/>
    <n v="1"/>
    <n v="599.99"/>
    <n v="0.2"/>
    <n v="599.79"/>
    <s v="Electra Townie Original 7D EQ - 2016"/>
    <x v="7"/>
  </r>
  <r>
    <n v="506"/>
    <n v="1"/>
    <n v="25"/>
    <n v="1"/>
    <n v="499.99"/>
    <n v="0.1"/>
    <n v="499.89"/>
    <s v="Electra Townie Original 7D - 2015/2016"/>
    <x v="7"/>
  </r>
  <r>
    <n v="507"/>
    <n v="1"/>
    <n v="11"/>
    <n v="2"/>
    <n v="1680.99"/>
    <n v="0.05"/>
    <n v="3361.93"/>
    <s v="Surly Straggler 650b - 2016"/>
    <x v="7"/>
  </r>
  <r>
    <n v="508"/>
    <n v="1"/>
    <n v="8"/>
    <n v="1"/>
    <n v="1799.99"/>
    <n v="0.05"/>
    <n v="1799.94"/>
    <s v="Trek Remedy 29 Carbon Frameset - 2016"/>
    <x v="7"/>
  </r>
  <r>
    <n v="509"/>
    <n v="1"/>
    <n v="23"/>
    <n v="2"/>
    <n v="299.99"/>
    <n v="0.2"/>
    <n v="599.78"/>
    <s v="Electra Girl's Hawaii 1 (20-inch) - 2015/2016"/>
    <x v="7"/>
  </r>
  <r>
    <n v="510"/>
    <n v="1"/>
    <n v="17"/>
    <n v="1"/>
    <n v="429"/>
    <n v="0.1"/>
    <n v="428.9"/>
    <s v="Pure Cycles Vine 8-Speed - 2016"/>
    <x v="7"/>
  </r>
  <r>
    <n v="511"/>
    <n v="1"/>
    <n v="22"/>
    <n v="2"/>
    <n v="269.99"/>
    <n v="0.05"/>
    <n v="539.93000000000006"/>
    <s v="Electra Girl's Hawaii 1 (16-inch) - 2015/2016"/>
    <x v="7"/>
  </r>
  <r>
    <n v="512"/>
    <n v="1"/>
    <n v="21"/>
    <n v="1"/>
    <n v="269.99"/>
    <n v="7.0000000000000007E-2"/>
    <n v="269.92"/>
    <s v="Electra Cruiser 1 (24-Inch) - 2016"/>
    <x v="7"/>
  </r>
  <r>
    <n v="513"/>
    <n v="1"/>
    <n v="7"/>
    <n v="1"/>
    <n v="3999.99"/>
    <n v="7.0000000000000007E-2"/>
    <n v="3999.9199999999996"/>
    <s v="Trek Slash 8 27.5 - 2016"/>
    <x v="7"/>
  </r>
  <r>
    <n v="514"/>
    <n v="1"/>
    <n v="18"/>
    <n v="2"/>
    <n v="449"/>
    <n v="0.2"/>
    <n v="897.8"/>
    <s v="Pure Cycles Western 3-Speed - Women's - 2015/2016"/>
    <x v="7"/>
  </r>
  <r>
    <n v="515"/>
    <n v="1"/>
    <n v="8"/>
    <n v="1"/>
    <n v="1799.99"/>
    <n v="7.0000000000000007E-2"/>
    <n v="1799.92"/>
    <s v="Trek Remedy 29 Carbon Frameset - 2016"/>
    <x v="7"/>
  </r>
  <r>
    <n v="516"/>
    <n v="1"/>
    <n v="7"/>
    <n v="1"/>
    <n v="3999.99"/>
    <n v="0.05"/>
    <n v="3999.9399999999996"/>
    <s v="Trek Slash 8 27.5 - 2016"/>
    <x v="7"/>
  </r>
  <r>
    <n v="517"/>
    <n v="1"/>
    <n v="21"/>
    <n v="2"/>
    <n v="269.99"/>
    <n v="7.0000000000000007E-2"/>
    <n v="539.91"/>
    <s v="Electra Cruiser 1 (24-Inch) - 2016"/>
    <x v="7"/>
  </r>
  <r>
    <n v="518"/>
    <n v="1"/>
    <n v="16"/>
    <n v="2"/>
    <n v="599.99"/>
    <n v="0.2"/>
    <n v="1199.78"/>
    <s v="Electra Townie Original 7D EQ - 2016"/>
    <x v="7"/>
  </r>
  <r>
    <n v="519"/>
    <n v="1"/>
    <n v="6"/>
    <n v="1"/>
    <n v="469.99"/>
    <n v="7.0000000000000007E-2"/>
    <n v="469.92"/>
    <s v="Surly Ice Cream Truck Frameset - 2016"/>
    <x v="7"/>
  </r>
  <r>
    <n v="520"/>
    <n v="1"/>
    <n v="26"/>
    <n v="1"/>
    <n v="599.99"/>
    <n v="0.1"/>
    <n v="599.89"/>
    <s v="Electra Townie Original 7D EQ - 2016"/>
    <x v="7"/>
  </r>
  <r>
    <n v="521"/>
    <n v="1"/>
    <n v="5"/>
    <n v="1"/>
    <n v="1320.99"/>
    <n v="0.2"/>
    <n v="1320.79"/>
    <s v="Heller Shagamaw Frame - 2016"/>
    <x v="7"/>
  </r>
  <r>
    <n v="522"/>
    <n v="1"/>
    <n v="4"/>
    <n v="2"/>
    <n v="2899.99"/>
    <n v="7.0000000000000007E-2"/>
    <n v="5799.91"/>
    <s v="Trek Fuel EX 8 29 - 2016"/>
    <x v="7"/>
  </r>
  <r>
    <n v="523"/>
    <n v="1"/>
    <n v="12"/>
    <n v="1"/>
    <n v="549.99"/>
    <n v="0.2"/>
    <n v="549.79"/>
    <s v="Electra Townie Original 21D - 2016"/>
    <x v="7"/>
  </r>
  <r>
    <n v="524"/>
    <n v="1"/>
    <n v="11"/>
    <n v="1"/>
    <n v="1680.99"/>
    <n v="7.0000000000000007E-2"/>
    <n v="1680.92"/>
    <s v="Surly Straggler 650b - 2016"/>
    <x v="7"/>
  </r>
  <r>
    <n v="525"/>
    <n v="1"/>
    <n v="9"/>
    <n v="2"/>
    <n v="2999.99"/>
    <n v="7.0000000000000007E-2"/>
    <n v="5999.91"/>
    <s v="Trek Conduit+ - 2016"/>
    <x v="7"/>
  </r>
  <r>
    <n v="526"/>
    <n v="1"/>
    <n v="3"/>
    <n v="2"/>
    <n v="999.99"/>
    <n v="0.1"/>
    <n v="1999.88"/>
    <s v="Surly Wednesday Frameset - 2016"/>
    <x v="7"/>
  </r>
  <r>
    <n v="527"/>
    <n v="1"/>
    <n v="18"/>
    <n v="2"/>
    <n v="449"/>
    <n v="7.0000000000000007E-2"/>
    <n v="897.93"/>
    <s v="Pure Cycles Western 3-Speed - Women's - 2015/2016"/>
    <x v="7"/>
  </r>
  <r>
    <n v="528"/>
    <n v="1"/>
    <n v="21"/>
    <n v="2"/>
    <n v="269.99"/>
    <n v="0.05"/>
    <n v="539.93000000000006"/>
    <s v="Electra Cruiser 1 (24-Inch) - 2016"/>
    <x v="7"/>
  </r>
  <r>
    <n v="529"/>
    <n v="1"/>
    <n v="12"/>
    <n v="2"/>
    <n v="549.99"/>
    <n v="7.0000000000000007E-2"/>
    <n v="1099.9100000000001"/>
    <s v="Electra Townie Original 21D - 2016"/>
    <x v="7"/>
  </r>
  <r>
    <n v="530"/>
    <n v="1"/>
    <n v="2"/>
    <n v="2"/>
    <n v="749.99"/>
    <n v="0.05"/>
    <n v="1499.93"/>
    <s v="Ritchey Timberwolf Frameset - 2016"/>
    <x v="7"/>
  </r>
  <r>
    <n v="531"/>
    <n v="1"/>
    <n v="6"/>
    <n v="1"/>
    <n v="469.99"/>
    <n v="0.2"/>
    <n v="469.79"/>
    <s v="Surly Ice Cream Truck Frameset - 2016"/>
    <x v="7"/>
  </r>
  <r>
    <n v="532"/>
    <n v="1"/>
    <n v="17"/>
    <n v="2"/>
    <n v="429"/>
    <n v="7.0000000000000007E-2"/>
    <n v="857.93"/>
    <s v="Pure Cycles Vine 8-Speed - 2016"/>
    <x v="7"/>
  </r>
  <r>
    <n v="533"/>
    <n v="1"/>
    <n v="4"/>
    <n v="1"/>
    <n v="2899.99"/>
    <n v="0.2"/>
    <n v="2899.79"/>
    <s v="Trek Fuel EX 8 29 - 2016"/>
    <x v="7"/>
  </r>
  <r>
    <n v="534"/>
    <n v="1"/>
    <n v="21"/>
    <n v="2"/>
    <n v="269.99"/>
    <n v="0.05"/>
    <n v="539.93000000000006"/>
    <s v="Electra Cruiser 1 (24-Inch) - 2016"/>
    <x v="7"/>
  </r>
  <r>
    <n v="535"/>
    <n v="1"/>
    <n v="24"/>
    <n v="1"/>
    <n v="549.99"/>
    <n v="0.05"/>
    <n v="549.94000000000005"/>
    <s v="Electra Townie Original 21D - 2016"/>
    <x v="7"/>
  </r>
  <r>
    <n v="536"/>
    <n v="1"/>
    <n v="22"/>
    <n v="1"/>
    <n v="269.99"/>
    <n v="0.1"/>
    <n v="269.89"/>
    <s v="Electra Girl's Hawaii 1 (16-inch) - 2015/2016"/>
    <x v="7"/>
  </r>
  <r>
    <n v="537"/>
    <n v="1"/>
    <n v="10"/>
    <n v="1"/>
    <n v="1549"/>
    <n v="0.05"/>
    <n v="1548.95"/>
    <s v="Surly Straggler - 2016"/>
    <x v="7"/>
  </r>
  <r>
    <n v="538"/>
    <n v="1"/>
    <n v="2"/>
    <n v="2"/>
    <n v="749.99"/>
    <n v="0.2"/>
    <n v="1499.78"/>
    <s v="Ritchey Timberwolf Frameset - 2016"/>
    <x v="7"/>
  </r>
  <r>
    <n v="539"/>
    <n v="1"/>
    <n v="9"/>
    <n v="2"/>
    <n v="2999.99"/>
    <n v="0.1"/>
    <n v="5999.8799999999992"/>
    <s v="Trek Conduit+ - 2016"/>
    <x v="7"/>
  </r>
  <r>
    <n v="540"/>
    <n v="1"/>
    <n v="19"/>
    <n v="1"/>
    <n v="449"/>
    <n v="0.1"/>
    <n v="448.9"/>
    <s v="Pure Cycles William 3-Speed - 2016"/>
    <x v="7"/>
  </r>
  <r>
    <n v="541"/>
    <n v="1"/>
    <n v="22"/>
    <n v="2"/>
    <n v="269.99"/>
    <n v="0.05"/>
    <n v="539.93000000000006"/>
    <s v="Electra Girl's Hawaii 1 (16-inch) - 2015/2016"/>
    <x v="7"/>
  </r>
  <r>
    <n v="542"/>
    <n v="1"/>
    <n v="16"/>
    <n v="2"/>
    <n v="599.99"/>
    <n v="0.2"/>
    <n v="1199.78"/>
    <s v="Electra Townie Original 7D EQ - 2016"/>
    <x v="7"/>
  </r>
  <r>
    <n v="543"/>
    <n v="1"/>
    <n v="25"/>
    <n v="1"/>
    <n v="499.99"/>
    <n v="0.2"/>
    <n v="499.79"/>
    <s v="Electra Townie Original 7D - 2015/2016"/>
    <x v="7"/>
  </r>
  <r>
    <n v="544"/>
    <n v="1"/>
    <n v="12"/>
    <n v="1"/>
    <n v="549.99"/>
    <n v="0.05"/>
    <n v="549.94000000000005"/>
    <s v="Electra Townie Original 21D - 2016"/>
    <x v="7"/>
  </r>
  <r>
    <n v="545"/>
    <n v="1"/>
    <n v="25"/>
    <n v="2"/>
    <n v="499.99"/>
    <n v="0.2"/>
    <n v="999.78"/>
    <s v="Electra Townie Original 7D - 2015/2016"/>
    <x v="7"/>
  </r>
  <r>
    <n v="546"/>
    <n v="1"/>
    <n v="17"/>
    <n v="2"/>
    <n v="429"/>
    <n v="0.05"/>
    <n v="857.95"/>
    <s v="Pure Cycles Vine 8-Speed - 2016"/>
    <x v="7"/>
  </r>
  <r>
    <n v="547"/>
    <n v="1"/>
    <n v="11"/>
    <n v="2"/>
    <n v="1680.99"/>
    <n v="0.05"/>
    <n v="3361.93"/>
    <s v="Surly Straggler 650b - 2016"/>
    <x v="7"/>
  </r>
  <r>
    <n v="548"/>
    <n v="1"/>
    <n v="8"/>
    <n v="1"/>
    <n v="1799.99"/>
    <n v="0.1"/>
    <n v="1799.89"/>
    <s v="Trek Remedy 29 Carbon Frameset - 2016"/>
    <x v="7"/>
  </r>
  <r>
    <n v="549"/>
    <n v="1"/>
    <n v="15"/>
    <n v="1"/>
    <n v="529.99"/>
    <n v="7.0000000000000007E-2"/>
    <n v="529.91999999999996"/>
    <s v="Electra Moto 1 - 2016"/>
    <x v="7"/>
  </r>
  <r>
    <n v="550"/>
    <n v="1"/>
    <n v="4"/>
    <n v="1"/>
    <n v="2899.99"/>
    <n v="0.05"/>
    <n v="2899.9399999999996"/>
    <s v="Trek Fuel EX 8 29 - 2016"/>
    <x v="7"/>
  </r>
  <r>
    <n v="551"/>
    <n v="1"/>
    <n v="16"/>
    <n v="1"/>
    <n v="599.99"/>
    <n v="0.05"/>
    <n v="599.94000000000005"/>
    <s v="Electra Townie Original 7D EQ - 2016"/>
    <x v="7"/>
  </r>
  <r>
    <n v="552"/>
    <n v="1"/>
    <n v="23"/>
    <n v="1"/>
    <n v="299.99"/>
    <n v="0.2"/>
    <n v="299.79000000000002"/>
    <s v="Electra Girl's Hawaii 1 (20-inch) - 2015/2016"/>
    <x v="7"/>
  </r>
  <r>
    <n v="553"/>
    <n v="1"/>
    <n v="24"/>
    <n v="1"/>
    <n v="549.99"/>
    <n v="0.1"/>
    <n v="549.89"/>
    <s v="Electra Townie Original 21D - 2016"/>
    <x v="7"/>
  </r>
  <r>
    <n v="554"/>
    <n v="1"/>
    <n v="3"/>
    <n v="2"/>
    <n v="999.99"/>
    <n v="7.0000000000000007E-2"/>
    <n v="1999.91"/>
    <s v="Surly Wednesday Frameset - 2016"/>
    <x v="7"/>
  </r>
  <r>
    <n v="555"/>
    <n v="1"/>
    <n v="8"/>
    <n v="1"/>
    <n v="1799.99"/>
    <n v="0.2"/>
    <n v="1799.79"/>
    <s v="Trek Remedy 29 Carbon Frameset - 2016"/>
    <x v="7"/>
  </r>
  <r>
    <n v="556"/>
    <n v="1"/>
    <n v="16"/>
    <n v="1"/>
    <n v="599.99"/>
    <n v="0.1"/>
    <n v="599.89"/>
    <s v="Electra Townie Original 7D EQ - 2016"/>
    <x v="7"/>
  </r>
  <r>
    <n v="557"/>
    <n v="1"/>
    <n v="9"/>
    <n v="2"/>
    <n v="2999.99"/>
    <n v="0.1"/>
    <n v="5999.8799999999992"/>
    <s v="Trek Conduit+ - 2016"/>
    <x v="7"/>
  </r>
  <r>
    <n v="558"/>
    <n v="1"/>
    <n v="7"/>
    <n v="1"/>
    <n v="3999.99"/>
    <n v="7.0000000000000007E-2"/>
    <n v="3999.9199999999996"/>
    <s v="Trek Slash 8 27.5 - 2016"/>
    <x v="7"/>
  </r>
  <r>
    <n v="559"/>
    <n v="1"/>
    <n v="15"/>
    <n v="2"/>
    <n v="529.99"/>
    <n v="0.1"/>
    <n v="1059.8800000000001"/>
    <s v="Electra Moto 1 - 2016"/>
    <x v="7"/>
  </r>
  <r>
    <n v="560"/>
    <n v="1"/>
    <n v="16"/>
    <n v="1"/>
    <n v="599.99"/>
    <n v="0.05"/>
    <n v="599.94000000000005"/>
    <s v="Electra Townie Original 7D EQ - 2016"/>
    <x v="7"/>
  </r>
  <r>
    <n v="561"/>
    <n v="1"/>
    <n v="15"/>
    <n v="2"/>
    <n v="529.99"/>
    <n v="0.05"/>
    <n v="1059.93"/>
    <s v="Electra Moto 1 - 2016"/>
    <x v="7"/>
  </r>
  <r>
    <n v="562"/>
    <n v="1"/>
    <n v="25"/>
    <n v="2"/>
    <n v="499.99"/>
    <n v="7.0000000000000007E-2"/>
    <n v="999.91"/>
    <s v="Electra Townie Original 7D - 2015/2016"/>
    <x v="7"/>
  </r>
  <r>
    <n v="563"/>
    <n v="1"/>
    <n v="6"/>
    <n v="2"/>
    <n v="469.99"/>
    <n v="0.1"/>
    <n v="939.88"/>
    <s v="Surly Ice Cream Truck Frameset - 2016"/>
    <x v="7"/>
  </r>
  <r>
    <n v="564"/>
    <n v="1"/>
    <n v="4"/>
    <n v="1"/>
    <n v="2899.99"/>
    <n v="0.2"/>
    <n v="2899.79"/>
    <s v="Trek Fuel EX 8 29 - 2016"/>
    <x v="7"/>
  </r>
  <r>
    <n v="565"/>
    <n v="1"/>
    <n v="18"/>
    <n v="1"/>
    <n v="449"/>
    <n v="0.2"/>
    <n v="448.8"/>
    <s v="Pure Cycles Western 3-Speed - Women's - 2015/2016"/>
    <x v="7"/>
  </r>
  <r>
    <n v="566"/>
    <n v="1"/>
    <n v="24"/>
    <n v="2"/>
    <n v="549.99"/>
    <n v="7.0000000000000007E-2"/>
    <n v="1099.9100000000001"/>
    <s v="Electra Townie Original 21D - 2016"/>
    <x v="7"/>
  </r>
  <r>
    <n v="567"/>
    <n v="1"/>
    <n v="9"/>
    <n v="1"/>
    <n v="2999.99"/>
    <n v="0.2"/>
    <n v="2999.79"/>
    <s v="Trek Conduit+ - 2016"/>
    <x v="7"/>
  </r>
  <r>
    <n v="568"/>
    <n v="1"/>
    <n v="5"/>
    <n v="1"/>
    <n v="1320.99"/>
    <n v="0.05"/>
    <n v="1320.94"/>
    <s v="Heller Shagamaw Frame - 2016"/>
    <x v="7"/>
  </r>
  <r>
    <n v="569"/>
    <n v="1"/>
    <n v="16"/>
    <n v="1"/>
    <n v="599.99"/>
    <n v="0.05"/>
    <n v="599.94000000000005"/>
    <s v="Electra Townie Original 7D EQ - 2016"/>
    <x v="7"/>
  </r>
  <r>
    <n v="570"/>
    <n v="1"/>
    <n v="18"/>
    <n v="1"/>
    <n v="449"/>
    <n v="7.0000000000000007E-2"/>
    <n v="448.93"/>
    <s v="Pure Cycles Western 3-Speed - Women's - 2015/2016"/>
    <x v="7"/>
  </r>
  <r>
    <n v="571"/>
    <n v="1"/>
    <n v="4"/>
    <n v="1"/>
    <n v="2899.99"/>
    <n v="0.05"/>
    <n v="2899.9399999999996"/>
    <s v="Trek Fuel EX 8 29 - 2016"/>
    <x v="7"/>
  </r>
  <r>
    <n v="572"/>
    <n v="1"/>
    <n v="3"/>
    <n v="1"/>
    <n v="999.99"/>
    <n v="0.05"/>
    <n v="999.94"/>
    <s v="Surly Wednesday Frameset - 2016"/>
    <x v="7"/>
  </r>
  <r>
    <n v="573"/>
    <n v="1"/>
    <n v="2"/>
    <n v="1"/>
    <n v="749.99"/>
    <n v="0.2"/>
    <n v="749.79"/>
    <s v="Ritchey Timberwolf Frameset - 2016"/>
    <x v="7"/>
  </r>
  <r>
    <n v="574"/>
    <n v="1"/>
    <n v="26"/>
    <n v="1"/>
    <n v="599.99"/>
    <n v="0.05"/>
    <n v="599.94000000000005"/>
    <s v="Electra Townie Original 7D EQ - 2016"/>
    <x v="7"/>
  </r>
  <r>
    <n v="575"/>
    <n v="1"/>
    <n v="4"/>
    <n v="2"/>
    <n v="2899.99"/>
    <n v="7.0000000000000007E-2"/>
    <n v="5799.91"/>
    <s v="Trek Fuel EX 8 29 - 2016"/>
    <x v="7"/>
  </r>
  <r>
    <n v="576"/>
    <n v="1"/>
    <n v="9"/>
    <n v="1"/>
    <n v="2999.99"/>
    <n v="0.1"/>
    <n v="2999.89"/>
    <s v="Trek Conduit+ - 2016"/>
    <x v="7"/>
  </r>
  <r>
    <n v="577"/>
    <n v="1"/>
    <n v="3"/>
    <n v="2"/>
    <n v="999.99"/>
    <n v="0.2"/>
    <n v="1999.78"/>
    <s v="Surly Wednesday Frameset - 2016"/>
    <x v="7"/>
  </r>
  <r>
    <n v="578"/>
    <n v="1"/>
    <n v="21"/>
    <n v="1"/>
    <n v="269.99"/>
    <n v="7.0000000000000007E-2"/>
    <n v="269.92"/>
    <s v="Electra Cruiser 1 (24-Inch) - 2016"/>
    <x v="7"/>
  </r>
  <r>
    <n v="579"/>
    <n v="1"/>
    <n v="7"/>
    <n v="2"/>
    <n v="3999.99"/>
    <n v="0.05"/>
    <n v="7999.9299999999994"/>
    <s v="Trek Slash 8 27.5 - 2016"/>
    <x v="7"/>
  </r>
  <r>
    <n v="580"/>
    <n v="1"/>
    <n v="16"/>
    <n v="2"/>
    <n v="599.99"/>
    <n v="0.2"/>
    <n v="1199.78"/>
    <s v="Electra Townie Original 7D EQ - 2016"/>
    <x v="7"/>
  </r>
  <r>
    <n v="581"/>
    <n v="1"/>
    <n v="8"/>
    <n v="2"/>
    <n v="1799.99"/>
    <n v="7.0000000000000007E-2"/>
    <n v="3599.91"/>
    <s v="Trek Remedy 29 Carbon Frameset - 2016"/>
    <x v="7"/>
  </r>
  <r>
    <n v="582"/>
    <n v="1"/>
    <n v="10"/>
    <n v="2"/>
    <n v="1549"/>
    <n v="0.2"/>
    <n v="3097.8"/>
    <s v="Surly Straggler - 2016"/>
    <x v="7"/>
  </r>
  <r>
    <n v="583"/>
    <n v="1"/>
    <n v="15"/>
    <n v="2"/>
    <n v="529.99"/>
    <n v="0.2"/>
    <n v="1059.78"/>
    <s v="Electra Moto 1 - 2016"/>
    <x v="7"/>
  </r>
  <r>
    <n v="584"/>
    <n v="1"/>
    <n v="19"/>
    <n v="1"/>
    <n v="449"/>
    <n v="7.0000000000000007E-2"/>
    <n v="448.93"/>
    <s v="Pure Cycles William 3-Speed - 2016"/>
    <x v="7"/>
  </r>
  <r>
    <n v="585"/>
    <n v="1"/>
    <n v="10"/>
    <n v="1"/>
    <n v="1549"/>
    <n v="0.2"/>
    <n v="1548.8"/>
    <s v="Surly Straggler - 2016"/>
    <x v="7"/>
  </r>
  <r>
    <n v="586"/>
    <n v="1"/>
    <n v="11"/>
    <n v="2"/>
    <n v="1680.99"/>
    <n v="0.1"/>
    <n v="3361.88"/>
    <s v="Surly Straggler 650b - 2016"/>
    <x v="7"/>
  </r>
  <r>
    <n v="587"/>
    <n v="1"/>
    <n v="24"/>
    <n v="1"/>
    <n v="549.99"/>
    <n v="0.05"/>
    <n v="549.94000000000005"/>
    <s v="Electra Townie Original 21D - 2016"/>
    <x v="7"/>
  </r>
  <r>
    <n v="588"/>
    <n v="1"/>
    <n v="10"/>
    <n v="2"/>
    <n v="1549"/>
    <n v="7.0000000000000007E-2"/>
    <n v="3097.93"/>
    <s v="Surly Straggler - 2016"/>
    <x v="7"/>
  </r>
  <r>
    <n v="589"/>
    <n v="1"/>
    <n v="15"/>
    <n v="2"/>
    <n v="529.99"/>
    <n v="0.05"/>
    <n v="1059.93"/>
    <s v="Electra Moto 1 - 2016"/>
    <x v="7"/>
  </r>
  <r>
    <n v="590"/>
    <n v="1"/>
    <n v="2"/>
    <n v="2"/>
    <n v="749.99"/>
    <n v="0.1"/>
    <n v="1499.88"/>
    <s v="Ritchey Timberwolf Frameset - 2016"/>
    <x v="7"/>
  </r>
  <r>
    <n v="591"/>
    <n v="1"/>
    <n v="16"/>
    <n v="2"/>
    <n v="599.99"/>
    <n v="0.05"/>
    <n v="1199.93"/>
    <s v="Electra Townie Original 7D EQ - 2016"/>
    <x v="7"/>
  </r>
  <r>
    <n v="592"/>
    <n v="1"/>
    <n v="21"/>
    <n v="2"/>
    <n v="269.99"/>
    <n v="0.1"/>
    <n v="539.88"/>
    <s v="Electra Cruiser 1 (24-Inch) - 2016"/>
    <x v="7"/>
  </r>
  <r>
    <n v="593"/>
    <n v="1"/>
    <n v="3"/>
    <n v="2"/>
    <n v="999.99"/>
    <n v="0.1"/>
    <n v="1999.88"/>
    <s v="Surly Wednesday Frameset - 2016"/>
    <x v="7"/>
  </r>
  <r>
    <n v="594"/>
    <n v="1"/>
    <n v="26"/>
    <n v="1"/>
    <n v="599.99"/>
    <n v="0.1"/>
    <n v="599.89"/>
    <s v="Electra Townie Original 7D EQ - 2016"/>
    <x v="7"/>
  </r>
  <r>
    <n v="595"/>
    <n v="1"/>
    <n v="4"/>
    <n v="1"/>
    <n v="2899.99"/>
    <n v="7.0000000000000007E-2"/>
    <n v="2899.9199999999996"/>
    <s v="Trek Fuel EX 8 29 - 2016"/>
    <x v="7"/>
  </r>
  <r>
    <n v="596"/>
    <n v="1"/>
    <n v="5"/>
    <n v="1"/>
    <n v="1320.99"/>
    <n v="0.05"/>
    <n v="1320.94"/>
    <s v="Heller Shagamaw Frame - 2016"/>
    <x v="7"/>
  </r>
  <r>
    <n v="597"/>
    <n v="1"/>
    <n v="17"/>
    <n v="2"/>
    <n v="429"/>
    <n v="0.2"/>
    <n v="857.8"/>
    <s v="Pure Cycles Vine 8-Speed - 2016"/>
    <x v="7"/>
  </r>
  <r>
    <n v="598"/>
    <n v="1"/>
    <n v="4"/>
    <n v="2"/>
    <n v="2899.99"/>
    <n v="0.05"/>
    <n v="5799.9299999999994"/>
    <s v="Trek Fuel EX 8 29 - 2016"/>
    <x v="7"/>
  </r>
  <r>
    <n v="599"/>
    <n v="1"/>
    <n v="9"/>
    <n v="2"/>
    <n v="2999.99"/>
    <n v="0.05"/>
    <n v="5999.9299999999994"/>
    <s v="Trek Conduit+ - 2016"/>
    <x v="7"/>
  </r>
  <r>
    <n v="600"/>
    <n v="1"/>
    <n v="26"/>
    <n v="2"/>
    <n v="599.99"/>
    <n v="7.0000000000000007E-2"/>
    <n v="1199.9100000000001"/>
    <s v="Electra Townie Original 7D EQ - 2016"/>
    <x v="7"/>
  </r>
  <r>
    <n v="601"/>
    <n v="1"/>
    <n v="12"/>
    <n v="2"/>
    <n v="549.99"/>
    <n v="0.2"/>
    <n v="1099.78"/>
    <s v="Electra Townie Original 21D - 2016"/>
    <x v="7"/>
  </r>
  <r>
    <n v="602"/>
    <n v="1"/>
    <n v="15"/>
    <n v="2"/>
    <n v="529.99"/>
    <n v="0.05"/>
    <n v="1059.93"/>
    <s v="Electra Moto 1 - 2016"/>
    <x v="7"/>
  </r>
  <r>
    <n v="603"/>
    <n v="1"/>
    <n v="12"/>
    <n v="1"/>
    <n v="549.99"/>
    <n v="7.0000000000000007E-2"/>
    <n v="549.91999999999996"/>
    <s v="Electra Townie Original 21D - 2016"/>
    <x v="7"/>
  </r>
  <r>
    <n v="604"/>
    <n v="1"/>
    <n v="10"/>
    <n v="2"/>
    <n v="1549"/>
    <n v="7.0000000000000007E-2"/>
    <n v="3097.93"/>
    <s v="Surly Straggler - 2016"/>
    <x v="7"/>
  </r>
  <r>
    <n v="605"/>
    <n v="1"/>
    <n v="19"/>
    <n v="1"/>
    <n v="449"/>
    <n v="7.0000000000000007E-2"/>
    <n v="448.93"/>
    <s v="Pure Cycles William 3-Speed - 2016"/>
    <x v="7"/>
  </r>
  <r>
    <n v="606"/>
    <n v="1"/>
    <n v="6"/>
    <n v="2"/>
    <n v="469.99"/>
    <n v="0.2"/>
    <n v="939.78"/>
    <s v="Surly Ice Cream Truck Frameset - 2016"/>
    <x v="7"/>
  </r>
  <r>
    <n v="607"/>
    <n v="1"/>
    <n v="11"/>
    <n v="2"/>
    <n v="1680.99"/>
    <n v="0.2"/>
    <n v="3361.78"/>
    <s v="Surly Straggler 650b - 2016"/>
    <x v="7"/>
  </r>
  <r>
    <n v="608"/>
    <n v="1"/>
    <n v="4"/>
    <n v="2"/>
    <n v="2899.99"/>
    <n v="0.2"/>
    <n v="5799.78"/>
    <s v="Trek Fuel EX 8 29 - 2016"/>
    <x v="7"/>
  </r>
  <r>
    <n v="609"/>
    <n v="1"/>
    <n v="10"/>
    <n v="1"/>
    <n v="1549"/>
    <n v="7.0000000000000007E-2"/>
    <n v="1548.93"/>
    <s v="Surly Straggler - 2016"/>
    <x v="7"/>
  </r>
  <r>
    <n v="610"/>
    <n v="1"/>
    <n v="26"/>
    <n v="1"/>
    <n v="599.99"/>
    <n v="0.1"/>
    <n v="599.89"/>
    <s v="Electra Townie Original 7D EQ - 2016"/>
    <x v="7"/>
  </r>
  <r>
    <n v="611"/>
    <n v="1"/>
    <n v="16"/>
    <n v="2"/>
    <n v="599.99"/>
    <n v="7.0000000000000007E-2"/>
    <n v="1199.9100000000001"/>
    <s v="Electra Townie Original 7D EQ - 2016"/>
    <x v="7"/>
  </r>
  <r>
    <n v="612"/>
    <n v="1"/>
    <n v="13"/>
    <n v="1"/>
    <n v="269.99"/>
    <n v="0.1"/>
    <n v="269.89"/>
    <s v="Electra Cruiser 1 (24-Inch) - 2016"/>
    <x v="7"/>
  </r>
  <r>
    <n v="613"/>
    <n v="1"/>
    <n v="9"/>
    <n v="2"/>
    <n v="2999.99"/>
    <n v="0.1"/>
    <n v="5999.8799999999992"/>
    <s v="Trek Conduit+ - 2016"/>
    <x v="7"/>
  </r>
  <r>
    <n v="614"/>
    <n v="1"/>
    <n v="18"/>
    <n v="1"/>
    <n v="449"/>
    <n v="0.1"/>
    <n v="448.9"/>
    <s v="Pure Cycles Western 3-Speed - Women's - 2015/2016"/>
    <x v="7"/>
  </r>
  <r>
    <n v="615"/>
    <n v="1"/>
    <n v="11"/>
    <n v="1"/>
    <n v="1680.99"/>
    <n v="7.0000000000000007E-2"/>
    <n v="1680.92"/>
    <s v="Surly Straggler 650b - 2016"/>
    <x v="7"/>
  </r>
  <r>
    <n v="616"/>
    <n v="1"/>
    <n v="24"/>
    <n v="1"/>
    <n v="549.99"/>
    <n v="0.2"/>
    <n v="549.79"/>
    <s v="Electra Townie Original 21D - 2016"/>
    <x v="7"/>
  </r>
  <r>
    <n v="617"/>
    <n v="1"/>
    <n v="15"/>
    <n v="2"/>
    <n v="529.99"/>
    <n v="0.2"/>
    <n v="1059.78"/>
    <s v="Electra Moto 1 - 2016"/>
    <x v="7"/>
  </r>
  <r>
    <n v="618"/>
    <n v="1"/>
    <n v="17"/>
    <n v="2"/>
    <n v="429"/>
    <n v="0.1"/>
    <n v="857.9"/>
    <s v="Pure Cycles Vine 8-Speed - 2016"/>
    <x v="7"/>
  </r>
  <r>
    <n v="619"/>
    <n v="1"/>
    <n v="25"/>
    <n v="1"/>
    <n v="499.99"/>
    <n v="7.0000000000000007E-2"/>
    <n v="499.92"/>
    <s v="Electra Townie Original 7D - 2015/2016"/>
    <x v="7"/>
  </r>
  <r>
    <n v="620"/>
    <n v="1"/>
    <n v="5"/>
    <n v="2"/>
    <n v="1320.99"/>
    <n v="0.2"/>
    <n v="2641.78"/>
    <s v="Heller Shagamaw Frame - 2016"/>
    <x v="7"/>
  </r>
  <r>
    <n v="621"/>
    <n v="1"/>
    <n v="17"/>
    <n v="2"/>
    <n v="429"/>
    <n v="7.0000000000000007E-2"/>
    <n v="857.93"/>
    <s v="Pure Cycles Vine 8-Speed - 2016"/>
    <x v="7"/>
  </r>
  <r>
    <n v="622"/>
    <n v="1"/>
    <n v="9"/>
    <n v="2"/>
    <n v="2999.99"/>
    <n v="7.0000000000000007E-2"/>
    <n v="5999.91"/>
    <s v="Trek Conduit+ - 2016"/>
    <x v="7"/>
  </r>
  <r>
    <n v="623"/>
    <n v="1"/>
    <n v="8"/>
    <n v="1"/>
    <n v="1799.99"/>
    <n v="7.0000000000000007E-2"/>
    <n v="1799.92"/>
    <s v="Trek Remedy 29 Carbon Frameset - 2016"/>
    <x v="7"/>
  </r>
  <r>
    <n v="624"/>
    <n v="1"/>
    <n v="21"/>
    <n v="2"/>
    <n v="269.99"/>
    <n v="0.05"/>
    <n v="539.93000000000006"/>
    <s v="Electra Cruiser 1 (24-Inch) - 2016"/>
    <x v="7"/>
  </r>
  <r>
    <n v="625"/>
    <n v="1"/>
    <n v="17"/>
    <n v="1"/>
    <n v="429"/>
    <n v="7.0000000000000007E-2"/>
    <n v="428.93"/>
    <s v="Pure Cycles Vine 8-Speed - 2016"/>
    <x v="7"/>
  </r>
  <r>
    <n v="626"/>
    <n v="1"/>
    <n v="15"/>
    <n v="1"/>
    <n v="529.99"/>
    <n v="0.2"/>
    <n v="529.79"/>
    <s v="Electra Moto 1 - 2016"/>
    <x v="7"/>
  </r>
  <r>
    <n v="627"/>
    <n v="1"/>
    <n v="19"/>
    <n v="1"/>
    <n v="449"/>
    <n v="7.0000000000000007E-2"/>
    <n v="448.93"/>
    <s v="Pure Cycles William 3-Speed - 2016"/>
    <x v="7"/>
  </r>
  <r>
    <n v="628"/>
    <n v="1"/>
    <n v="15"/>
    <n v="2"/>
    <n v="529.99"/>
    <n v="0.1"/>
    <n v="1059.8800000000001"/>
    <s v="Electra Moto 1 - 2016"/>
    <x v="7"/>
  </r>
  <r>
    <n v="629"/>
    <n v="1"/>
    <n v="19"/>
    <n v="1"/>
    <n v="449"/>
    <n v="0.05"/>
    <n v="448.95"/>
    <s v="Pure Cycles William 3-Speed - 2016"/>
    <x v="7"/>
  </r>
  <r>
    <n v="630"/>
    <n v="1"/>
    <n v="5"/>
    <n v="1"/>
    <n v="1320.99"/>
    <n v="0.05"/>
    <n v="1320.94"/>
    <s v="Heller Shagamaw Frame - 2016"/>
    <x v="7"/>
  </r>
  <r>
    <n v="631"/>
    <n v="1"/>
    <n v="24"/>
    <n v="2"/>
    <n v="549.99"/>
    <n v="7.0000000000000007E-2"/>
    <n v="1099.9100000000001"/>
    <s v="Electra Townie Original 21D - 2016"/>
    <x v="7"/>
  </r>
  <r>
    <n v="632"/>
    <n v="1"/>
    <n v="25"/>
    <n v="1"/>
    <n v="499.99"/>
    <n v="0.2"/>
    <n v="499.79"/>
    <s v="Electra Townie Original 7D - 2015/2016"/>
    <x v="7"/>
  </r>
  <r>
    <n v="633"/>
    <n v="1"/>
    <n v="12"/>
    <n v="2"/>
    <n v="549.99"/>
    <n v="0.05"/>
    <n v="1099.93"/>
    <s v="Electra Townie Original 21D - 2016"/>
    <x v="7"/>
  </r>
  <r>
    <n v="634"/>
    <n v="1"/>
    <n v="4"/>
    <n v="2"/>
    <n v="2899.99"/>
    <n v="0.05"/>
    <n v="5799.9299999999994"/>
    <s v="Trek Fuel EX 8 29 - 2016"/>
    <x v="7"/>
  </r>
  <r>
    <n v="635"/>
    <n v="1"/>
    <n v="4"/>
    <n v="1"/>
    <n v="2899.99"/>
    <n v="0.05"/>
    <n v="2899.9399999999996"/>
    <s v="Trek Fuel EX 8 29 - 2016"/>
    <x v="7"/>
  </r>
  <r>
    <n v="636"/>
    <n v="1"/>
    <n v="85"/>
    <n v="2"/>
    <n v="329.99"/>
    <n v="0.2"/>
    <n v="659.78"/>
    <s v="Haro Downtown 16 - 2017"/>
    <x v="7"/>
  </r>
  <r>
    <n v="637"/>
    <n v="1"/>
    <n v="9"/>
    <n v="1"/>
    <n v="2999.99"/>
    <n v="0.1"/>
    <n v="2999.89"/>
    <s v="Trek Conduit+ - 2016"/>
    <x v="7"/>
  </r>
  <r>
    <n v="638"/>
    <n v="1"/>
    <n v="103"/>
    <n v="1"/>
    <n v="551.99"/>
    <n v="0.05"/>
    <n v="551.94000000000005"/>
    <s v="Sun Bicycles Streamway 3 - 2017"/>
    <x v="7"/>
  </r>
  <r>
    <n v="639"/>
    <n v="1"/>
    <n v="15"/>
    <n v="1"/>
    <n v="529.99"/>
    <n v="7.0000000000000007E-2"/>
    <n v="529.91999999999996"/>
    <s v="Electra Moto 1 - 2016"/>
    <x v="7"/>
  </r>
  <r>
    <n v="640"/>
    <n v="1"/>
    <n v="106"/>
    <n v="2"/>
    <n v="449.99"/>
    <n v="0.05"/>
    <n v="899.93000000000006"/>
    <s v="Sun Bicycles Cruz 3 - 2017"/>
    <x v="7"/>
  </r>
  <r>
    <n v="641"/>
    <n v="1"/>
    <n v="15"/>
    <n v="1"/>
    <n v="529.99"/>
    <n v="0.05"/>
    <n v="529.94000000000005"/>
    <s v="Electra Moto 1 - 2016"/>
    <x v="7"/>
  </r>
  <r>
    <n v="642"/>
    <n v="1"/>
    <n v="68"/>
    <n v="2"/>
    <n v="449.99"/>
    <n v="7.0000000000000007E-2"/>
    <n v="899.91"/>
    <s v="Sun Bicycles Cruz 3 - 2017"/>
    <x v="7"/>
  </r>
  <r>
    <n v="643"/>
    <n v="1"/>
    <n v="53"/>
    <n v="1"/>
    <n v="749.99"/>
    <n v="0.05"/>
    <n v="749.94"/>
    <s v="Surly Ogre Frameset - 2017"/>
    <x v="7"/>
  </r>
  <r>
    <n v="644"/>
    <n v="1"/>
    <n v="9"/>
    <n v="1"/>
    <n v="2999.99"/>
    <n v="7.0000000000000007E-2"/>
    <n v="2999.9199999999996"/>
    <s v="Trek Conduit+ - 2016"/>
    <x v="7"/>
  </r>
  <r>
    <n v="645"/>
    <n v="1"/>
    <n v="99"/>
    <n v="1"/>
    <n v="299.99"/>
    <n v="7.0000000000000007E-2"/>
    <n v="299.92"/>
    <s v="Electra Sugar Skulls 1 (20-inch) - Girl's - 2017"/>
    <x v="7"/>
  </r>
  <r>
    <n v="646"/>
    <n v="1"/>
    <n v="15"/>
    <n v="2"/>
    <n v="529.99"/>
    <n v="0.2"/>
    <n v="1059.78"/>
    <s v="Electra Moto 1 - 2016"/>
    <x v="7"/>
  </r>
  <r>
    <n v="647"/>
    <n v="1"/>
    <n v="25"/>
    <n v="2"/>
    <n v="499.99"/>
    <n v="7.0000000000000007E-2"/>
    <n v="999.91"/>
    <s v="Electra Townie Original 7D - 2015/2016"/>
    <x v="7"/>
  </r>
  <r>
    <n v="648"/>
    <n v="1"/>
    <n v="24"/>
    <n v="1"/>
    <n v="549.99"/>
    <n v="7.0000000000000007E-2"/>
    <n v="549.91999999999996"/>
    <s v="Electra Townie Original 21D - 2016"/>
    <x v="7"/>
  </r>
  <r>
    <n v="649"/>
    <n v="1"/>
    <n v="97"/>
    <n v="2"/>
    <n v="349.99"/>
    <n v="0.1"/>
    <n v="699.88"/>
    <s v="Electra Savannah 3i (20-inch) - Girl's - 2017"/>
    <x v="7"/>
  </r>
  <r>
    <n v="650"/>
    <n v="1"/>
    <n v="3"/>
    <n v="1"/>
    <n v="999.99"/>
    <n v="0.2"/>
    <n v="999.79"/>
    <s v="Surly Wednesday Frameset - 2016"/>
    <x v="7"/>
  </r>
  <r>
    <n v="651"/>
    <n v="1"/>
    <n v="79"/>
    <n v="1"/>
    <n v="402.99"/>
    <n v="0.1"/>
    <n v="402.89"/>
    <s v="Sun Bicycles Boardwalk (24-inch Wheels) - 2017"/>
    <x v="7"/>
  </r>
  <r>
    <n v="652"/>
    <n v="1"/>
    <n v="102"/>
    <n v="1"/>
    <n v="489.99"/>
    <n v="0.1"/>
    <n v="489.89"/>
    <s v="Electra Townie Original 7D - 2017"/>
    <x v="7"/>
  </r>
  <r>
    <n v="653"/>
    <n v="1"/>
    <n v="6"/>
    <n v="1"/>
    <n v="469.99"/>
    <n v="7.0000000000000007E-2"/>
    <n v="469.92"/>
    <s v="Surly Ice Cream Truck Frameset - 2016"/>
    <x v="7"/>
  </r>
  <r>
    <n v="654"/>
    <n v="1"/>
    <n v="9"/>
    <n v="1"/>
    <n v="2999.99"/>
    <n v="0.1"/>
    <n v="2999.89"/>
    <s v="Trek Conduit+ - 2016"/>
    <x v="7"/>
  </r>
  <r>
    <n v="655"/>
    <n v="1"/>
    <n v="67"/>
    <n v="1"/>
    <n v="250.99"/>
    <n v="0.1"/>
    <n v="250.89000000000001"/>
    <s v="Sun Bicycles Revolutions 24 - Girl's - 2017"/>
    <x v="7"/>
  </r>
  <r>
    <n v="656"/>
    <n v="1"/>
    <n v="83"/>
    <n v="1"/>
    <n v="149.99"/>
    <n v="0.1"/>
    <n v="149.89000000000001"/>
    <s v="Trek Boy's Kickster - 2015/2017"/>
    <x v="7"/>
  </r>
  <r>
    <n v="657"/>
    <n v="1"/>
    <n v="52"/>
    <n v="1"/>
    <n v="875.99"/>
    <n v="0.05"/>
    <n v="875.94"/>
    <s v="Surly Steamroller - 2017"/>
    <x v="7"/>
  </r>
  <r>
    <n v="658"/>
    <n v="1"/>
    <n v="49"/>
    <n v="2"/>
    <n v="3499.99"/>
    <n v="0.2"/>
    <n v="6999.78"/>
    <s v="Trek Domane SL 6 - 2017"/>
    <x v="7"/>
  </r>
  <r>
    <n v="659"/>
    <n v="1"/>
    <n v="42"/>
    <n v="2"/>
    <n v="2299.9899999999998"/>
    <n v="0.05"/>
    <n v="4599.9299999999994"/>
    <s v="Trek Fuel EX 5 27.5 Plus - 2017"/>
    <x v="7"/>
  </r>
  <r>
    <n v="660"/>
    <n v="1"/>
    <n v="30"/>
    <n v="1"/>
    <n v="999.99"/>
    <n v="0.2"/>
    <n v="999.79"/>
    <s v="Surly Ice Cream Truck Frameset - 2017"/>
    <x v="7"/>
  </r>
  <r>
    <n v="661"/>
    <n v="1"/>
    <n v="63"/>
    <n v="2"/>
    <n v="3499.99"/>
    <n v="7.0000000000000007E-2"/>
    <n v="6999.91"/>
    <s v="Trek Boone Race Shop Limited - 2017"/>
    <x v="7"/>
  </r>
  <r>
    <n v="662"/>
    <n v="1"/>
    <n v="55"/>
    <n v="2"/>
    <n v="2699.99"/>
    <n v="0.1"/>
    <n v="5399.8799999999992"/>
    <s v="Trek Domane S 6 - 2017"/>
    <x v="7"/>
  </r>
  <r>
    <n v="663"/>
    <n v="1"/>
    <n v="41"/>
    <n v="2"/>
    <n v="1469.99"/>
    <n v="0.05"/>
    <n v="2939.93"/>
    <s v="Haro Shift R3 - 2017"/>
    <x v="7"/>
  </r>
  <r>
    <n v="664"/>
    <n v="1"/>
    <n v="52"/>
    <n v="2"/>
    <n v="875.99"/>
    <n v="7.0000000000000007E-2"/>
    <n v="1751.91"/>
    <s v="Surly Steamroller - 2017"/>
    <x v="7"/>
  </r>
  <r>
    <n v="665"/>
    <n v="1"/>
    <n v="58"/>
    <n v="1"/>
    <n v="4999.99"/>
    <n v="7.0000000000000007E-2"/>
    <n v="4999.92"/>
    <s v="Trek Madone 9.2 - 2017"/>
    <x v="7"/>
  </r>
  <r>
    <n v="666"/>
    <n v="1"/>
    <n v="98"/>
    <n v="2"/>
    <n v="489.99"/>
    <n v="0.2"/>
    <n v="979.78"/>
    <s v="Electra Straight 8 3i (20-inch) - Boy's - 2017"/>
    <x v="7"/>
  </r>
  <r>
    <n v="667"/>
    <n v="1"/>
    <n v="79"/>
    <n v="1"/>
    <n v="402.99"/>
    <n v="0.2"/>
    <n v="402.79"/>
    <s v="Sun Bicycles Boardwalk (24-inch Wheels) - 2017"/>
    <x v="7"/>
  </r>
  <r>
    <n v="668"/>
    <n v="1"/>
    <n v="48"/>
    <n v="2"/>
    <n v="1499.99"/>
    <n v="0.05"/>
    <n v="2999.93"/>
    <s v="Trek Emonda S 4 - 2017"/>
    <x v="7"/>
  </r>
  <r>
    <n v="669"/>
    <n v="1"/>
    <n v="16"/>
    <n v="2"/>
    <n v="599.99"/>
    <n v="7.0000000000000007E-2"/>
    <n v="1199.9100000000001"/>
    <s v="Electra Townie Original 7D EQ - 2016"/>
    <x v="7"/>
  </r>
  <r>
    <n v="670"/>
    <n v="1"/>
    <n v="108"/>
    <n v="1"/>
    <n v="449.99"/>
    <n v="0.1"/>
    <n v="449.89"/>
    <s v="Sun Bicycles Cruz 3 - Women's - 2017"/>
    <x v="7"/>
  </r>
  <r>
    <n v="671"/>
    <n v="1"/>
    <n v="30"/>
    <n v="1"/>
    <n v="999.99"/>
    <n v="0.05"/>
    <n v="999.94"/>
    <s v="Surly Ice Cream Truck Frameset - 2017"/>
    <x v="7"/>
  </r>
  <r>
    <n v="672"/>
    <n v="1"/>
    <n v="51"/>
    <n v="2"/>
    <n v="6499.99"/>
    <n v="7.0000000000000007E-2"/>
    <n v="12999.91"/>
    <s v="Trek Silque SLR 8 Women's - 2017"/>
    <x v="7"/>
  </r>
  <r>
    <n v="673"/>
    <n v="1"/>
    <n v="66"/>
    <n v="1"/>
    <n v="250.99"/>
    <n v="0.2"/>
    <n v="250.79000000000002"/>
    <s v="Sun Bicycles Revolutions 24 - 2017"/>
    <x v="7"/>
  </r>
  <r>
    <n v="674"/>
    <n v="1"/>
    <n v="26"/>
    <n v="2"/>
    <n v="599.99"/>
    <n v="0.2"/>
    <n v="1199.78"/>
    <s v="Electra Townie Original 7D EQ - 2016"/>
    <x v="7"/>
  </r>
  <r>
    <n v="675"/>
    <n v="1"/>
    <n v="17"/>
    <n v="1"/>
    <n v="429"/>
    <n v="0.05"/>
    <n v="428.95"/>
    <s v="Pure Cycles Vine 8-Speed - 2016"/>
    <x v="7"/>
  </r>
  <r>
    <n v="676"/>
    <n v="1"/>
    <n v="70"/>
    <n v="1"/>
    <n v="659.99"/>
    <n v="0.2"/>
    <n v="659.79"/>
    <s v="Electra Amsterdam Original 3i - 2015/2017"/>
    <x v="7"/>
  </r>
  <r>
    <n v="677"/>
    <n v="1"/>
    <n v="75"/>
    <n v="1"/>
    <n v="599.99"/>
    <n v="7.0000000000000007E-2"/>
    <n v="599.91999999999996"/>
    <s v="Electra Cruiser Lux Fat Tire 1 Ladies - 2017"/>
    <x v="7"/>
  </r>
  <r>
    <n v="678"/>
    <n v="1"/>
    <n v="52"/>
    <n v="2"/>
    <n v="875.99"/>
    <n v="0.05"/>
    <n v="1751.93"/>
    <s v="Surly Steamroller - 2017"/>
    <x v="7"/>
  </r>
  <r>
    <n v="679"/>
    <n v="1"/>
    <n v="15"/>
    <n v="2"/>
    <n v="529.99"/>
    <n v="0.2"/>
    <n v="1059.78"/>
    <s v="Electra Moto 1 - 2016"/>
    <x v="7"/>
  </r>
  <r>
    <n v="680"/>
    <n v="1"/>
    <n v="81"/>
    <n v="2"/>
    <n v="1099.99"/>
    <n v="0.05"/>
    <n v="2199.9299999999998"/>
    <s v="Electra Amsterdam Fashion 7i Ladies' - 2017"/>
    <x v="7"/>
  </r>
  <r>
    <n v="681"/>
    <n v="1"/>
    <n v="82"/>
    <n v="1"/>
    <n v="659.99"/>
    <n v="0.05"/>
    <n v="659.94"/>
    <s v="Electra Amsterdam Original 3i Ladies' - 2017"/>
    <x v="7"/>
  </r>
  <r>
    <n v="682"/>
    <n v="1"/>
    <n v="39"/>
    <n v="1"/>
    <n v="1499.99"/>
    <n v="0.2"/>
    <n v="1499.79"/>
    <s v="Trek Stache 5 - 2017"/>
    <x v="7"/>
  </r>
  <r>
    <n v="683"/>
    <n v="1"/>
    <n v="2"/>
    <n v="2"/>
    <n v="749.99"/>
    <n v="0.1"/>
    <n v="1499.88"/>
    <s v="Ritchey Timberwolf Frameset - 2016"/>
    <x v="7"/>
  </r>
  <r>
    <n v="684"/>
    <n v="1"/>
    <n v="56"/>
    <n v="1"/>
    <n v="5499.99"/>
    <n v="7.0000000000000007E-2"/>
    <n v="5499.92"/>
    <s v="Trek Domane SLR 6 Disc - 2017"/>
    <x v="7"/>
  </r>
  <r>
    <n v="685"/>
    <n v="1"/>
    <n v="59"/>
    <n v="1"/>
    <n v="2599.9899999999998"/>
    <n v="0.05"/>
    <n v="2599.9399999999996"/>
    <s v="Trek Domane S 5 Disc - 2017"/>
    <x v="7"/>
  </r>
  <r>
    <n v="686"/>
    <n v="1"/>
    <n v="16"/>
    <n v="1"/>
    <n v="599.99"/>
    <n v="0.2"/>
    <n v="599.79"/>
    <s v="Electra Townie Original 7D EQ - 2016"/>
    <x v="7"/>
  </r>
  <r>
    <n v="687"/>
    <n v="1"/>
    <n v="48"/>
    <n v="2"/>
    <n v="1499.99"/>
    <n v="0.05"/>
    <n v="2999.93"/>
    <s v="Trek Emonda S 4 - 2017"/>
    <x v="7"/>
  </r>
  <r>
    <n v="688"/>
    <n v="1"/>
    <n v="8"/>
    <n v="1"/>
    <n v="1799.99"/>
    <n v="0.1"/>
    <n v="1799.89"/>
    <s v="Trek Remedy 29 Carbon Frameset - 2016"/>
    <x v="7"/>
  </r>
  <r>
    <n v="689"/>
    <n v="1"/>
    <n v="33"/>
    <n v="2"/>
    <n v="469.99"/>
    <n v="0.1"/>
    <n v="939.88"/>
    <s v="Surly Wednesday Frameset - 2017"/>
    <x v="7"/>
  </r>
  <r>
    <n v="690"/>
    <n v="1"/>
    <n v="84"/>
    <n v="1"/>
    <n v="109.99"/>
    <n v="0.2"/>
    <n v="109.78999999999999"/>
    <s v="Sun Bicycles Lil Kitt'n - 2017"/>
    <x v="7"/>
  </r>
  <r>
    <n v="691"/>
    <n v="1"/>
    <n v="23"/>
    <n v="2"/>
    <n v="299.99"/>
    <n v="0.05"/>
    <n v="599.93000000000006"/>
    <s v="Electra Girl's Hawaii 1 (20-inch) - 2015/2016"/>
    <x v="7"/>
  </r>
  <r>
    <n v="692"/>
    <n v="1"/>
    <n v="59"/>
    <n v="1"/>
    <n v="2599.9899999999998"/>
    <n v="0.2"/>
    <n v="2599.79"/>
    <s v="Trek Domane S 5 Disc - 2017"/>
    <x v="7"/>
  </r>
  <r>
    <n v="693"/>
    <n v="1"/>
    <n v="104"/>
    <n v="2"/>
    <n v="481.99"/>
    <n v="0.2"/>
    <n v="963.78"/>
    <s v="Sun Bicycles Streamway - 2017"/>
    <x v="7"/>
  </r>
  <r>
    <n v="694"/>
    <n v="1"/>
    <n v="48"/>
    <n v="1"/>
    <n v="1499.99"/>
    <n v="0.2"/>
    <n v="1499.79"/>
    <s v="Trek Emonda S 4 - 2017"/>
    <x v="7"/>
  </r>
  <r>
    <n v="695"/>
    <n v="1"/>
    <n v="82"/>
    <n v="2"/>
    <n v="659.99"/>
    <n v="0.1"/>
    <n v="1319.88"/>
    <s v="Electra Amsterdam Original 3i Ladies' - 2017"/>
    <x v="7"/>
  </r>
  <r>
    <n v="696"/>
    <n v="1"/>
    <n v="88"/>
    <n v="2"/>
    <n v="189.99"/>
    <n v="7.0000000000000007E-2"/>
    <n v="379.91"/>
    <s v="Trek Precaliber 12 Girls - 2017"/>
    <x v="7"/>
  </r>
  <r>
    <n v="697"/>
    <n v="1"/>
    <n v="5"/>
    <n v="2"/>
    <n v="1320.99"/>
    <n v="0.05"/>
    <n v="2641.93"/>
    <s v="Heller Shagamaw Frame - 2016"/>
    <x v="7"/>
  </r>
  <r>
    <n v="698"/>
    <n v="1"/>
    <n v="96"/>
    <n v="1"/>
    <n v="349.99"/>
    <n v="7.0000000000000007E-2"/>
    <n v="349.92"/>
    <s v="Electra Moto 3i (20-inch) - Boy's - 2017"/>
    <x v="7"/>
  </r>
  <r>
    <n v="699"/>
    <n v="1"/>
    <n v="106"/>
    <n v="2"/>
    <n v="449.99"/>
    <n v="0.1"/>
    <n v="899.88"/>
    <s v="Sun Bicycles Cruz 3 - 2017"/>
    <x v="7"/>
  </r>
  <r>
    <n v="700"/>
    <n v="1"/>
    <n v="7"/>
    <n v="2"/>
    <n v="3999.99"/>
    <n v="0.05"/>
    <n v="7999.9299999999994"/>
    <s v="Trek Slash 8 27.5 - 2016"/>
    <x v="7"/>
  </r>
  <r>
    <n v="701"/>
    <n v="1"/>
    <n v="84"/>
    <n v="1"/>
    <n v="109.99"/>
    <n v="0.05"/>
    <n v="109.94"/>
    <s v="Sun Bicycles Lil Kitt'n - 2017"/>
    <x v="7"/>
  </r>
  <r>
    <n v="702"/>
    <n v="1"/>
    <n v="25"/>
    <n v="2"/>
    <n v="499.99"/>
    <n v="0.05"/>
    <n v="999.93000000000006"/>
    <s v="Electra Townie Original 7D - 2015/2016"/>
    <x v="7"/>
  </r>
  <r>
    <n v="703"/>
    <n v="1"/>
    <n v="45"/>
    <n v="2"/>
    <n v="869.99"/>
    <n v="0.2"/>
    <n v="1739.78"/>
    <s v="Haro SR 1.2 - 2017"/>
    <x v="7"/>
  </r>
  <r>
    <n v="704"/>
    <n v="1"/>
    <n v="10"/>
    <n v="2"/>
    <n v="1549"/>
    <n v="0.05"/>
    <n v="3097.95"/>
    <s v="Surly Straggler - 2016"/>
    <x v="7"/>
  </r>
  <r>
    <n v="705"/>
    <n v="1"/>
    <n v="61"/>
    <n v="1"/>
    <n v="4999.99"/>
    <n v="0.1"/>
    <n v="4999.8899999999994"/>
    <s v="Trek Powerfly 8 FS Plus - 2017"/>
    <x v="7"/>
  </r>
  <r>
    <n v="706"/>
    <n v="1"/>
    <n v="27"/>
    <n v="1"/>
    <n v="999.99"/>
    <n v="0.1"/>
    <n v="999.89"/>
    <s v="Surly Big Dummy Frameset - 2017"/>
    <x v="7"/>
  </r>
  <r>
    <n v="707"/>
    <n v="1"/>
    <n v="106"/>
    <n v="2"/>
    <n v="449.99"/>
    <n v="0.05"/>
    <n v="899.93000000000006"/>
    <s v="Sun Bicycles Cruz 3 - 2017"/>
    <x v="7"/>
  </r>
  <r>
    <n v="708"/>
    <n v="1"/>
    <n v="6"/>
    <n v="1"/>
    <n v="469.99"/>
    <n v="7.0000000000000007E-2"/>
    <n v="469.92"/>
    <s v="Surly Ice Cream Truck Frameset - 2016"/>
    <x v="7"/>
  </r>
  <r>
    <n v="709"/>
    <n v="1"/>
    <n v="55"/>
    <n v="2"/>
    <n v="2699.99"/>
    <n v="0.05"/>
    <n v="5399.9299999999994"/>
    <s v="Trek Domane S 6 - 2017"/>
    <x v="7"/>
  </r>
  <r>
    <n v="710"/>
    <n v="1"/>
    <n v="42"/>
    <n v="1"/>
    <n v="2299.9899999999998"/>
    <n v="0.05"/>
    <n v="2299.9399999999996"/>
    <s v="Trek Fuel EX 5 27.5 Plus - 2017"/>
    <x v="7"/>
  </r>
  <r>
    <n v="711"/>
    <n v="1"/>
    <n v="5"/>
    <n v="2"/>
    <n v="1320.99"/>
    <n v="0.05"/>
    <n v="2641.93"/>
    <s v="Heller Shagamaw Frame - 2016"/>
    <x v="7"/>
  </r>
  <r>
    <n v="712"/>
    <n v="1"/>
    <n v="44"/>
    <n v="2"/>
    <n v="539.99"/>
    <n v="0.2"/>
    <n v="1079.78"/>
    <s v="Haro SR 1.1 - 2017"/>
    <x v="7"/>
  </r>
  <r>
    <n v="713"/>
    <n v="1"/>
    <n v="93"/>
    <n v="2"/>
    <n v="209.99"/>
    <n v="0.2"/>
    <n v="419.78000000000003"/>
    <s v="Haro Shredder 20 Girls - 2017"/>
    <x v="7"/>
  </r>
  <r>
    <n v="714"/>
    <n v="1"/>
    <n v="92"/>
    <n v="2"/>
    <n v="209.99"/>
    <n v="0.2"/>
    <n v="419.78000000000003"/>
    <s v="Haro Shredder 20 - 2017"/>
    <x v="7"/>
  </r>
  <r>
    <n v="715"/>
    <n v="1"/>
    <n v="61"/>
    <n v="2"/>
    <n v="4999.99"/>
    <n v="0.1"/>
    <n v="9999.8799999999992"/>
    <s v="Trek Powerfly 8 FS Plus - 2017"/>
    <x v="7"/>
  </r>
  <r>
    <n v="716"/>
    <n v="1"/>
    <n v="111"/>
    <n v="2"/>
    <n v="470.99"/>
    <n v="0.1"/>
    <n v="941.88"/>
    <s v="Sun Bicycles Drifter 7 - Women's - 2017"/>
    <x v="7"/>
  </r>
  <r>
    <n v="717"/>
    <n v="1"/>
    <n v="56"/>
    <n v="2"/>
    <n v="5499.99"/>
    <n v="0.05"/>
    <n v="10999.93"/>
    <s v="Trek Domane SLR 6 Disc - 2017"/>
    <x v="7"/>
  </r>
  <r>
    <n v="718"/>
    <n v="1"/>
    <n v="92"/>
    <n v="2"/>
    <n v="209.99"/>
    <n v="7.0000000000000007E-2"/>
    <n v="419.91"/>
    <s v="Haro Shredder 20 - 2017"/>
    <x v="7"/>
  </r>
  <r>
    <n v="719"/>
    <n v="1"/>
    <n v="100"/>
    <n v="1"/>
    <n v="489.99"/>
    <n v="0.2"/>
    <n v="489.79"/>
    <s v="Electra Townie 3i EQ (20-inch) - Boys' - 2017"/>
    <x v="7"/>
  </r>
  <r>
    <n v="720"/>
    <n v="1"/>
    <n v="111"/>
    <n v="1"/>
    <n v="470.99"/>
    <n v="7.0000000000000007E-2"/>
    <n v="470.92"/>
    <s v="Sun Bicycles Drifter 7 - Women's - 2017"/>
    <x v="7"/>
  </r>
  <r>
    <n v="721"/>
    <n v="1"/>
    <n v="45"/>
    <n v="2"/>
    <n v="869.99"/>
    <n v="7.0000000000000007E-2"/>
    <n v="1739.91"/>
    <s v="Haro SR 1.2 - 2017"/>
    <x v="7"/>
  </r>
  <r>
    <n v="722"/>
    <n v="1"/>
    <n v="22"/>
    <n v="2"/>
    <n v="269.99"/>
    <n v="7.0000000000000007E-2"/>
    <n v="539.91"/>
    <s v="Electra Girl's Hawaii 1 (16-inch) - 2015/2016"/>
    <x v="7"/>
  </r>
  <r>
    <n v="723"/>
    <n v="1"/>
    <n v="24"/>
    <n v="2"/>
    <n v="549.99"/>
    <n v="7.0000000000000007E-2"/>
    <n v="1099.9100000000001"/>
    <s v="Electra Townie Original 21D - 2016"/>
    <x v="7"/>
  </r>
  <r>
    <n v="724"/>
    <n v="1"/>
    <n v="23"/>
    <n v="1"/>
    <n v="299.99"/>
    <n v="0.05"/>
    <n v="299.94"/>
    <s v="Electra Girl's Hawaii 1 (20-inch) - 2015/2016"/>
    <x v="7"/>
  </r>
  <r>
    <n v="725"/>
    <n v="1"/>
    <n v="90"/>
    <n v="1"/>
    <n v="209.99"/>
    <n v="0.1"/>
    <n v="209.89000000000001"/>
    <s v="Trek Precaliber 16 Girls - 2017"/>
    <x v="7"/>
  </r>
  <r>
    <n v="726"/>
    <n v="1"/>
    <n v="64"/>
    <n v="1"/>
    <n v="489.99"/>
    <n v="0.2"/>
    <n v="489.79"/>
    <s v="Electra Townie Original 7D - 2017"/>
    <x v="7"/>
  </r>
  <r>
    <n v="727"/>
    <n v="1"/>
    <n v="78"/>
    <n v="1"/>
    <n v="647.99"/>
    <n v="7.0000000000000007E-2"/>
    <n v="647.91999999999996"/>
    <s v="Sun Bicycles Biscayne Tandem CB - 2017"/>
    <x v="7"/>
  </r>
  <r>
    <n v="728"/>
    <n v="1"/>
    <n v="70"/>
    <n v="1"/>
    <n v="659.99"/>
    <n v="0.05"/>
    <n v="659.94"/>
    <s v="Electra Amsterdam Original 3i - 2015/2017"/>
    <x v="7"/>
  </r>
  <r>
    <n v="729"/>
    <n v="1"/>
    <n v="101"/>
    <n v="2"/>
    <n v="339.99"/>
    <n v="0.1"/>
    <n v="679.88"/>
    <s v="Electra Townie 7D (20-inch) - Boys' - 2017"/>
    <x v="7"/>
  </r>
  <r>
    <n v="730"/>
    <n v="1"/>
    <n v="59"/>
    <n v="2"/>
    <n v="2599.9899999999998"/>
    <n v="0.05"/>
    <n v="5199.9299999999994"/>
    <s v="Trek Domane S 5 Disc - 2017"/>
    <x v="7"/>
  </r>
  <r>
    <n v="731"/>
    <n v="1"/>
    <n v="91"/>
    <n v="1"/>
    <n v="349.99"/>
    <n v="0.05"/>
    <n v="349.94"/>
    <s v="Trek Precaliber 24 (21-Speed) - Girls - 2017"/>
    <x v="7"/>
  </r>
  <r>
    <n v="732"/>
    <n v="1"/>
    <n v="47"/>
    <n v="1"/>
    <n v="5299.99"/>
    <n v="7.0000000000000007E-2"/>
    <n v="5299.92"/>
    <s v="Trek Remedy 9.8 - 2017"/>
    <x v="7"/>
  </r>
  <r>
    <n v="733"/>
    <n v="1"/>
    <n v="84"/>
    <n v="1"/>
    <n v="109.99"/>
    <n v="0.05"/>
    <n v="109.94"/>
    <s v="Sun Bicycles Lil Kitt'n - 2017"/>
    <x v="7"/>
  </r>
  <r>
    <n v="734"/>
    <n v="1"/>
    <n v="26"/>
    <n v="1"/>
    <n v="599.99"/>
    <n v="0.2"/>
    <n v="599.79"/>
    <s v="Electra Townie Original 7D EQ - 2016"/>
    <x v="7"/>
  </r>
  <r>
    <n v="735"/>
    <n v="1"/>
    <n v="71"/>
    <n v="2"/>
    <n v="416.99"/>
    <n v="0.1"/>
    <n v="833.88"/>
    <s v="Sun Bicycles Atlas X-Type - 2017"/>
    <x v="7"/>
  </r>
  <r>
    <n v="736"/>
    <n v="1"/>
    <n v="56"/>
    <n v="2"/>
    <n v="5499.99"/>
    <n v="0.05"/>
    <n v="10999.93"/>
    <s v="Trek Domane SLR 6 Disc - 2017"/>
    <x v="7"/>
  </r>
  <r>
    <n v="737"/>
    <n v="1"/>
    <n v="52"/>
    <n v="1"/>
    <n v="875.99"/>
    <n v="0.05"/>
    <n v="875.94"/>
    <s v="Surly Steamroller - 2017"/>
    <x v="7"/>
  </r>
  <r>
    <n v="738"/>
    <n v="1"/>
    <n v="82"/>
    <n v="2"/>
    <n v="659.99"/>
    <n v="7.0000000000000007E-2"/>
    <n v="1319.91"/>
    <s v="Electra Amsterdam Original 3i Ladies' - 2017"/>
    <x v="7"/>
  </r>
  <r>
    <n v="739"/>
    <n v="1"/>
    <n v="3"/>
    <n v="1"/>
    <n v="999.99"/>
    <n v="0.2"/>
    <n v="999.79"/>
    <s v="Surly Wednesday Frameset - 2016"/>
    <x v="7"/>
  </r>
  <r>
    <n v="740"/>
    <n v="1"/>
    <n v="81"/>
    <n v="1"/>
    <n v="1099.99"/>
    <n v="0.05"/>
    <n v="1099.94"/>
    <s v="Electra Amsterdam Fashion 7i Ladies' - 2017"/>
    <x v="7"/>
  </r>
  <r>
    <n v="741"/>
    <n v="1"/>
    <n v="58"/>
    <n v="1"/>
    <n v="4999.99"/>
    <n v="0.05"/>
    <n v="4999.9399999999996"/>
    <s v="Trek Madone 9.2 - 2017"/>
    <x v="7"/>
  </r>
  <r>
    <n v="742"/>
    <n v="1"/>
    <n v="107"/>
    <n v="2"/>
    <n v="416.99"/>
    <n v="0.05"/>
    <n v="833.93000000000006"/>
    <s v="Sun Bicycles Cruz 7 - 2017"/>
    <x v="7"/>
  </r>
  <r>
    <n v="743"/>
    <n v="1"/>
    <n v="80"/>
    <n v="1"/>
    <n v="761.99"/>
    <n v="0.05"/>
    <n v="761.94"/>
    <s v="Sun Bicycles Brickell Tandem CB - 2017"/>
    <x v="7"/>
  </r>
  <r>
    <n v="744"/>
    <n v="1"/>
    <n v="33"/>
    <n v="2"/>
    <n v="469.99"/>
    <n v="0.2"/>
    <n v="939.78"/>
    <s v="Surly Wednesday Frameset - 2017"/>
    <x v="7"/>
  </r>
  <r>
    <n v="745"/>
    <n v="1"/>
    <n v="95"/>
    <n v="2"/>
    <n v="299.99"/>
    <n v="0.05"/>
    <n v="599.93000000000006"/>
    <s v="Electra Girl's Hawaii 1 16&quot; - 2017"/>
    <x v="7"/>
  </r>
  <r>
    <n v="746"/>
    <n v="1"/>
    <n v="99"/>
    <n v="1"/>
    <n v="299.99"/>
    <n v="0.1"/>
    <n v="299.89"/>
    <s v="Electra Sugar Skulls 1 (20-inch) - Girl's - 2017"/>
    <x v="7"/>
  </r>
  <r>
    <n v="747"/>
    <n v="1"/>
    <n v="110"/>
    <n v="1"/>
    <n v="470.99"/>
    <n v="7.0000000000000007E-2"/>
    <n v="470.92"/>
    <s v="Sun Bicycles Drifter 7 - 2017"/>
    <x v="7"/>
  </r>
  <r>
    <n v="748"/>
    <n v="1"/>
    <n v="16"/>
    <n v="2"/>
    <n v="599.99"/>
    <n v="0.1"/>
    <n v="1199.8800000000001"/>
    <s v="Electra Townie Original 7D EQ - 2016"/>
    <x v="7"/>
  </r>
  <r>
    <n v="749"/>
    <n v="1"/>
    <n v="9"/>
    <n v="1"/>
    <n v="2999.99"/>
    <n v="0.2"/>
    <n v="2999.79"/>
    <s v="Trek Conduit+ - 2016"/>
    <x v="7"/>
  </r>
  <r>
    <n v="750"/>
    <n v="1"/>
    <n v="72"/>
    <n v="1"/>
    <n v="619.99"/>
    <n v="0.05"/>
    <n v="619.94000000000005"/>
    <s v="Sun Bicycles Biscayne Tandem 7 - 2017"/>
    <x v="7"/>
  </r>
  <r>
    <n v="751"/>
    <n v="1"/>
    <n v="45"/>
    <n v="2"/>
    <n v="869.99"/>
    <n v="0.05"/>
    <n v="1739.93"/>
    <s v="Haro SR 1.2 - 2017"/>
    <x v="7"/>
  </r>
  <r>
    <n v="752"/>
    <n v="1"/>
    <n v="12"/>
    <n v="2"/>
    <n v="549.99"/>
    <n v="0.05"/>
    <n v="1099.93"/>
    <s v="Electra Townie Original 21D - 2016"/>
    <x v="7"/>
  </r>
  <r>
    <n v="753"/>
    <n v="1"/>
    <n v="105"/>
    <n v="2"/>
    <n v="533.99"/>
    <n v="7.0000000000000007E-2"/>
    <n v="1067.9100000000001"/>
    <s v="Sun Bicycles Streamway 7 - 2017"/>
    <x v="7"/>
  </r>
  <r>
    <n v="754"/>
    <n v="1"/>
    <n v="74"/>
    <n v="2"/>
    <n v="439.99"/>
    <n v="7.0000000000000007E-2"/>
    <n v="879.91"/>
    <s v="Electra Cruiser Lux 1 - 2017"/>
    <x v="7"/>
  </r>
  <r>
    <n v="755"/>
    <n v="1"/>
    <n v="80"/>
    <n v="2"/>
    <n v="761.99"/>
    <n v="7.0000000000000007E-2"/>
    <n v="1523.91"/>
    <s v="Sun Bicycles Brickell Tandem CB - 2017"/>
    <x v="7"/>
  </r>
  <r>
    <n v="756"/>
    <n v="1"/>
    <n v="64"/>
    <n v="1"/>
    <n v="489.99"/>
    <n v="0.1"/>
    <n v="489.89"/>
    <s v="Electra Townie Original 7D - 2017"/>
    <x v="7"/>
  </r>
  <r>
    <n v="757"/>
    <n v="1"/>
    <n v="95"/>
    <n v="1"/>
    <n v="299.99"/>
    <n v="0.1"/>
    <n v="299.89"/>
    <s v="Electra Girl's Hawaii 1 16&quot; - 2017"/>
    <x v="7"/>
  </r>
  <r>
    <n v="758"/>
    <n v="1"/>
    <n v="22"/>
    <n v="2"/>
    <n v="269.99"/>
    <n v="7.0000000000000007E-2"/>
    <n v="539.91"/>
    <s v="Electra Girl's Hawaii 1 (16-inch) - 2015/2016"/>
    <x v="7"/>
  </r>
  <r>
    <n v="759"/>
    <n v="1"/>
    <n v="93"/>
    <n v="2"/>
    <n v="209.99"/>
    <n v="0.05"/>
    <n v="419.93"/>
    <s v="Haro Shredder 20 Girls - 2017"/>
    <x v="7"/>
  </r>
  <r>
    <n v="760"/>
    <n v="1"/>
    <n v="21"/>
    <n v="2"/>
    <n v="269.99"/>
    <n v="7.0000000000000007E-2"/>
    <n v="539.91"/>
    <s v="Electra Cruiser 1 (24-Inch) - 2016"/>
    <x v="7"/>
  </r>
  <r>
    <n v="761"/>
    <n v="1"/>
    <n v="43"/>
    <n v="1"/>
    <n v="5299.99"/>
    <n v="7.0000000000000007E-2"/>
    <n v="5299.92"/>
    <s v="Trek Fuel EX 9.8 27.5 Plus - 2017"/>
    <x v="7"/>
  </r>
  <r>
    <n v="762"/>
    <n v="1"/>
    <n v="102"/>
    <n v="2"/>
    <n v="489.99"/>
    <n v="0.05"/>
    <n v="979.93000000000006"/>
    <s v="Electra Townie Original 7D - 2017"/>
    <x v="7"/>
  </r>
  <r>
    <n v="763"/>
    <n v="1"/>
    <n v="90"/>
    <n v="1"/>
    <n v="209.99"/>
    <n v="7.0000000000000007E-2"/>
    <n v="209.92000000000002"/>
    <s v="Trek Precaliber 16 Girls - 2017"/>
    <x v="7"/>
  </r>
  <r>
    <n v="764"/>
    <n v="1"/>
    <n v="55"/>
    <n v="1"/>
    <n v="2699.99"/>
    <n v="7.0000000000000007E-2"/>
    <n v="2699.9199999999996"/>
    <s v="Trek Domane S 6 - 2017"/>
    <x v="7"/>
  </r>
  <r>
    <n v="765"/>
    <n v="1"/>
    <n v="28"/>
    <n v="2"/>
    <n v="2499.9899999999998"/>
    <n v="0.2"/>
    <n v="4999.78"/>
    <s v="Surly Karate Monkey 27.5+ Frameset - 2017"/>
    <x v="7"/>
  </r>
  <r>
    <n v="766"/>
    <n v="1"/>
    <n v="111"/>
    <n v="1"/>
    <n v="470.99"/>
    <n v="0.2"/>
    <n v="470.79"/>
    <s v="Sun Bicycles Drifter 7 - Women's - 2017"/>
    <x v="7"/>
  </r>
  <r>
    <n v="767"/>
    <n v="1"/>
    <n v="63"/>
    <n v="1"/>
    <n v="3499.99"/>
    <n v="0.1"/>
    <n v="3499.89"/>
    <s v="Trek Boone Race Shop Limited - 2017"/>
    <x v="7"/>
  </r>
  <r>
    <n v="768"/>
    <n v="1"/>
    <n v="31"/>
    <n v="1"/>
    <n v="1632.99"/>
    <n v="0.2"/>
    <n v="1632.79"/>
    <s v="Surly Wednesday - 2017"/>
    <x v="7"/>
  </r>
  <r>
    <n v="769"/>
    <n v="1"/>
    <n v="8"/>
    <n v="1"/>
    <n v="1799.99"/>
    <n v="0.1"/>
    <n v="1799.89"/>
    <s v="Trek Remedy 29 Carbon Frameset - 2016"/>
    <x v="7"/>
  </r>
  <r>
    <n v="770"/>
    <n v="1"/>
    <n v="110"/>
    <n v="1"/>
    <n v="470.99"/>
    <n v="0.05"/>
    <n v="470.94"/>
    <s v="Sun Bicycles Drifter 7 - 2017"/>
    <x v="7"/>
  </r>
  <r>
    <n v="771"/>
    <n v="1"/>
    <n v="13"/>
    <n v="2"/>
    <n v="269.99"/>
    <n v="0.2"/>
    <n v="539.78"/>
    <s v="Electra Cruiser 1 (24-Inch) - 2016"/>
    <x v="7"/>
  </r>
  <r>
    <n v="772"/>
    <n v="1"/>
    <n v="103"/>
    <n v="1"/>
    <n v="551.99"/>
    <n v="7.0000000000000007E-2"/>
    <n v="551.91999999999996"/>
    <s v="Sun Bicycles Streamway 3 - 2017"/>
    <x v="7"/>
  </r>
  <r>
    <n v="773"/>
    <n v="1"/>
    <n v="92"/>
    <n v="1"/>
    <n v="209.99"/>
    <n v="0.1"/>
    <n v="209.89000000000001"/>
    <s v="Haro Shredder 20 - 2017"/>
    <x v="7"/>
  </r>
  <r>
    <n v="774"/>
    <n v="1"/>
    <n v="65"/>
    <n v="1"/>
    <n v="346.99"/>
    <n v="0.05"/>
    <n v="346.94"/>
    <s v="Sun Bicycles Lil Bolt Type-R - 2017"/>
    <x v="7"/>
  </r>
  <r>
    <n v="775"/>
    <n v="1"/>
    <n v="39"/>
    <n v="1"/>
    <n v="1499.99"/>
    <n v="7.0000000000000007E-2"/>
    <n v="1499.92"/>
    <s v="Trek Stache 5 - 2017"/>
    <x v="7"/>
  </r>
  <r>
    <n v="776"/>
    <n v="1"/>
    <n v="28"/>
    <n v="1"/>
    <n v="2499.9899999999998"/>
    <n v="0.2"/>
    <n v="2499.79"/>
    <s v="Surly Karate Monkey 27.5+ Frameset - 2017"/>
    <x v="7"/>
  </r>
  <r>
    <n v="777"/>
    <n v="1"/>
    <n v="5"/>
    <n v="1"/>
    <n v="1320.99"/>
    <n v="0.2"/>
    <n v="1320.79"/>
    <s v="Heller Shagamaw Frame - 2016"/>
    <x v="7"/>
  </r>
  <r>
    <n v="778"/>
    <n v="1"/>
    <n v="64"/>
    <n v="1"/>
    <n v="489.99"/>
    <n v="0.1"/>
    <n v="489.89"/>
    <s v="Electra Townie Original 7D - 2017"/>
    <x v="7"/>
  </r>
  <r>
    <n v="779"/>
    <n v="1"/>
    <n v="101"/>
    <n v="1"/>
    <n v="339.99"/>
    <n v="0.05"/>
    <n v="339.94"/>
    <s v="Electra Townie 7D (20-inch) - Boys' - 2017"/>
    <x v="7"/>
  </r>
  <r>
    <n v="780"/>
    <n v="1"/>
    <n v="32"/>
    <n v="1"/>
    <n v="469.99"/>
    <n v="0.1"/>
    <n v="469.89"/>
    <s v="Trek Farley Alloy Frameset - 2017"/>
    <x v="7"/>
  </r>
  <r>
    <n v="781"/>
    <n v="1"/>
    <n v="109"/>
    <n v="2"/>
    <n v="416.99"/>
    <n v="0.05"/>
    <n v="833.93000000000006"/>
    <s v="Sun Bicycles Cruz 7 - Women's - 2017"/>
    <x v="7"/>
  </r>
  <r>
    <n v="782"/>
    <n v="1"/>
    <n v="20"/>
    <n v="2"/>
    <n v="599.99"/>
    <n v="7.0000000000000007E-2"/>
    <n v="1199.9100000000001"/>
    <s v="Electra Townie Original 7D EQ - Women's - 2016"/>
    <x v="7"/>
  </r>
  <r>
    <n v="783"/>
    <n v="1"/>
    <n v="92"/>
    <n v="1"/>
    <n v="209.99"/>
    <n v="0.2"/>
    <n v="209.79000000000002"/>
    <s v="Haro Shredder 20 - 2017"/>
    <x v="7"/>
  </r>
  <r>
    <n v="784"/>
    <n v="1"/>
    <n v="22"/>
    <n v="1"/>
    <n v="269.99"/>
    <n v="7.0000000000000007E-2"/>
    <n v="269.92"/>
    <s v="Electra Girl's Hawaii 1 (16-inch) - 2015/2016"/>
    <x v="7"/>
  </r>
  <r>
    <n v="785"/>
    <n v="1"/>
    <n v="59"/>
    <n v="2"/>
    <n v="2599.9899999999998"/>
    <n v="0.2"/>
    <n v="5199.78"/>
    <s v="Trek Domane S 5 Disc - 2017"/>
    <x v="7"/>
  </r>
  <r>
    <n v="786"/>
    <n v="1"/>
    <n v="80"/>
    <n v="1"/>
    <n v="761.99"/>
    <n v="0.05"/>
    <n v="761.94"/>
    <s v="Sun Bicycles Brickell Tandem CB - 2017"/>
    <x v="7"/>
  </r>
  <r>
    <n v="787"/>
    <n v="1"/>
    <n v="51"/>
    <n v="2"/>
    <n v="6499.99"/>
    <n v="7.0000000000000007E-2"/>
    <n v="12999.91"/>
    <s v="Trek Silque SLR 8 Women's - 2017"/>
    <x v="7"/>
  </r>
  <r>
    <n v="788"/>
    <n v="1"/>
    <n v="48"/>
    <n v="1"/>
    <n v="1499.99"/>
    <n v="0.2"/>
    <n v="1499.79"/>
    <s v="Trek Emonda S 4 - 2017"/>
    <x v="7"/>
  </r>
  <r>
    <n v="789"/>
    <n v="1"/>
    <n v="100"/>
    <n v="2"/>
    <n v="489.99"/>
    <n v="0.2"/>
    <n v="979.78"/>
    <s v="Electra Townie 3i EQ (20-inch) - Boys' - 2017"/>
    <x v="7"/>
  </r>
  <r>
    <n v="790"/>
    <n v="1"/>
    <n v="62"/>
    <n v="2"/>
    <n v="3499.99"/>
    <n v="7.0000000000000007E-2"/>
    <n v="6999.91"/>
    <s v="Trek Boone 7 - 2017"/>
    <x v="7"/>
  </r>
  <r>
    <n v="791"/>
    <n v="1"/>
    <n v="54"/>
    <n v="1"/>
    <n v="3199.99"/>
    <n v="0.2"/>
    <n v="3199.79"/>
    <s v="Trek Domane SL Disc Frameset - 2017"/>
    <x v="7"/>
  </r>
  <r>
    <n v="792"/>
    <n v="1"/>
    <n v="16"/>
    <n v="2"/>
    <n v="599.99"/>
    <n v="0.2"/>
    <n v="1199.78"/>
    <s v="Electra Townie Original 7D EQ - 2016"/>
    <x v="7"/>
  </r>
  <r>
    <n v="793"/>
    <n v="1"/>
    <n v="60"/>
    <n v="1"/>
    <n v="1559.99"/>
    <n v="0.05"/>
    <n v="1559.94"/>
    <s v="Sun Bicycles ElectroLite - 2017"/>
    <x v="7"/>
  </r>
  <r>
    <n v="794"/>
    <n v="1"/>
    <n v="41"/>
    <n v="2"/>
    <n v="1469.99"/>
    <n v="0.05"/>
    <n v="2939.93"/>
    <s v="Haro Shift R3 - 2017"/>
    <x v="7"/>
  </r>
  <r>
    <n v="795"/>
    <n v="1"/>
    <n v="95"/>
    <n v="2"/>
    <n v="299.99"/>
    <n v="0.05"/>
    <n v="599.93000000000006"/>
    <s v="Electra Girl's Hawaii 1 16&quot; - 2017"/>
    <x v="7"/>
  </r>
  <r>
    <n v="796"/>
    <n v="1"/>
    <n v="6"/>
    <n v="2"/>
    <n v="469.99"/>
    <n v="0.2"/>
    <n v="939.78"/>
    <s v="Surly Ice Cream Truck Frameset - 2016"/>
    <x v="7"/>
  </r>
  <r>
    <n v="797"/>
    <n v="1"/>
    <n v="11"/>
    <n v="1"/>
    <n v="1680.99"/>
    <n v="7.0000000000000007E-2"/>
    <n v="1680.92"/>
    <s v="Surly Straggler 650b - 2016"/>
    <x v="7"/>
  </r>
  <r>
    <n v="798"/>
    <n v="1"/>
    <n v="23"/>
    <n v="1"/>
    <n v="299.99"/>
    <n v="0.1"/>
    <n v="299.89"/>
    <s v="Electra Girl's Hawaii 1 (20-inch) - 2015/2016"/>
    <x v="7"/>
  </r>
  <r>
    <n v="799"/>
    <n v="1"/>
    <n v="5"/>
    <n v="2"/>
    <n v="1320.99"/>
    <n v="0.1"/>
    <n v="2641.88"/>
    <s v="Heller Shagamaw Frame - 2016"/>
    <x v="7"/>
  </r>
  <r>
    <n v="800"/>
    <n v="1"/>
    <n v="65"/>
    <n v="2"/>
    <n v="346.99"/>
    <n v="0.1"/>
    <n v="693.88"/>
    <s v="Sun Bicycles Lil Bolt Type-R - 2017"/>
    <x v="7"/>
  </r>
  <r>
    <n v="801"/>
    <n v="1"/>
    <n v="101"/>
    <n v="1"/>
    <n v="339.99"/>
    <n v="7.0000000000000007E-2"/>
    <n v="339.92"/>
    <s v="Electra Townie 7D (20-inch) - Boys' - 2017"/>
    <x v="7"/>
  </r>
  <r>
    <n v="802"/>
    <n v="1"/>
    <n v="30"/>
    <n v="1"/>
    <n v="999.99"/>
    <n v="0.05"/>
    <n v="999.94"/>
    <s v="Surly Ice Cream Truck Frameset - 2017"/>
    <x v="7"/>
  </r>
  <r>
    <n v="803"/>
    <n v="1"/>
    <n v="111"/>
    <n v="1"/>
    <n v="470.99"/>
    <n v="7.0000000000000007E-2"/>
    <n v="470.92"/>
    <s v="Sun Bicycles Drifter 7 - Women's - 2017"/>
    <x v="7"/>
  </r>
  <r>
    <n v="804"/>
    <n v="1"/>
    <n v="89"/>
    <n v="2"/>
    <n v="209.99"/>
    <n v="0.2"/>
    <n v="419.78000000000003"/>
    <s v="Trek Precaliber 16 Boys - 2017"/>
    <x v="7"/>
  </r>
  <r>
    <n v="805"/>
    <n v="1"/>
    <n v="24"/>
    <n v="1"/>
    <n v="549.99"/>
    <n v="0.05"/>
    <n v="549.94000000000005"/>
    <s v="Electra Townie Original 21D - 2016"/>
    <x v="7"/>
  </r>
  <r>
    <n v="806"/>
    <n v="1"/>
    <n v="93"/>
    <n v="2"/>
    <n v="209.99"/>
    <n v="0.1"/>
    <n v="419.88"/>
    <s v="Haro Shredder 20 Girls - 2017"/>
    <x v="7"/>
  </r>
  <r>
    <n v="807"/>
    <n v="1"/>
    <n v="21"/>
    <n v="2"/>
    <n v="269.99"/>
    <n v="0.2"/>
    <n v="539.78"/>
    <s v="Electra Cruiser 1 (24-Inch) - 2016"/>
    <x v="7"/>
  </r>
  <r>
    <n v="808"/>
    <n v="1"/>
    <n v="96"/>
    <n v="2"/>
    <n v="349.99"/>
    <n v="0.05"/>
    <n v="699.93000000000006"/>
    <s v="Electra Moto 3i (20-inch) - Boy's - 2017"/>
    <x v="7"/>
  </r>
  <r>
    <n v="809"/>
    <n v="1"/>
    <n v="78"/>
    <n v="1"/>
    <n v="647.99"/>
    <n v="0.1"/>
    <n v="647.89"/>
    <s v="Sun Bicycles Biscayne Tandem CB - 2017"/>
    <x v="7"/>
  </r>
  <r>
    <n v="810"/>
    <n v="1"/>
    <n v="103"/>
    <n v="2"/>
    <n v="551.99"/>
    <n v="0.05"/>
    <n v="1103.93"/>
    <s v="Sun Bicycles Streamway 3 - 2017"/>
    <x v="7"/>
  </r>
  <r>
    <n v="811"/>
    <n v="1"/>
    <n v="45"/>
    <n v="2"/>
    <n v="869.99"/>
    <n v="7.0000000000000007E-2"/>
    <n v="1739.91"/>
    <s v="Haro SR 1.2 - 2017"/>
    <x v="7"/>
  </r>
  <r>
    <n v="812"/>
    <n v="1"/>
    <n v="76"/>
    <n v="2"/>
    <n v="299.99"/>
    <n v="0.1"/>
    <n v="599.88"/>
    <s v="Electra Girl's Hawaii 1 16&quot; - 2017"/>
    <x v="7"/>
  </r>
  <r>
    <n v="813"/>
    <n v="1"/>
    <n v="96"/>
    <n v="2"/>
    <n v="349.99"/>
    <n v="0.1"/>
    <n v="699.88"/>
    <s v="Electra Moto 3i (20-inch) - Boy's - 2017"/>
    <x v="7"/>
  </r>
  <r>
    <n v="814"/>
    <n v="1"/>
    <n v="69"/>
    <n v="2"/>
    <n v="416.99"/>
    <n v="0.1"/>
    <n v="833.88"/>
    <s v="Sun Bicycles Cruz 7 - 2017"/>
    <x v="7"/>
  </r>
  <r>
    <n v="815"/>
    <n v="1"/>
    <n v="105"/>
    <n v="2"/>
    <n v="533.99"/>
    <n v="0.2"/>
    <n v="1067.78"/>
    <s v="Sun Bicycles Streamway 7 - 2017"/>
    <x v="7"/>
  </r>
  <r>
    <n v="816"/>
    <n v="1"/>
    <n v="75"/>
    <n v="2"/>
    <n v="599.99"/>
    <n v="0.1"/>
    <n v="1199.8800000000001"/>
    <s v="Electra Cruiser Lux Fat Tire 1 Ladies - 2017"/>
    <x v="7"/>
  </r>
  <r>
    <n v="817"/>
    <n v="1"/>
    <n v="85"/>
    <n v="1"/>
    <n v="329.99"/>
    <n v="0.05"/>
    <n v="329.94"/>
    <s v="Haro Downtown 16 - 2017"/>
    <x v="7"/>
  </r>
  <r>
    <n v="818"/>
    <n v="1"/>
    <n v="103"/>
    <n v="1"/>
    <n v="551.99"/>
    <n v="0.05"/>
    <n v="551.94000000000005"/>
    <s v="Sun Bicycles Streamway 3 - 2017"/>
    <x v="7"/>
  </r>
  <r>
    <n v="819"/>
    <n v="1"/>
    <n v="94"/>
    <n v="1"/>
    <n v="249.99"/>
    <n v="0.2"/>
    <n v="249.79000000000002"/>
    <s v="Haro Shredder Pro 20 - 2017"/>
    <x v="7"/>
  </r>
  <r>
    <n v="820"/>
    <n v="1"/>
    <n v="107"/>
    <n v="1"/>
    <n v="416.99"/>
    <n v="0.05"/>
    <n v="416.94"/>
    <s v="Sun Bicycles Cruz 7 - 2017"/>
    <x v="7"/>
  </r>
  <r>
    <n v="821"/>
    <n v="1"/>
    <n v="102"/>
    <n v="1"/>
    <n v="489.99"/>
    <n v="7.0000000000000007E-2"/>
    <n v="489.92"/>
    <s v="Electra Townie Original 7D - 2017"/>
    <x v="7"/>
  </r>
  <r>
    <n v="822"/>
    <n v="1"/>
    <n v="53"/>
    <n v="1"/>
    <n v="749.99"/>
    <n v="0.05"/>
    <n v="749.94"/>
    <s v="Surly Ogre Frameset - 2017"/>
    <x v="7"/>
  </r>
  <r>
    <n v="823"/>
    <n v="1"/>
    <n v="56"/>
    <n v="2"/>
    <n v="5499.99"/>
    <n v="7.0000000000000007E-2"/>
    <n v="10999.91"/>
    <s v="Trek Domane SLR 6 Disc - 2017"/>
    <x v="7"/>
  </r>
  <r>
    <n v="824"/>
    <n v="1"/>
    <n v="92"/>
    <n v="2"/>
    <n v="209.99"/>
    <n v="0.1"/>
    <n v="419.88"/>
    <s v="Haro Shredder 20 - 2017"/>
    <x v="7"/>
  </r>
  <r>
    <n v="825"/>
    <n v="1"/>
    <n v="19"/>
    <n v="1"/>
    <n v="449"/>
    <n v="0.1"/>
    <n v="448.9"/>
    <s v="Pure Cycles William 3-Speed - 2016"/>
    <x v="7"/>
  </r>
  <r>
    <n v="826"/>
    <n v="1"/>
    <n v="45"/>
    <n v="2"/>
    <n v="869.99"/>
    <n v="0.2"/>
    <n v="1739.78"/>
    <s v="Haro SR 1.2 - 2017"/>
    <x v="7"/>
  </r>
  <r>
    <n v="827"/>
    <n v="1"/>
    <n v="43"/>
    <n v="1"/>
    <n v="5299.99"/>
    <n v="0.05"/>
    <n v="5299.94"/>
    <s v="Trek Fuel EX 9.8 27.5 Plus - 2017"/>
    <x v="7"/>
  </r>
  <r>
    <n v="828"/>
    <n v="1"/>
    <n v="25"/>
    <n v="2"/>
    <n v="499.99"/>
    <n v="0.2"/>
    <n v="999.78"/>
    <s v="Electra Townie Original 7D - 2015/2016"/>
    <x v="7"/>
  </r>
  <r>
    <n v="829"/>
    <n v="1"/>
    <n v="103"/>
    <n v="1"/>
    <n v="551.99"/>
    <n v="0.2"/>
    <n v="551.79"/>
    <s v="Sun Bicycles Streamway 3 - 2017"/>
    <x v="7"/>
  </r>
  <r>
    <n v="830"/>
    <n v="1"/>
    <n v="85"/>
    <n v="2"/>
    <n v="329.99"/>
    <n v="0.2"/>
    <n v="659.78"/>
    <s v="Haro Downtown 16 - 2017"/>
    <x v="7"/>
  </r>
  <r>
    <n v="831"/>
    <n v="1"/>
    <n v="67"/>
    <n v="1"/>
    <n v="250.99"/>
    <n v="0.2"/>
    <n v="250.79000000000002"/>
    <s v="Sun Bicycles Revolutions 24 - Girl's - 2017"/>
    <x v="7"/>
  </r>
  <r>
    <n v="832"/>
    <n v="1"/>
    <n v="54"/>
    <n v="1"/>
    <n v="3199.99"/>
    <n v="0.05"/>
    <n v="3199.9399999999996"/>
    <s v="Trek Domane SL Disc Frameset - 2017"/>
    <x v="7"/>
  </r>
  <r>
    <n v="833"/>
    <n v="1"/>
    <n v="20"/>
    <n v="2"/>
    <n v="599.99"/>
    <n v="0.05"/>
    <n v="1199.93"/>
    <s v="Electra Townie Original 7D EQ - Women's - 2016"/>
    <x v="7"/>
  </r>
  <r>
    <n v="834"/>
    <n v="1"/>
    <n v="54"/>
    <n v="1"/>
    <n v="3199.99"/>
    <n v="7.0000000000000007E-2"/>
    <n v="3199.9199999999996"/>
    <s v="Trek Domane SL Disc Frameset - 2017"/>
    <x v="7"/>
  </r>
  <r>
    <n v="835"/>
    <n v="1"/>
    <n v="65"/>
    <n v="2"/>
    <n v="346.99"/>
    <n v="7.0000000000000007E-2"/>
    <n v="693.91"/>
    <s v="Sun Bicycles Lil Bolt Type-R - 2017"/>
    <x v="7"/>
  </r>
  <r>
    <n v="836"/>
    <n v="1"/>
    <n v="108"/>
    <n v="2"/>
    <n v="449.99"/>
    <n v="0.2"/>
    <n v="899.78"/>
    <s v="Sun Bicycles Cruz 3 - Women's - 2017"/>
    <x v="7"/>
  </r>
  <r>
    <n v="837"/>
    <n v="1"/>
    <n v="51"/>
    <n v="1"/>
    <n v="6499.99"/>
    <n v="0.05"/>
    <n v="6499.94"/>
    <s v="Trek Silque SLR 8 Women's - 2017"/>
    <x v="7"/>
  </r>
  <r>
    <n v="838"/>
    <n v="1"/>
    <n v="28"/>
    <n v="1"/>
    <n v="2499.9899999999998"/>
    <n v="0.1"/>
    <n v="2499.89"/>
    <s v="Surly Karate Monkey 27.5+ Frameset - 2017"/>
    <x v="7"/>
  </r>
  <r>
    <n v="839"/>
    <n v="1"/>
    <n v="55"/>
    <n v="1"/>
    <n v="2699.99"/>
    <n v="7.0000000000000007E-2"/>
    <n v="2699.9199999999996"/>
    <s v="Trek Domane S 6 - 2017"/>
    <x v="7"/>
  </r>
  <r>
    <n v="840"/>
    <n v="1"/>
    <n v="27"/>
    <n v="1"/>
    <n v="999.99"/>
    <n v="7.0000000000000007E-2"/>
    <n v="999.92"/>
    <s v="Surly Big Dummy Frameset - 2017"/>
    <x v="7"/>
  </r>
  <r>
    <n v="841"/>
    <n v="1"/>
    <n v="22"/>
    <n v="2"/>
    <n v="269.99"/>
    <n v="0.1"/>
    <n v="539.88"/>
    <s v="Electra Girl's Hawaii 1 (16-inch) - 2015/2016"/>
    <x v="7"/>
  </r>
  <r>
    <n v="842"/>
    <n v="1"/>
    <n v="81"/>
    <n v="2"/>
    <n v="1099.99"/>
    <n v="7.0000000000000007E-2"/>
    <n v="2199.91"/>
    <s v="Electra Amsterdam Fashion 7i Ladies' - 2017"/>
    <x v="7"/>
  </r>
  <r>
    <n v="843"/>
    <n v="1"/>
    <n v="72"/>
    <n v="1"/>
    <n v="619.99"/>
    <n v="0.1"/>
    <n v="619.89"/>
    <s v="Sun Bicycles Biscayne Tandem 7 - 2017"/>
    <x v="7"/>
  </r>
  <r>
    <n v="844"/>
    <n v="1"/>
    <n v="79"/>
    <n v="2"/>
    <n v="402.99"/>
    <n v="7.0000000000000007E-2"/>
    <n v="805.91"/>
    <s v="Sun Bicycles Boardwalk (24-inch Wheels) - 2017"/>
    <x v="7"/>
  </r>
  <r>
    <n v="845"/>
    <n v="1"/>
    <n v="16"/>
    <n v="2"/>
    <n v="599.99"/>
    <n v="0.2"/>
    <n v="1199.78"/>
    <s v="Electra Townie Original 7D EQ - 2016"/>
    <x v="7"/>
  </r>
  <r>
    <n v="846"/>
    <n v="1"/>
    <n v="46"/>
    <n v="2"/>
    <n v="1409.99"/>
    <n v="0.05"/>
    <n v="2819.93"/>
    <s v="Haro SR 1.3 - 2017"/>
    <x v="7"/>
  </r>
  <r>
    <n v="847"/>
    <n v="1"/>
    <n v="61"/>
    <n v="2"/>
    <n v="4999.99"/>
    <n v="0.05"/>
    <n v="9999.93"/>
    <s v="Trek Powerfly 8 FS Plus - 2017"/>
    <x v="7"/>
  </r>
  <r>
    <n v="848"/>
    <n v="1"/>
    <n v="93"/>
    <n v="1"/>
    <n v="209.99"/>
    <n v="7.0000000000000007E-2"/>
    <n v="209.92000000000002"/>
    <s v="Haro Shredder 20 Girls - 2017"/>
    <x v="7"/>
  </r>
  <r>
    <n v="849"/>
    <n v="1"/>
    <n v="109"/>
    <n v="1"/>
    <n v="416.99"/>
    <n v="0.2"/>
    <n v="416.79"/>
    <s v="Sun Bicycles Cruz 7 - Women's - 2017"/>
    <x v="7"/>
  </r>
  <r>
    <n v="850"/>
    <n v="1"/>
    <n v="101"/>
    <n v="2"/>
    <n v="339.99"/>
    <n v="7.0000000000000007E-2"/>
    <n v="679.91"/>
    <s v="Electra Townie 7D (20-inch) - Boys' - 2017"/>
    <x v="7"/>
  </r>
  <r>
    <n v="851"/>
    <n v="1"/>
    <n v="30"/>
    <n v="1"/>
    <n v="999.99"/>
    <n v="0.2"/>
    <n v="999.79"/>
    <s v="Surly Ice Cream Truck Frameset - 2017"/>
    <x v="7"/>
  </r>
  <r>
    <n v="852"/>
    <n v="1"/>
    <n v="46"/>
    <n v="2"/>
    <n v="1409.99"/>
    <n v="7.0000000000000007E-2"/>
    <n v="2819.91"/>
    <s v="Haro SR 1.3 - 2017"/>
    <x v="7"/>
  </r>
  <r>
    <n v="853"/>
    <n v="1"/>
    <n v="99"/>
    <n v="1"/>
    <n v="299.99"/>
    <n v="0.05"/>
    <n v="299.94"/>
    <s v="Electra Sugar Skulls 1 (20-inch) - Girl's - 2017"/>
    <x v="7"/>
  </r>
  <r>
    <n v="854"/>
    <n v="1"/>
    <n v="87"/>
    <n v="1"/>
    <n v="189.99"/>
    <n v="0.1"/>
    <n v="189.89000000000001"/>
    <s v="Trek Precaliber 12 Boys - 2017"/>
    <x v="7"/>
  </r>
  <r>
    <n v="855"/>
    <n v="1"/>
    <n v="18"/>
    <n v="1"/>
    <n v="449"/>
    <n v="0.1"/>
    <n v="448.9"/>
    <s v="Pure Cycles Western 3-Speed - Women's - 2015/2016"/>
    <x v="7"/>
  </r>
  <r>
    <n v="856"/>
    <n v="1"/>
    <n v="38"/>
    <n v="2"/>
    <n v="549.99"/>
    <n v="0.05"/>
    <n v="1099.93"/>
    <s v="Haro Flightline Two 26 Plus - 2017"/>
    <x v="7"/>
  </r>
  <r>
    <n v="857"/>
    <n v="1"/>
    <n v="29"/>
    <n v="1"/>
    <n v="999.99"/>
    <n v="0.2"/>
    <n v="999.79"/>
    <s v="Trek X-Caliber 8 - 2017"/>
    <x v="7"/>
  </r>
  <r>
    <n v="858"/>
    <n v="1"/>
    <n v="45"/>
    <n v="2"/>
    <n v="869.99"/>
    <n v="0.2"/>
    <n v="1739.78"/>
    <s v="Haro SR 1.2 - 2017"/>
    <x v="7"/>
  </r>
  <r>
    <n v="859"/>
    <n v="1"/>
    <n v="38"/>
    <n v="2"/>
    <n v="549.99"/>
    <n v="7.0000000000000007E-2"/>
    <n v="1099.9100000000001"/>
    <s v="Haro Flightline Two 26 Plus - 2017"/>
    <x v="7"/>
  </r>
  <r>
    <n v="860"/>
    <n v="1"/>
    <n v="6"/>
    <n v="1"/>
    <n v="469.99"/>
    <n v="0.05"/>
    <n v="469.94"/>
    <s v="Surly Ice Cream Truck Frameset - 2016"/>
    <x v="7"/>
  </r>
  <r>
    <n v="861"/>
    <n v="1"/>
    <n v="14"/>
    <n v="2"/>
    <n v="269.99"/>
    <n v="7.0000000000000007E-2"/>
    <n v="539.91"/>
    <s v="Electra Girl's Hawaii 1 (16-inch) - 2015/2016"/>
    <x v="7"/>
  </r>
  <r>
    <n v="862"/>
    <n v="1"/>
    <n v="85"/>
    <n v="1"/>
    <n v="329.99"/>
    <n v="0.05"/>
    <n v="329.94"/>
    <s v="Haro Downtown 16 - 2017"/>
    <x v="7"/>
  </r>
  <r>
    <n v="863"/>
    <n v="1"/>
    <n v="93"/>
    <n v="2"/>
    <n v="209.99"/>
    <n v="0.1"/>
    <n v="419.88"/>
    <s v="Haro Shredder 20 Girls - 2017"/>
    <x v="7"/>
  </r>
  <r>
    <n v="864"/>
    <n v="1"/>
    <n v="37"/>
    <n v="1"/>
    <n v="379.99"/>
    <n v="0.1"/>
    <n v="379.89"/>
    <s v="Haro Flightline One ST - 2017"/>
    <x v="7"/>
  </r>
  <r>
    <n v="865"/>
    <n v="1"/>
    <n v="109"/>
    <n v="2"/>
    <n v="416.99"/>
    <n v="0.1"/>
    <n v="833.88"/>
    <s v="Sun Bicycles Cruz 7 - Women's - 2017"/>
    <x v="7"/>
  </r>
  <r>
    <n v="866"/>
    <n v="1"/>
    <n v="88"/>
    <n v="1"/>
    <n v="189.99"/>
    <n v="0.2"/>
    <n v="189.79000000000002"/>
    <s v="Trek Precaliber 12 Girls - 2017"/>
    <x v="7"/>
  </r>
  <r>
    <n v="867"/>
    <n v="1"/>
    <n v="101"/>
    <n v="1"/>
    <n v="339.99"/>
    <n v="0.05"/>
    <n v="339.94"/>
    <s v="Electra Townie 7D (20-inch) - Boys' - 2017"/>
    <x v="7"/>
  </r>
  <r>
    <n v="868"/>
    <n v="1"/>
    <n v="46"/>
    <n v="1"/>
    <n v="1409.99"/>
    <n v="7.0000000000000007E-2"/>
    <n v="1409.92"/>
    <s v="Haro SR 1.3 - 2017"/>
    <x v="7"/>
  </r>
  <r>
    <n v="869"/>
    <n v="1"/>
    <n v="7"/>
    <n v="1"/>
    <n v="3999.99"/>
    <n v="0.2"/>
    <n v="3999.79"/>
    <s v="Trek Slash 8 27.5 - 2016"/>
    <x v="7"/>
  </r>
  <r>
    <n v="870"/>
    <n v="1"/>
    <n v="63"/>
    <n v="1"/>
    <n v="3499.99"/>
    <n v="7.0000000000000007E-2"/>
    <n v="3499.9199999999996"/>
    <s v="Trek Boone Race Shop Limited - 2017"/>
    <x v="7"/>
  </r>
  <r>
    <n v="871"/>
    <n v="1"/>
    <n v="106"/>
    <n v="1"/>
    <n v="449.99"/>
    <n v="0.2"/>
    <n v="449.79"/>
    <s v="Sun Bicycles Cruz 3 - 2017"/>
    <x v="7"/>
  </r>
  <r>
    <n v="872"/>
    <n v="1"/>
    <n v="62"/>
    <n v="2"/>
    <n v="3499.99"/>
    <n v="7.0000000000000007E-2"/>
    <n v="6999.91"/>
    <s v="Trek Boone 7 - 2017"/>
    <x v="7"/>
  </r>
  <r>
    <n v="873"/>
    <n v="1"/>
    <n v="32"/>
    <n v="2"/>
    <n v="469.99"/>
    <n v="0.1"/>
    <n v="939.88"/>
    <s v="Trek Farley Alloy Frameset - 2017"/>
    <x v="7"/>
  </r>
  <r>
    <n v="874"/>
    <n v="1"/>
    <n v="56"/>
    <n v="1"/>
    <n v="5499.99"/>
    <n v="0.05"/>
    <n v="5499.94"/>
    <s v="Trek Domane SLR 6 Disc - 2017"/>
    <x v="7"/>
  </r>
  <r>
    <n v="875"/>
    <n v="1"/>
    <n v="5"/>
    <n v="2"/>
    <n v="1320.99"/>
    <n v="0.1"/>
    <n v="2641.88"/>
    <s v="Heller Shagamaw Frame - 2016"/>
    <x v="7"/>
  </r>
  <r>
    <n v="876"/>
    <n v="1"/>
    <n v="17"/>
    <n v="2"/>
    <n v="429"/>
    <n v="0.2"/>
    <n v="857.8"/>
    <s v="Pure Cycles Vine 8-Speed - 2016"/>
    <x v="7"/>
  </r>
  <r>
    <n v="877"/>
    <n v="1"/>
    <n v="73"/>
    <n v="1"/>
    <n v="749.99"/>
    <n v="7.0000000000000007E-2"/>
    <n v="749.92"/>
    <s v="Sun Bicycles Brickell Tandem 7 - 2017"/>
    <x v="7"/>
  </r>
  <r>
    <n v="878"/>
    <n v="1"/>
    <n v="103"/>
    <n v="1"/>
    <n v="551.99"/>
    <n v="0.2"/>
    <n v="551.79"/>
    <s v="Sun Bicycles Streamway 3 - 2017"/>
    <x v="7"/>
  </r>
  <r>
    <n v="879"/>
    <n v="1"/>
    <n v="100"/>
    <n v="2"/>
    <n v="489.99"/>
    <n v="0.2"/>
    <n v="979.78"/>
    <s v="Electra Townie 3i EQ (20-inch) - Boys' - 2017"/>
    <x v="7"/>
  </r>
  <r>
    <n v="880"/>
    <n v="1"/>
    <n v="28"/>
    <n v="2"/>
    <n v="2499.9899999999998"/>
    <n v="0.2"/>
    <n v="4999.78"/>
    <s v="Surly Karate Monkey 27.5+ Frameset - 2017"/>
    <x v="7"/>
  </r>
  <r>
    <n v="881"/>
    <n v="1"/>
    <n v="98"/>
    <n v="1"/>
    <n v="489.99"/>
    <n v="7.0000000000000007E-2"/>
    <n v="489.92"/>
    <s v="Electra Straight 8 3i (20-inch) - Boy's - 2017"/>
    <x v="7"/>
  </r>
  <r>
    <n v="882"/>
    <n v="1"/>
    <n v="63"/>
    <n v="2"/>
    <n v="3499.99"/>
    <n v="7.0000000000000007E-2"/>
    <n v="6999.91"/>
    <s v="Trek Boone Race Shop Limited - 2017"/>
    <x v="7"/>
  </r>
  <r>
    <n v="883"/>
    <n v="1"/>
    <n v="44"/>
    <n v="1"/>
    <n v="539.99"/>
    <n v="0.05"/>
    <n v="539.94000000000005"/>
    <s v="Haro SR 1.1 - 2017"/>
    <x v="7"/>
  </r>
  <r>
    <n v="884"/>
    <n v="1"/>
    <n v="49"/>
    <n v="2"/>
    <n v="3499.99"/>
    <n v="0.05"/>
    <n v="6999.9299999999994"/>
    <s v="Trek Domane SL 6 - 2017"/>
    <x v="7"/>
  </r>
  <r>
    <n v="885"/>
    <n v="1"/>
    <n v="106"/>
    <n v="1"/>
    <n v="449.99"/>
    <n v="7.0000000000000007E-2"/>
    <n v="449.92"/>
    <s v="Sun Bicycles Cruz 3 - 2017"/>
    <x v="7"/>
  </r>
  <r>
    <n v="886"/>
    <n v="1"/>
    <n v="47"/>
    <n v="1"/>
    <n v="5299.99"/>
    <n v="0.05"/>
    <n v="5299.94"/>
    <s v="Trek Remedy 9.8 - 2017"/>
    <x v="7"/>
  </r>
  <r>
    <n v="887"/>
    <n v="1"/>
    <n v="50"/>
    <n v="2"/>
    <n v="5999.99"/>
    <n v="0.05"/>
    <n v="11999.93"/>
    <s v="Trek Silque SLR 7 Women's - 2017"/>
    <x v="7"/>
  </r>
  <r>
    <n v="888"/>
    <n v="1"/>
    <n v="33"/>
    <n v="2"/>
    <n v="469.99"/>
    <n v="0.1"/>
    <n v="939.88"/>
    <s v="Surly Wednesday Frameset - 2017"/>
    <x v="7"/>
  </r>
  <r>
    <n v="889"/>
    <n v="1"/>
    <n v="12"/>
    <n v="2"/>
    <n v="549.99"/>
    <n v="0.1"/>
    <n v="1099.8800000000001"/>
    <s v="Electra Townie Original 21D - 2016"/>
    <x v="7"/>
  </r>
  <r>
    <n v="890"/>
    <n v="1"/>
    <n v="16"/>
    <n v="2"/>
    <n v="599.99"/>
    <n v="0.1"/>
    <n v="1199.8800000000001"/>
    <s v="Electra Townie Original 7D EQ - 2016"/>
    <x v="7"/>
  </r>
  <r>
    <n v="891"/>
    <n v="1"/>
    <n v="107"/>
    <n v="2"/>
    <n v="416.99"/>
    <n v="0.1"/>
    <n v="833.88"/>
    <s v="Sun Bicycles Cruz 7 - 2017"/>
    <x v="7"/>
  </r>
  <r>
    <n v="892"/>
    <n v="1"/>
    <n v="36"/>
    <n v="1"/>
    <n v="832.99"/>
    <n v="0.1"/>
    <n v="832.89"/>
    <s v="Surly Troll Frameset - 2017"/>
    <x v="7"/>
  </r>
  <r>
    <n v="893"/>
    <n v="1"/>
    <n v="67"/>
    <n v="2"/>
    <n v="250.99"/>
    <n v="0.05"/>
    <n v="501.93"/>
    <s v="Sun Bicycles Revolutions 24 - Girl's - 2017"/>
    <x v="7"/>
  </r>
  <r>
    <n v="894"/>
    <n v="1"/>
    <n v="101"/>
    <n v="2"/>
    <n v="339.99"/>
    <n v="0.2"/>
    <n v="679.78"/>
    <s v="Electra Townie 7D (20-inch) - Boys' - 2017"/>
    <x v="7"/>
  </r>
  <r>
    <n v="895"/>
    <n v="1"/>
    <n v="106"/>
    <n v="1"/>
    <n v="449.99"/>
    <n v="7.0000000000000007E-2"/>
    <n v="449.92"/>
    <s v="Sun Bicycles Cruz 3 - 2017"/>
    <x v="7"/>
  </r>
  <r>
    <n v="896"/>
    <n v="1"/>
    <n v="91"/>
    <n v="2"/>
    <n v="349.99"/>
    <n v="0.05"/>
    <n v="699.93000000000006"/>
    <s v="Trek Precaliber 24 (21-Speed) - Girls - 2017"/>
    <x v="7"/>
  </r>
  <r>
    <n v="897"/>
    <n v="1"/>
    <n v="105"/>
    <n v="1"/>
    <n v="533.99"/>
    <n v="0.05"/>
    <n v="533.94000000000005"/>
    <s v="Sun Bicycles Streamway 7 - 2017"/>
    <x v="7"/>
  </r>
  <r>
    <n v="898"/>
    <n v="1"/>
    <n v="45"/>
    <n v="2"/>
    <n v="869.99"/>
    <n v="0.2"/>
    <n v="1739.78"/>
    <s v="Haro SR 1.2 - 2017"/>
    <x v="7"/>
  </r>
  <r>
    <n v="899"/>
    <n v="1"/>
    <n v="59"/>
    <n v="2"/>
    <n v="2599.9899999999998"/>
    <n v="0.1"/>
    <n v="5199.8799999999992"/>
    <s v="Trek Domane S 5 Disc - 2017"/>
    <x v="7"/>
  </r>
  <r>
    <n v="900"/>
    <n v="1"/>
    <n v="26"/>
    <n v="2"/>
    <n v="599.99"/>
    <n v="0.05"/>
    <n v="1199.93"/>
    <s v="Electra Townie Original 7D EQ - 2016"/>
    <x v="7"/>
  </r>
  <r>
    <n v="901"/>
    <n v="1"/>
    <n v="50"/>
    <n v="1"/>
    <n v="5999.99"/>
    <n v="0.2"/>
    <n v="5999.79"/>
    <s v="Trek Silque SLR 7 Women's - 2017"/>
    <x v="7"/>
  </r>
  <r>
    <n v="902"/>
    <n v="1"/>
    <n v="38"/>
    <n v="2"/>
    <n v="549.99"/>
    <n v="7.0000000000000007E-2"/>
    <n v="1099.9100000000001"/>
    <s v="Haro Flightline Two 26 Plus - 2017"/>
    <x v="7"/>
  </r>
  <r>
    <n v="903"/>
    <n v="1"/>
    <n v="31"/>
    <n v="2"/>
    <n v="1632.99"/>
    <n v="7.0000000000000007E-2"/>
    <n v="3265.91"/>
    <s v="Surly Wednesday - 2017"/>
    <x v="7"/>
  </r>
  <r>
    <n v="904"/>
    <n v="1"/>
    <n v="36"/>
    <n v="2"/>
    <n v="832.99"/>
    <n v="0.1"/>
    <n v="1665.88"/>
    <s v="Surly Troll Frameset - 2017"/>
    <x v="7"/>
  </r>
  <r>
    <n v="905"/>
    <n v="1"/>
    <n v="67"/>
    <n v="1"/>
    <n v="250.99"/>
    <n v="0.1"/>
    <n v="250.89000000000001"/>
    <s v="Sun Bicycles Revolutions 24 - Girl's - 2017"/>
    <x v="7"/>
  </r>
  <r>
    <n v="906"/>
    <n v="1"/>
    <n v="23"/>
    <n v="2"/>
    <n v="299.99"/>
    <n v="0.2"/>
    <n v="599.78"/>
    <s v="Electra Girl's Hawaii 1 (20-inch) - 2015/2016"/>
    <x v="7"/>
  </r>
  <r>
    <n v="907"/>
    <n v="1"/>
    <n v="84"/>
    <n v="2"/>
    <n v="109.99"/>
    <n v="7.0000000000000007E-2"/>
    <n v="219.91"/>
    <s v="Sun Bicycles Lil Kitt'n - 2017"/>
    <x v="7"/>
  </r>
  <r>
    <n v="908"/>
    <n v="1"/>
    <n v="41"/>
    <n v="1"/>
    <n v="1469.99"/>
    <n v="0.2"/>
    <n v="1469.79"/>
    <s v="Haro Shift R3 - 2017"/>
    <x v="7"/>
  </r>
  <r>
    <n v="909"/>
    <n v="1"/>
    <n v="5"/>
    <n v="1"/>
    <n v="1320.99"/>
    <n v="0.2"/>
    <n v="1320.79"/>
    <s v="Heller Shagamaw Frame - 2016"/>
    <x v="7"/>
  </r>
  <r>
    <n v="910"/>
    <n v="1"/>
    <n v="23"/>
    <n v="1"/>
    <n v="299.99"/>
    <n v="0.1"/>
    <n v="299.89"/>
    <s v="Electra Girl's Hawaii 1 (20-inch) - 2015/2016"/>
    <x v="7"/>
  </r>
  <r>
    <n v="911"/>
    <n v="1"/>
    <n v="66"/>
    <n v="2"/>
    <n v="250.99"/>
    <n v="0.05"/>
    <n v="501.93"/>
    <s v="Sun Bicycles Revolutions 24 - 2017"/>
    <x v="7"/>
  </r>
  <r>
    <n v="912"/>
    <n v="1"/>
    <n v="22"/>
    <n v="2"/>
    <n v="269.99"/>
    <n v="0.2"/>
    <n v="539.78"/>
    <s v="Electra Girl's Hawaii 1 (16-inch) - 2015/2016"/>
    <x v="7"/>
  </r>
  <r>
    <n v="913"/>
    <n v="1"/>
    <n v="90"/>
    <n v="2"/>
    <n v="209.99"/>
    <n v="0.1"/>
    <n v="419.88"/>
    <s v="Trek Precaliber 16 Girls - 2017"/>
    <x v="7"/>
  </r>
  <r>
    <n v="914"/>
    <n v="1"/>
    <n v="38"/>
    <n v="1"/>
    <n v="549.99"/>
    <n v="7.0000000000000007E-2"/>
    <n v="549.91999999999996"/>
    <s v="Haro Flightline Two 26 Plus - 2017"/>
    <x v="7"/>
  </r>
  <r>
    <n v="915"/>
    <n v="1"/>
    <n v="64"/>
    <n v="1"/>
    <n v="489.99"/>
    <n v="0.05"/>
    <n v="489.94"/>
    <s v="Electra Townie Original 7D - 2017"/>
    <x v="7"/>
  </r>
  <r>
    <n v="916"/>
    <n v="1"/>
    <n v="92"/>
    <n v="1"/>
    <n v="209.99"/>
    <n v="0.2"/>
    <n v="209.79000000000002"/>
    <s v="Haro Shredder 20 - 2017"/>
    <x v="7"/>
  </r>
  <r>
    <n v="917"/>
    <n v="1"/>
    <n v="41"/>
    <n v="1"/>
    <n v="1469.99"/>
    <n v="7.0000000000000007E-2"/>
    <n v="1469.92"/>
    <s v="Haro Shift R3 - 2017"/>
    <x v="7"/>
  </r>
  <r>
    <n v="918"/>
    <n v="1"/>
    <n v="91"/>
    <n v="1"/>
    <n v="349.99"/>
    <n v="0.2"/>
    <n v="349.79"/>
    <s v="Trek Precaliber 24 (21-Speed) - Girls - 2017"/>
    <x v="7"/>
  </r>
  <r>
    <n v="919"/>
    <n v="1"/>
    <n v="7"/>
    <n v="1"/>
    <n v="3999.99"/>
    <n v="7.0000000000000007E-2"/>
    <n v="3999.9199999999996"/>
    <s v="Trek Slash 8 27.5 - 2016"/>
    <x v="7"/>
  </r>
  <r>
    <n v="920"/>
    <n v="1"/>
    <n v="76"/>
    <n v="1"/>
    <n v="299.99"/>
    <n v="0.05"/>
    <n v="299.94"/>
    <s v="Electra Girl's Hawaii 1 16&quot; - 2017"/>
    <x v="7"/>
  </r>
  <r>
    <n v="921"/>
    <n v="1"/>
    <n v="77"/>
    <n v="1"/>
    <n v="799.99"/>
    <n v="0.2"/>
    <n v="799.79"/>
    <s v="Electra Glam Punk 3i Ladies' - 2017"/>
    <x v="7"/>
  </r>
  <r>
    <n v="922"/>
    <n v="1"/>
    <n v="68"/>
    <n v="1"/>
    <n v="449.99"/>
    <n v="0.2"/>
    <n v="449.79"/>
    <s v="Sun Bicycles Cruz 3 - 2017"/>
    <x v="7"/>
  </r>
  <r>
    <n v="923"/>
    <n v="1"/>
    <n v="74"/>
    <n v="2"/>
    <n v="439.99"/>
    <n v="0.05"/>
    <n v="879.93000000000006"/>
    <s v="Electra Cruiser Lux 1 - 2017"/>
    <x v="7"/>
  </r>
  <r>
    <n v="924"/>
    <n v="1"/>
    <n v="97"/>
    <n v="2"/>
    <n v="349.99"/>
    <n v="0.2"/>
    <n v="699.78"/>
    <s v="Electra Savannah 3i (20-inch) - Girl's - 2017"/>
    <x v="7"/>
  </r>
  <r>
    <n v="925"/>
    <n v="1"/>
    <n v="97"/>
    <n v="1"/>
    <n v="349.99"/>
    <n v="7.0000000000000007E-2"/>
    <n v="349.92"/>
    <s v="Electra Savannah 3i (20-inch) - Girl's - 2017"/>
    <x v="7"/>
  </r>
  <r>
    <n v="926"/>
    <n v="1"/>
    <n v="37"/>
    <n v="2"/>
    <n v="379.99"/>
    <n v="0.2"/>
    <n v="759.78"/>
    <s v="Haro Flightline One ST - 2017"/>
    <x v="7"/>
  </r>
  <r>
    <n v="927"/>
    <n v="1"/>
    <n v="74"/>
    <n v="2"/>
    <n v="439.99"/>
    <n v="0.1"/>
    <n v="879.88"/>
    <s v="Electra Cruiser Lux 1 - 2017"/>
    <x v="7"/>
  </r>
  <r>
    <n v="928"/>
    <n v="1"/>
    <n v="71"/>
    <n v="2"/>
    <n v="416.99"/>
    <n v="0.05"/>
    <n v="833.93000000000006"/>
    <s v="Sun Bicycles Atlas X-Type - 2017"/>
    <x v="7"/>
  </r>
  <r>
    <n v="929"/>
    <n v="1"/>
    <n v="82"/>
    <n v="1"/>
    <n v="659.99"/>
    <n v="0.2"/>
    <n v="659.79"/>
    <s v="Electra Amsterdam Original 3i Ladies' - 2017"/>
    <x v="7"/>
  </r>
  <r>
    <n v="930"/>
    <n v="1"/>
    <n v="56"/>
    <n v="2"/>
    <n v="5499.99"/>
    <n v="7.0000000000000007E-2"/>
    <n v="10999.91"/>
    <s v="Trek Domane SLR 6 Disc - 2017"/>
    <x v="7"/>
  </r>
  <r>
    <n v="931"/>
    <n v="1"/>
    <n v="49"/>
    <n v="2"/>
    <n v="3499.99"/>
    <n v="7.0000000000000007E-2"/>
    <n v="6999.91"/>
    <s v="Trek Domane SL 6 - 2017"/>
    <x v="7"/>
  </r>
  <r>
    <n v="932"/>
    <n v="1"/>
    <n v="74"/>
    <n v="1"/>
    <n v="439.99"/>
    <n v="0.05"/>
    <n v="439.94"/>
    <s v="Electra Cruiser Lux 1 - 2017"/>
    <x v="7"/>
  </r>
  <r>
    <n v="933"/>
    <n v="1"/>
    <n v="77"/>
    <n v="1"/>
    <n v="799.99"/>
    <n v="7.0000000000000007E-2"/>
    <n v="799.92"/>
    <s v="Electra Glam Punk 3i Ladies' - 2017"/>
    <x v="7"/>
  </r>
  <r>
    <n v="934"/>
    <n v="1"/>
    <n v="35"/>
    <n v="2"/>
    <n v="832.99"/>
    <n v="0.05"/>
    <n v="1665.93"/>
    <s v="Sun Bicycles Spider 3i - 2017"/>
    <x v="7"/>
  </r>
  <r>
    <n v="935"/>
    <n v="1"/>
    <n v="65"/>
    <n v="2"/>
    <n v="346.99"/>
    <n v="0.2"/>
    <n v="693.78"/>
    <s v="Sun Bicycles Lil Bolt Type-R - 2017"/>
    <x v="7"/>
  </r>
  <r>
    <n v="936"/>
    <n v="1"/>
    <n v="70"/>
    <n v="1"/>
    <n v="659.99"/>
    <n v="0.1"/>
    <n v="659.89"/>
    <s v="Electra Amsterdam Original 3i - 2015/2017"/>
    <x v="7"/>
  </r>
  <r>
    <n v="937"/>
    <n v="1"/>
    <n v="108"/>
    <n v="2"/>
    <n v="449.99"/>
    <n v="0.1"/>
    <n v="899.88"/>
    <s v="Sun Bicycles Cruz 3 - Women's - 2017"/>
    <x v="7"/>
  </r>
  <r>
    <n v="938"/>
    <n v="1"/>
    <n v="4"/>
    <n v="1"/>
    <n v="2899.99"/>
    <n v="0.05"/>
    <n v="2899.9399999999996"/>
    <s v="Trek Fuel EX 8 29 - 2016"/>
    <x v="7"/>
  </r>
  <r>
    <n v="939"/>
    <n v="1"/>
    <n v="5"/>
    <n v="1"/>
    <n v="1320.99"/>
    <n v="0.1"/>
    <n v="1320.89"/>
    <s v="Heller Shagamaw Frame - 2016"/>
    <x v="7"/>
  </r>
  <r>
    <n v="940"/>
    <n v="1"/>
    <n v="75"/>
    <n v="2"/>
    <n v="599.99"/>
    <n v="0.2"/>
    <n v="1199.78"/>
    <s v="Electra Cruiser Lux Fat Tire 1 Ladies - 2017"/>
    <x v="7"/>
  </r>
  <r>
    <n v="941"/>
    <n v="1"/>
    <n v="25"/>
    <n v="1"/>
    <n v="499.99"/>
    <n v="0.1"/>
    <n v="499.89"/>
    <s v="Electra Townie Original 7D - 2015/2016"/>
    <x v="7"/>
  </r>
  <r>
    <n v="942"/>
    <n v="1"/>
    <n v="98"/>
    <n v="2"/>
    <n v="489.99"/>
    <n v="0.05"/>
    <n v="979.93000000000006"/>
    <s v="Electra Straight 8 3i (20-inch) - Boy's - 2017"/>
    <x v="7"/>
  </r>
  <r>
    <n v="943"/>
    <n v="1"/>
    <n v="25"/>
    <n v="1"/>
    <n v="499.99"/>
    <n v="0.2"/>
    <n v="499.79"/>
    <s v="Electra Townie Original 7D - 2015/2016"/>
    <x v="7"/>
  </r>
  <r>
    <n v="944"/>
    <n v="1"/>
    <n v="29"/>
    <n v="2"/>
    <n v="999.99"/>
    <n v="7.0000000000000007E-2"/>
    <n v="1999.91"/>
    <s v="Trek X-Caliber 8 - 2017"/>
    <x v="7"/>
  </r>
  <r>
    <n v="945"/>
    <n v="1"/>
    <n v="105"/>
    <n v="1"/>
    <n v="533.99"/>
    <n v="0.05"/>
    <n v="533.94000000000005"/>
    <s v="Sun Bicycles Streamway 7 - 2017"/>
    <x v="7"/>
  </r>
  <r>
    <n v="946"/>
    <n v="1"/>
    <n v="7"/>
    <n v="1"/>
    <n v="3999.99"/>
    <n v="0.1"/>
    <n v="3999.89"/>
    <s v="Trek Slash 8 27.5 - 2016"/>
    <x v="7"/>
  </r>
  <r>
    <n v="947"/>
    <n v="1"/>
    <n v="32"/>
    <n v="1"/>
    <n v="469.99"/>
    <n v="0.05"/>
    <n v="469.94"/>
    <s v="Trek Farley Alloy Frameset - 2017"/>
    <x v="7"/>
  </r>
  <r>
    <n v="948"/>
    <n v="1"/>
    <n v="23"/>
    <n v="2"/>
    <n v="299.99"/>
    <n v="0.2"/>
    <n v="599.78"/>
    <s v="Electra Girl's Hawaii 1 (20-inch) - 2015/2016"/>
    <x v="7"/>
  </r>
  <r>
    <n v="949"/>
    <n v="1"/>
    <n v="9"/>
    <n v="2"/>
    <n v="2999.99"/>
    <n v="0.1"/>
    <n v="5999.8799999999992"/>
    <s v="Trek Conduit+ - 2016"/>
    <x v="7"/>
  </r>
  <r>
    <n v="950"/>
    <n v="1"/>
    <n v="56"/>
    <n v="1"/>
    <n v="5499.99"/>
    <n v="0.05"/>
    <n v="5499.94"/>
    <s v="Trek Domane SLR 6 Disc - 2017"/>
    <x v="7"/>
  </r>
  <r>
    <n v="951"/>
    <n v="1"/>
    <n v="59"/>
    <n v="1"/>
    <n v="2599.9899999999998"/>
    <n v="0.1"/>
    <n v="2599.89"/>
    <s v="Trek Domane S 5 Disc - 2017"/>
    <x v="7"/>
  </r>
  <r>
    <n v="952"/>
    <n v="1"/>
    <n v="20"/>
    <n v="2"/>
    <n v="599.99"/>
    <n v="7.0000000000000007E-2"/>
    <n v="1199.9100000000001"/>
    <s v="Electra Townie Original 7D EQ - Women's - 2016"/>
    <x v="7"/>
  </r>
  <r>
    <n v="953"/>
    <n v="1"/>
    <n v="23"/>
    <n v="2"/>
    <n v="299.99"/>
    <n v="7.0000000000000007E-2"/>
    <n v="599.91"/>
    <s v="Electra Girl's Hawaii 1 (20-inch) - 2015/2016"/>
    <x v="7"/>
  </r>
  <r>
    <n v="954"/>
    <n v="1"/>
    <n v="4"/>
    <n v="2"/>
    <n v="2899.99"/>
    <n v="0.1"/>
    <n v="5799.8799999999992"/>
    <s v="Trek Fuel EX 8 29 - 2016"/>
    <x v="7"/>
  </r>
  <r>
    <n v="955"/>
    <n v="1"/>
    <n v="43"/>
    <n v="1"/>
    <n v="5299.99"/>
    <n v="0.1"/>
    <n v="5299.8899999999994"/>
    <s v="Trek Fuel EX 9.8 27.5 Plus - 2017"/>
    <x v="7"/>
  </r>
  <r>
    <n v="956"/>
    <n v="1"/>
    <n v="76"/>
    <n v="2"/>
    <n v="299.99"/>
    <n v="0.1"/>
    <n v="599.88"/>
    <s v="Electra Girl's Hawaii 1 16&quot; - 2017"/>
    <x v="7"/>
  </r>
  <r>
    <n v="957"/>
    <n v="1"/>
    <n v="108"/>
    <n v="2"/>
    <n v="449.99"/>
    <n v="0.05"/>
    <n v="899.93000000000006"/>
    <s v="Sun Bicycles Cruz 3 - Women's - 2017"/>
    <x v="7"/>
  </r>
  <r>
    <n v="958"/>
    <n v="1"/>
    <n v="51"/>
    <n v="1"/>
    <n v="6499.99"/>
    <n v="0.1"/>
    <n v="6499.8899999999994"/>
    <s v="Trek Silque SLR 8 Women's - 2017"/>
    <x v="7"/>
  </r>
  <r>
    <n v="959"/>
    <n v="1"/>
    <n v="15"/>
    <n v="1"/>
    <n v="529.99"/>
    <n v="0.2"/>
    <n v="529.79"/>
    <s v="Electra Moto 1 - 2016"/>
    <x v="7"/>
  </r>
  <r>
    <n v="960"/>
    <n v="1"/>
    <n v="73"/>
    <n v="2"/>
    <n v="749.99"/>
    <n v="0.05"/>
    <n v="1499.93"/>
    <s v="Sun Bicycles Brickell Tandem 7 - 2017"/>
    <x v="7"/>
  </r>
  <r>
    <n v="961"/>
    <n v="1"/>
    <n v="105"/>
    <n v="1"/>
    <n v="533.99"/>
    <n v="0.1"/>
    <n v="533.89"/>
    <s v="Sun Bicycles Streamway 7 - 2017"/>
    <x v="7"/>
  </r>
  <r>
    <n v="962"/>
    <n v="1"/>
    <n v="65"/>
    <n v="2"/>
    <n v="346.99"/>
    <n v="7.0000000000000007E-2"/>
    <n v="693.91"/>
    <s v="Sun Bicycles Lil Bolt Type-R - 2017"/>
    <x v="7"/>
  </r>
  <r>
    <n v="963"/>
    <n v="1"/>
    <n v="4"/>
    <n v="1"/>
    <n v="2899.99"/>
    <n v="7.0000000000000007E-2"/>
    <n v="2899.9199999999996"/>
    <s v="Trek Fuel EX 8 29 - 2016"/>
    <x v="7"/>
  </r>
  <r>
    <n v="964"/>
    <n v="1"/>
    <n v="90"/>
    <n v="1"/>
    <n v="209.99"/>
    <n v="0.2"/>
    <n v="209.79000000000002"/>
    <s v="Trek Precaliber 16 Girls - 2017"/>
    <x v="7"/>
  </r>
  <r>
    <n v="965"/>
    <n v="1"/>
    <n v="90"/>
    <n v="2"/>
    <n v="209.99"/>
    <n v="0.1"/>
    <n v="419.88"/>
    <s v="Trek Precaliber 16 Girls - 2017"/>
    <x v="7"/>
  </r>
  <r>
    <n v="966"/>
    <n v="1"/>
    <n v="88"/>
    <n v="1"/>
    <n v="189.99"/>
    <n v="0.05"/>
    <n v="189.94"/>
    <s v="Trek Precaliber 12 Girls - 2017"/>
    <x v="7"/>
  </r>
  <r>
    <n v="967"/>
    <n v="1"/>
    <n v="66"/>
    <n v="1"/>
    <n v="250.99"/>
    <n v="0.2"/>
    <n v="250.79000000000002"/>
    <s v="Sun Bicycles Revolutions 24 - 2017"/>
    <x v="7"/>
  </r>
  <r>
    <n v="968"/>
    <n v="1"/>
    <n v="87"/>
    <n v="1"/>
    <n v="189.99"/>
    <n v="0.2"/>
    <n v="189.79000000000002"/>
    <s v="Trek Precaliber 12 Boys - 2017"/>
    <x v="7"/>
  </r>
  <r>
    <n v="969"/>
    <n v="1"/>
    <n v="74"/>
    <n v="1"/>
    <n v="439.99"/>
    <n v="0.2"/>
    <n v="439.79"/>
    <s v="Electra Cruiser Lux 1 - 2017"/>
    <x v="7"/>
  </r>
  <r>
    <n v="970"/>
    <n v="1"/>
    <n v="85"/>
    <n v="1"/>
    <n v="329.99"/>
    <n v="0.1"/>
    <n v="329.89"/>
    <s v="Haro Downtown 16 - 2017"/>
    <x v="7"/>
  </r>
  <r>
    <n v="971"/>
    <n v="1"/>
    <n v="70"/>
    <n v="2"/>
    <n v="659.99"/>
    <n v="0.05"/>
    <n v="1319.93"/>
    <s v="Electra Amsterdam Original 3i - 2015/2017"/>
    <x v="7"/>
  </r>
  <r>
    <n v="972"/>
    <n v="1"/>
    <n v="100"/>
    <n v="1"/>
    <n v="489.99"/>
    <n v="0.2"/>
    <n v="489.79"/>
    <s v="Electra Townie 3i EQ (20-inch) - Boys' - 2017"/>
    <x v="7"/>
  </r>
  <r>
    <n v="973"/>
    <n v="1"/>
    <n v="4"/>
    <n v="2"/>
    <n v="2899.99"/>
    <n v="0.1"/>
    <n v="5799.8799999999992"/>
    <s v="Trek Fuel EX 8 29 - 2016"/>
    <x v="7"/>
  </r>
  <r>
    <n v="974"/>
    <n v="1"/>
    <n v="33"/>
    <n v="2"/>
    <n v="469.99"/>
    <n v="0.1"/>
    <n v="939.88"/>
    <s v="Surly Wednesday Frameset - 2017"/>
    <x v="7"/>
  </r>
  <r>
    <n v="975"/>
    <n v="1"/>
    <n v="110"/>
    <n v="2"/>
    <n v="470.99"/>
    <n v="0.2"/>
    <n v="941.78"/>
    <s v="Sun Bicycles Drifter 7 - 2017"/>
    <x v="7"/>
  </r>
  <r>
    <n v="976"/>
    <n v="1"/>
    <n v="26"/>
    <n v="2"/>
    <n v="599.99"/>
    <n v="0.1"/>
    <n v="1199.8800000000001"/>
    <s v="Electra Townie Original 7D EQ - 2016"/>
    <x v="7"/>
  </r>
  <r>
    <n v="977"/>
    <n v="1"/>
    <n v="52"/>
    <n v="2"/>
    <n v="875.99"/>
    <n v="0.1"/>
    <n v="1751.88"/>
    <s v="Surly Steamroller - 2017"/>
    <x v="7"/>
  </r>
  <r>
    <n v="978"/>
    <n v="1"/>
    <n v="106"/>
    <n v="2"/>
    <n v="449.99"/>
    <n v="0.05"/>
    <n v="899.93000000000006"/>
    <s v="Sun Bicycles Cruz 3 - 2017"/>
    <x v="7"/>
  </r>
  <r>
    <n v="979"/>
    <n v="1"/>
    <n v="55"/>
    <n v="1"/>
    <n v="2699.99"/>
    <n v="0.05"/>
    <n v="2699.9399999999996"/>
    <s v="Trek Domane S 6 - 2017"/>
    <x v="7"/>
  </r>
  <r>
    <n v="980"/>
    <n v="1"/>
    <n v="49"/>
    <n v="2"/>
    <n v="3499.99"/>
    <n v="0.2"/>
    <n v="6999.78"/>
    <s v="Trek Domane SL 6 - 2017"/>
    <x v="7"/>
  </r>
  <r>
    <n v="981"/>
    <n v="1"/>
    <n v="35"/>
    <n v="1"/>
    <n v="832.99"/>
    <n v="0.1"/>
    <n v="832.89"/>
    <s v="Sun Bicycles Spider 3i - 2017"/>
    <x v="7"/>
  </r>
  <r>
    <n v="982"/>
    <n v="1"/>
    <n v="22"/>
    <n v="2"/>
    <n v="269.99"/>
    <n v="0.1"/>
    <n v="539.88"/>
    <s v="Electra Girl's Hawaii 1 (16-inch) - 2015/2016"/>
    <x v="7"/>
  </r>
  <r>
    <n v="983"/>
    <n v="1"/>
    <n v="63"/>
    <n v="1"/>
    <n v="3499.99"/>
    <n v="0.1"/>
    <n v="3499.89"/>
    <s v="Trek Boone Race Shop Limited - 2017"/>
    <x v="7"/>
  </r>
  <r>
    <n v="984"/>
    <n v="1"/>
    <n v="68"/>
    <n v="1"/>
    <n v="449.99"/>
    <n v="0.2"/>
    <n v="449.79"/>
    <s v="Sun Bicycles Cruz 3 - 2017"/>
    <x v="7"/>
  </r>
  <r>
    <n v="985"/>
    <n v="1"/>
    <n v="5"/>
    <n v="2"/>
    <n v="1320.99"/>
    <n v="7.0000000000000007E-2"/>
    <n v="2641.91"/>
    <s v="Heller Shagamaw Frame - 2016"/>
    <x v="7"/>
  </r>
  <r>
    <n v="986"/>
    <n v="1"/>
    <n v="87"/>
    <n v="1"/>
    <n v="189.99"/>
    <n v="0.1"/>
    <n v="189.89000000000001"/>
    <s v="Trek Precaliber 12 Boys - 2017"/>
    <x v="7"/>
  </r>
  <r>
    <n v="987"/>
    <n v="1"/>
    <n v="51"/>
    <n v="2"/>
    <n v="6499.99"/>
    <n v="0.1"/>
    <n v="12999.88"/>
    <s v="Trek Silque SLR 8 Women's - 2017"/>
    <x v="7"/>
  </r>
  <r>
    <n v="988"/>
    <n v="1"/>
    <n v="35"/>
    <n v="1"/>
    <n v="832.99"/>
    <n v="0.2"/>
    <n v="832.79"/>
    <s v="Sun Bicycles Spider 3i - 2017"/>
    <x v="7"/>
  </r>
  <r>
    <n v="989"/>
    <n v="1"/>
    <n v="99"/>
    <n v="1"/>
    <n v="299.99"/>
    <n v="0.05"/>
    <n v="299.94"/>
    <s v="Electra Sugar Skulls 1 (20-inch) - Girl's - 2017"/>
    <x v="7"/>
  </r>
  <r>
    <n v="990"/>
    <n v="1"/>
    <n v="6"/>
    <n v="2"/>
    <n v="469.99"/>
    <n v="0.2"/>
    <n v="939.78"/>
    <s v="Surly Ice Cream Truck Frameset - 2016"/>
    <x v="7"/>
  </r>
  <r>
    <n v="991"/>
    <n v="1"/>
    <n v="9"/>
    <n v="2"/>
    <n v="2999.99"/>
    <n v="0.2"/>
    <n v="5999.78"/>
    <s v="Trek Conduit+ - 2016"/>
    <x v="7"/>
  </r>
  <r>
    <n v="992"/>
    <n v="1"/>
    <n v="45"/>
    <n v="1"/>
    <n v="869.99"/>
    <n v="7.0000000000000007E-2"/>
    <n v="869.92"/>
    <s v="Haro SR 1.2 - 2017"/>
    <x v="7"/>
  </r>
  <r>
    <n v="993"/>
    <n v="1"/>
    <n v="58"/>
    <n v="1"/>
    <n v="4999.99"/>
    <n v="0.2"/>
    <n v="4999.79"/>
    <s v="Trek Madone 9.2 - 2017"/>
    <x v="7"/>
  </r>
  <r>
    <n v="994"/>
    <n v="1"/>
    <n v="37"/>
    <n v="2"/>
    <n v="379.99"/>
    <n v="0.1"/>
    <n v="759.88"/>
    <s v="Haro Flightline One ST - 2017"/>
    <x v="7"/>
  </r>
  <r>
    <n v="995"/>
    <n v="1"/>
    <n v="16"/>
    <n v="2"/>
    <n v="599.99"/>
    <n v="0.1"/>
    <n v="1199.8800000000001"/>
    <s v="Electra Townie Original 7D EQ - 2016"/>
    <x v="7"/>
  </r>
  <r>
    <n v="996"/>
    <n v="1"/>
    <n v="68"/>
    <n v="2"/>
    <n v="449.99"/>
    <n v="0.05"/>
    <n v="899.93000000000006"/>
    <s v="Sun Bicycles Cruz 3 - 2017"/>
    <x v="7"/>
  </r>
  <r>
    <n v="997"/>
    <n v="1"/>
    <n v="86"/>
    <n v="2"/>
    <n v="149.99"/>
    <n v="7.0000000000000007E-2"/>
    <n v="299.91000000000003"/>
    <s v="Trek Girl's Kickster - 2017"/>
    <x v="7"/>
  </r>
  <r>
    <n v="998"/>
    <n v="1"/>
    <n v="26"/>
    <n v="2"/>
    <n v="599.99"/>
    <n v="0.05"/>
    <n v="1199.93"/>
    <s v="Electra Townie Original 7D EQ - 2016"/>
    <x v="7"/>
  </r>
  <r>
    <n v="999"/>
    <n v="1"/>
    <n v="70"/>
    <n v="2"/>
    <n v="659.99"/>
    <n v="7.0000000000000007E-2"/>
    <n v="1319.91"/>
    <s v="Electra Amsterdam Original 3i - 2015/2017"/>
    <x v="7"/>
  </r>
  <r>
    <n v="1000"/>
    <n v="1"/>
    <n v="65"/>
    <n v="2"/>
    <n v="346.99"/>
    <n v="0.05"/>
    <n v="693.93000000000006"/>
    <s v="Sun Bicycles Lil Bolt Type-R - 2017"/>
    <x v="7"/>
  </r>
  <r>
    <n v="1001"/>
    <n v="1"/>
    <n v="72"/>
    <n v="1"/>
    <n v="619.99"/>
    <n v="0.05"/>
    <n v="619.94000000000005"/>
    <s v="Sun Bicycles Biscayne Tandem 7 - 2017"/>
    <x v="7"/>
  </r>
  <r>
    <n v="1002"/>
    <n v="1"/>
    <n v="100"/>
    <n v="1"/>
    <n v="489.99"/>
    <n v="0.05"/>
    <n v="489.94"/>
    <s v="Electra Townie 3i EQ (20-inch) - Boys' - 2017"/>
    <x v="7"/>
  </r>
  <r>
    <n v="1003"/>
    <n v="1"/>
    <n v="34"/>
    <n v="2"/>
    <n v="469.99"/>
    <n v="0.05"/>
    <n v="939.93000000000006"/>
    <s v="Trek Session DH 27.5 Carbon Frameset - 2017"/>
    <x v="7"/>
  </r>
  <r>
    <n v="1004"/>
    <n v="1"/>
    <n v="36"/>
    <n v="2"/>
    <n v="832.99"/>
    <n v="0.1"/>
    <n v="1665.88"/>
    <s v="Surly Troll Frameset - 2017"/>
    <x v="7"/>
  </r>
  <r>
    <n v="1005"/>
    <n v="1"/>
    <n v="14"/>
    <n v="2"/>
    <n v="269.99"/>
    <n v="0.2"/>
    <n v="539.78"/>
    <s v="Electra Girl's Hawaii 1 (16-inch) - 2015/2016"/>
    <x v="7"/>
  </r>
  <r>
    <n v="1006"/>
    <n v="1"/>
    <n v="20"/>
    <n v="1"/>
    <n v="599.99"/>
    <n v="7.0000000000000007E-2"/>
    <n v="599.91999999999996"/>
    <s v="Electra Townie Original 7D EQ - Women's - 2016"/>
    <x v="7"/>
  </r>
  <r>
    <n v="1007"/>
    <n v="1"/>
    <n v="26"/>
    <n v="1"/>
    <n v="599.99"/>
    <n v="0.2"/>
    <n v="599.79"/>
    <s v="Electra Townie Original 7D EQ - 2016"/>
    <x v="7"/>
  </r>
  <r>
    <n v="1008"/>
    <n v="1"/>
    <n v="71"/>
    <n v="1"/>
    <n v="416.99"/>
    <n v="0.2"/>
    <n v="416.79"/>
    <s v="Sun Bicycles Atlas X-Type - 2017"/>
    <x v="7"/>
  </r>
  <r>
    <n v="1009"/>
    <n v="1"/>
    <n v="95"/>
    <n v="2"/>
    <n v="299.99"/>
    <n v="7.0000000000000007E-2"/>
    <n v="599.91"/>
    <s v="Electra Girl's Hawaii 1 16&quot; - 2017"/>
    <x v="7"/>
  </r>
  <r>
    <n v="1010"/>
    <n v="1"/>
    <n v="109"/>
    <n v="2"/>
    <n v="416.99"/>
    <n v="0.1"/>
    <n v="833.88"/>
    <s v="Sun Bicycles Cruz 7 - Women's - 2017"/>
    <x v="7"/>
  </r>
  <r>
    <n v="1011"/>
    <n v="1"/>
    <n v="88"/>
    <n v="1"/>
    <n v="189.99"/>
    <n v="0.2"/>
    <n v="189.79000000000002"/>
    <s v="Trek Precaliber 12 Girls - 2017"/>
    <x v="7"/>
  </r>
  <r>
    <n v="1012"/>
    <n v="1"/>
    <n v="8"/>
    <n v="1"/>
    <n v="1799.99"/>
    <n v="7.0000000000000007E-2"/>
    <n v="1799.92"/>
    <s v="Trek Remedy 29 Carbon Frameset - 2016"/>
    <x v="7"/>
  </r>
  <r>
    <n v="1013"/>
    <n v="1"/>
    <n v="60"/>
    <n v="2"/>
    <n v="1559.99"/>
    <n v="0.05"/>
    <n v="3119.93"/>
    <s v="Sun Bicycles ElectroLite - 2017"/>
    <x v="7"/>
  </r>
  <r>
    <n v="1014"/>
    <n v="1"/>
    <n v="97"/>
    <n v="1"/>
    <n v="349.99"/>
    <n v="0.2"/>
    <n v="349.79"/>
    <s v="Electra Savannah 3i (20-inch) - Girl's - 2017"/>
    <x v="7"/>
  </r>
  <r>
    <n v="1015"/>
    <n v="1"/>
    <n v="6"/>
    <n v="2"/>
    <n v="469.99"/>
    <n v="0.1"/>
    <n v="939.88"/>
    <s v="Surly Ice Cream Truck Frameset - 2016"/>
    <x v="7"/>
  </r>
  <r>
    <n v="1016"/>
    <n v="1"/>
    <n v="76"/>
    <n v="2"/>
    <n v="299.99"/>
    <n v="7.0000000000000007E-2"/>
    <n v="599.91"/>
    <s v="Electra Girl's Hawaii 1 16&quot; - 2017"/>
    <x v="7"/>
  </r>
  <r>
    <n v="1017"/>
    <n v="1"/>
    <n v="89"/>
    <n v="1"/>
    <n v="209.99"/>
    <n v="7.0000000000000007E-2"/>
    <n v="209.92000000000002"/>
    <s v="Trek Precaliber 16 Boys - 2017"/>
    <x v="7"/>
  </r>
  <r>
    <n v="1018"/>
    <n v="1"/>
    <n v="76"/>
    <n v="2"/>
    <n v="299.99"/>
    <n v="7.0000000000000007E-2"/>
    <n v="599.91"/>
    <s v="Electra Girl's Hawaii 1 16&quot; - 2017"/>
    <x v="7"/>
  </r>
  <r>
    <n v="1019"/>
    <n v="1"/>
    <n v="30"/>
    <n v="1"/>
    <n v="999.99"/>
    <n v="0.1"/>
    <n v="999.89"/>
    <s v="Surly Ice Cream Truck Frameset - 2017"/>
    <x v="7"/>
  </r>
  <r>
    <n v="1020"/>
    <n v="1"/>
    <n v="20"/>
    <n v="2"/>
    <n v="599.99"/>
    <n v="0.05"/>
    <n v="1199.93"/>
    <s v="Electra Townie Original 7D EQ - Women's - 2016"/>
    <x v="7"/>
  </r>
  <r>
    <n v="1021"/>
    <n v="1"/>
    <n v="49"/>
    <n v="2"/>
    <n v="3499.99"/>
    <n v="7.0000000000000007E-2"/>
    <n v="6999.91"/>
    <s v="Trek Domane SL 6 - 2017"/>
    <x v="7"/>
  </r>
  <r>
    <n v="1022"/>
    <n v="1"/>
    <n v="33"/>
    <n v="1"/>
    <n v="469.99"/>
    <n v="0.2"/>
    <n v="469.79"/>
    <s v="Surly Wednesday Frameset - 2017"/>
    <x v="7"/>
  </r>
  <r>
    <n v="1023"/>
    <n v="1"/>
    <n v="91"/>
    <n v="1"/>
    <n v="349.99"/>
    <n v="7.0000000000000007E-2"/>
    <n v="349.92"/>
    <s v="Trek Precaliber 24 (21-Speed) - Girls - 2017"/>
    <x v="7"/>
  </r>
  <r>
    <n v="1024"/>
    <n v="1"/>
    <n v="104"/>
    <n v="1"/>
    <n v="481.99"/>
    <n v="0.2"/>
    <n v="481.79"/>
    <s v="Sun Bicycles Streamway - 2017"/>
    <x v="7"/>
  </r>
  <r>
    <n v="1025"/>
    <n v="1"/>
    <n v="89"/>
    <n v="1"/>
    <n v="209.99"/>
    <n v="7.0000000000000007E-2"/>
    <n v="209.92000000000002"/>
    <s v="Trek Precaliber 16 Boys - 2017"/>
    <x v="7"/>
  </r>
  <r>
    <n v="1026"/>
    <n v="1"/>
    <n v="7"/>
    <n v="2"/>
    <n v="3999.99"/>
    <n v="7.0000000000000007E-2"/>
    <n v="7999.91"/>
    <s v="Trek Slash 8 27.5 - 2016"/>
    <x v="7"/>
  </r>
  <r>
    <n v="1027"/>
    <n v="1"/>
    <n v="95"/>
    <n v="2"/>
    <n v="299.99"/>
    <n v="0.1"/>
    <n v="599.88"/>
    <s v="Electra Girl's Hawaii 1 16&quot; - 2017"/>
    <x v="7"/>
  </r>
  <r>
    <n v="1028"/>
    <n v="1"/>
    <n v="111"/>
    <n v="2"/>
    <n v="470.99"/>
    <n v="0.1"/>
    <n v="941.88"/>
    <s v="Sun Bicycles Drifter 7 - Women's - 2017"/>
    <x v="7"/>
  </r>
  <r>
    <n v="1029"/>
    <n v="1"/>
    <n v="20"/>
    <n v="1"/>
    <n v="599.99"/>
    <n v="0.2"/>
    <n v="599.79"/>
    <s v="Electra Townie Original 7D EQ - Women's - 2016"/>
    <x v="7"/>
  </r>
  <r>
    <n v="1030"/>
    <n v="1"/>
    <n v="27"/>
    <n v="1"/>
    <n v="999.99"/>
    <n v="0.05"/>
    <n v="999.94"/>
    <s v="Surly Big Dummy Frameset - 2017"/>
    <x v="7"/>
  </r>
  <r>
    <n v="1031"/>
    <n v="1"/>
    <n v="27"/>
    <n v="2"/>
    <n v="999.99"/>
    <n v="0.2"/>
    <n v="1999.78"/>
    <s v="Surly Big Dummy Frameset - 2017"/>
    <x v="7"/>
  </r>
  <r>
    <n v="1032"/>
    <n v="1"/>
    <n v="60"/>
    <n v="2"/>
    <n v="1559.99"/>
    <n v="0.1"/>
    <n v="3119.88"/>
    <s v="Sun Bicycles ElectroLite - 2017"/>
    <x v="7"/>
  </r>
  <r>
    <n v="1033"/>
    <n v="1"/>
    <n v="26"/>
    <n v="1"/>
    <n v="599.99"/>
    <n v="7.0000000000000007E-2"/>
    <n v="599.91999999999996"/>
    <s v="Electra Townie Original 7D EQ - 2016"/>
    <x v="7"/>
  </r>
  <r>
    <n v="1034"/>
    <n v="1"/>
    <n v="101"/>
    <n v="1"/>
    <n v="339.99"/>
    <n v="0.1"/>
    <n v="339.89"/>
    <s v="Electra Townie 7D (20-inch) - Boys' - 2017"/>
    <x v="7"/>
  </r>
  <r>
    <n v="1035"/>
    <n v="1"/>
    <n v="96"/>
    <n v="1"/>
    <n v="349.99"/>
    <n v="0.2"/>
    <n v="349.79"/>
    <s v="Electra Moto 3i (20-inch) - Boy's - 2017"/>
    <x v="7"/>
  </r>
  <r>
    <n v="1036"/>
    <n v="1"/>
    <n v="55"/>
    <n v="2"/>
    <n v="2699.99"/>
    <n v="0.1"/>
    <n v="5399.8799999999992"/>
    <s v="Trek Domane S 6 - 2017"/>
    <x v="7"/>
  </r>
  <r>
    <n v="1037"/>
    <n v="1"/>
    <n v="74"/>
    <n v="2"/>
    <n v="439.99"/>
    <n v="7.0000000000000007E-2"/>
    <n v="879.91"/>
    <s v="Electra Cruiser Lux 1 - 2017"/>
    <x v="7"/>
  </r>
  <r>
    <n v="1038"/>
    <n v="1"/>
    <n v="83"/>
    <n v="1"/>
    <n v="149.99"/>
    <n v="0.05"/>
    <n v="149.94"/>
    <s v="Trek Boy's Kickster - 2015/2017"/>
    <x v="7"/>
  </r>
  <r>
    <n v="1039"/>
    <n v="1"/>
    <n v="18"/>
    <n v="2"/>
    <n v="449"/>
    <n v="0.2"/>
    <n v="897.8"/>
    <s v="Pure Cycles Western 3-Speed - Women's - 2015/2016"/>
    <x v="7"/>
  </r>
  <r>
    <n v="1040"/>
    <n v="1"/>
    <n v="97"/>
    <n v="1"/>
    <n v="349.99"/>
    <n v="0.1"/>
    <n v="349.89"/>
    <s v="Electra Savannah 3i (20-inch) - Girl's - 2017"/>
    <x v="7"/>
  </r>
  <r>
    <n v="1041"/>
    <n v="1"/>
    <n v="89"/>
    <n v="1"/>
    <n v="209.99"/>
    <n v="0.1"/>
    <n v="209.89000000000001"/>
    <s v="Trek Precaliber 16 Boys - 2017"/>
    <x v="7"/>
  </r>
  <r>
    <n v="1042"/>
    <n v="1"/>
    <n v="23"/>
    <n v="1"/>
    <n v="299.99"/>
    <n v="0.1"/>
    <n v="299.89"/>
    <s v="Electra Girl's Hawaii 1 (20-inch) - 2015/2016"/>
    <x v="7"/>
  </r>
  <r>
    <n v="1043"/>
    <n v="1"/>
    <n v="55"/>
    <n v="2"/>
    <n v="2699.99"/>
    <n v="0.1"/>
    <n v="5399.8799999999992"/>
    <s v="Trek Domane S 6 - 2017"/>
    <x v="7"/>
  </r>
  <r>
    <n v="1044"/>
    <n v="1"/>
    <n v="97"/>
    <n v="2"/>
    <n v="349.99"/>
    <n v="0.1"/>
    <n v="699.88"/>
    <s v="Electra Savannah 3i (20-inch) - Girl's - 2017"/>
    <x v="7"/>
  </r>
  <r>
    <n v="1045"/>
    <n v="1"/>
    <n v="28"/>
    <n v="1"/>
    <n v="2499.9899999999998"/>
    <n v="0.05"/>
    <n v="2499.9399999999996"/>
    <s v="Surly Karate Monkey 27.5+ Frameset - 2017"/>
    <x v="7"/>
  </r>
  <r>
    <n v="1046"/>
    <n v="1"/>
    <n v="60"/>
    <n v="1"/>
    <n v="1559.99"/>
    <n v="7.0000000000000007E-2"/>
    <n v="1559.92"/>
    <s v="Sun Bicycles ElectroLite - 2017"/>
    <x v="7"/>
  </r>
  <r>
    <n v="1047"/>
    <n v="1"/>
    <n v="28"/>
    <n v="2"/>
    <n v="2499.9899999999998"/>
    <n v="0.1"/>
    <n v="4999.8799999999992"/>
    <s v="Surly Karate Monkey 27.5+ Frameset - 2017"/>
    <x v="7"/>
  </r>
  <r>
    <n v="1048"/>
    <n v="1"/>
    <n v="3"/>
    <n v="2"/>
    <n v="999.99"/>
    <n v="0.1"/>
    <n v="1999.88"/>
    <s v="Surly Wednesday Frameset - 2016"/>
    <x v="7"/>
  </r>
  <r>
    <n v="1049"/>
    <n v="1"/>
    <n v="9"/>
    <n v="1"/>
    <n v="2999.99"/>
    <n v="0.1"/>
    <n v="2999.89"/>
    <s v="Trek Conduit+ - 2016"/>
    <x v="7"/>
  </r>
  <r>
    <n v="1050"/>
    <n v="1"/>
    <n v="96"/>
    <n v="2"/>
    <n v="349.99"/>
    <n v="7.0000000000000007E-2"/>
    <n v="699.91"/>
    <s v="Electra Moto 3i (20-inch) - Boy's - 2017"/>
    <x v="7"/>
  </r>
  <r>
    <n v="1051"/>
    <n v="1"/>
    <n v="46"/>
    <n v="1"/>
    <n v="1409.99"/>
    <n v="0.2"/>
    <n v="1409.79"/>
    <s v="Haro SR 1.3 - 2017"/>
    <x v="7"/>
  </r>
  <r>
    <n v="1052"/>
    <n v="1"/>
    <n v="7"/>
    <n v="1"/>
    <n v="3999.99"/>
    <n v="0.05"/>
    <n v="3999.9399999999996"/>
    <s v="Trek Slash 8 27.5 - 2016"/>
    <x v="7"/>
  </r>
  <r>
    <n v="1053"/>
    <n v="1"/>
    <n v="49"/>
    <n v="2"/>
    <n v="3499.99"/>
    <n v="0.05"/>
    <n v="6999.9299999999994"/>
    <s v="Trek Domane SL 6 - 2017"/>
    <x v="7"/>
  </r>
  <r>
    <n v="1054"/>
    <n v="1"/>
    <n v="36"/>
    <n v="2"/>
    <n v="832.99"/>
    <n v="0.1"/>
    <n v="1665.88"/>
    <s v="Surly Troll Frameset - 2017"/>
    <x v="7"/>
  </r>
  <r>
    <n v="1055"/>
    <n v="1"/>
    <n v="43"/>
    <n v="2"/>
    <n v="5299.99"/>
    <n v="7.0000000000000007E-2"/>
    <n v="10599.91"/>
    <s v="Trek Fuel EX 9.8 27.5 Plus - 2017"/>
    <x v="7"/>
  </r>
  <r>
    <n v="1056"/>
    <n v="1"/>
    <n v="3"/>
    <n v="1"/>
    <n v="999.99"/>
    <n v="0.05"/>
    <n v="999.94"/>
    <s v="Surly Wednesday Frameset - 2016"/>
    <x v="7"/>
  </r>
  <r>
    <n v="1057"/>
    <n v="1"/>
    <n v="105"/>
    <n v="1"/>
    <n v="533.99"/>
    <n v="0.2"/>
    <n v="533.79"/>
    <s v="Sun Bicycles Streamway 7 - 2017"/>
    <x v="7"/>
  </r>
  <r>
    <n v="1058"/>
    <n v="1"/>
    <n v="43"/>
    <n v="1"/>
    <n v="5299.99"/>
    <n v="0.1"/>
    <n v="5299.8899999999994"/>
    <s v="Trek Fuel EX 9.8 27.5 Plus - 2017"/>
    <x v="7"/>
  </r>
  <r>
    <n v="1059"/>
    <n v="1"/>
    <n v="46"/>
    <n v="2"/>
    <n v="1409.99"/>
    <n v="0.05"/>
    <n v="2819.93"/>
    <s v="Haro SR 1.3 - 2017"/>
    <x v="7"/>
  </r>
  <r>
    <n v="1060"/>
    <n v="1"/>
    <n v="7"/>
    <n v="1"/>
    <n v="3999.99"/>
    <n v="7.0000000000000007E-2"/>
    <n v="3999.9199999999996"/>
    <s v="Trek Slash 8 27.5 - 2016"/>
    <x v="7"/>
  </r>
  <r>
    <n v="1061"/>
    <n v="1"/>
    <n v="14"/>
    <n v="1"/>
    <n v="269.99"/>
    <n v="7.0000000000000007E-2"/>
    <n v="269.92"/>
    <s v="Electra Girl's Hawaii 1 (16-inch) - 2015/2016"/>
    <x v="7"/>
  </r>
  <r>
    <n v="1062"/>
    <n v="1"/>
    <n v="13"/>
    <n v="1"/>
    <n v="269.99"/>
    <n v="0.05"/>
    <n v="269.94"/>
    <s v="Electra Cruiser 1 (24-Inch) - 2016"/>
    <x v="7"/>
  </r>
  <r>
    <n v="1063"/>
    <n v="1"/>
    <n v="33"/>
    <n v="2"/>
    <n v="469.99"/>
    <n v="0.1"/>
    <n v="939.88"/>
    <s v="Surly Wednesday Frameset - 2017"/>
    <x v="7"/>
  </r>
  <r>
    <n v="1064"/>
    <n v="1"/>
    <n v="18"/>
    <n v="1"/>
    <n v="449"/>
    <n v="7.0000000000000007E-2"/>
    <n v="448.93"/>
    <s v="Pure Cycles Western 3-Speed - Women's - 2015/2016"/>
    <x v="7"/>
  </r>
  <r>
    <n v="1065"/>
    <n v="1"/>
    <n v="48"/>
    <n v="2"/>
    <n v="1499.99"/>
    <n v="7.0000000000000007E-2"/>
    <n v="2999.91"/>
    <s v="Trek Emonda S 4 - 2017"/>
    <x v="7"/>
  </r>
  <r>
    <n v="1066"/>
    <n v="1"/>
    <n v="15"/>
    <n v="2"/>
    <n v="529.99"/>
    <n v="0.05"/>
    <n v="1059.93"/>
    <s v="Electra Moto 1 - 2016"/>
    <x v="7"/>
  </r>
  <r>
    <n v="1067"/>
    <n v="1"/>
    <n v="74"/>
    <n v="2"/>
    <n v="439.99"/>
    <n v="7.0000000000000007E-2"/>
    <n v="879.91"/>
    <s v="Electra Cruiser Lux 1 - 2017"/>
    <x v="7"/>
  </r>
  <r>
    <n v="1068"/>
    <n v="1"/>
    <n v="87"/>
    <n v="2"/>
    <n v="189.99"/>
    <n v="0.2"/>
    <n v="379.78000000000003"/>
    <s v="Trek Precaliber 12 Boys - 2017"/>
    <x v="7"/>
  </r>
  <r>
    <n v="1069"/>
    <n v="1"/>
    <n v="109"/>
    <n v="1"/>
    <n v="416.99"/>
    <n v="7.0000000000000007E-2"/>
    <n v="416.92"/>
    <s v="Sun Bicycles Cruz 7 - Women's - 2017"/>
    <x v="7"/>
  </r>
  <r>
    <n v="1070"/>
    <n v="1"/>
    <n v="110"/>
    <n v="1"/>
    <n v="470.99"/>
    <n v="0.2"/>
    <n v="470.79"/>
    <s v="Sun Bicycles Drifter 7 - 2017"/>
    <x v="7"/>
  </r>
  <r>
    <n v="1071"/>
    <n v="1"/>
    <n v="25"/>
    <n v="2"/>
    <n v="499.99"/>
    <n v="0.2"/>
    <n v="999.78"/>
    <s v="Electra Townie Original 7D - 2015/2016"/>
    <x v="7"/>
  </r>
  <r>
    <n v="1072"/>
    <n v="1"/>
    <n v="83"/>
    <n v="1"/>
    <n v="149.99"/>
    <n v="0.2"/>
    <n v="149.79000000000002"/>
    <s v="Trek Boy's Kickster - 2015/2017"/>
    <x v="7"/>
  </r>
  <r>
    <n v="1073"/>
    <n v="1"/>
    <n v="81"/>
    <n v="1"/>
    <n v="1099.99"/>
    <n v="0.2"/>
    <n v="1099.79"/>
    <s v="Electra Amsterdam Fashion 7i Ladies' - 2017"/>
    <x v="7"/>
  </r>
  <r>
    <n v="1074"/>
    <n v="1"/>
    <n v="59"/>
    <n v="1"/>
    <n v="2599.9899999999998"/>
    <n v="0.1"/>
    <n v="2599.89"/>
    <s v="Trek Domane S 5 Disc - 2017"/>
    <x v="7"/>
  </r>
  <r>
    <n v="1075"/>
    <n v="1"/>
    <n v="48"/>
    <n v="2"/>
    <n v="1499.99"/>
    <n v="0.1"/>
    <n v="2999.88"/>
    <s v="Trek Emonda S 4 - 2017"/>
    <x v="7"/>
  </r>
  <r>
    <n v="1076"/>
    <n v="1"/>
    <n v="95"/>
    <n v="1"/>
    <n v="299.99"/>
    <n v="0.1"/>
    <n v="299.89"/>
    <s v="Electra Girl's Hawaii 1 16&quot; - 2017"/>
    <x v="7"/>
  </r>
  <r>
    <n v="1077"/>
    <n v="1"/>
    <n v="60"/>
    <n v="2"/>
    <n v="1559.99"/>
    <n v="0.05"/>
    <n v="3119.93"/>
    <s v="Sun Bicycles ElectroLite - 2017"/>
    <x v="7"/>
  </r>
  <r>
    <n v="1078"/>
    <n v="1"/>
    <n v="76"/>
    <n v="2"/>
    <n v="299.99"/>
    <n v="7.0000000000000007E-2"/>
    <n v="599.91"/>
    <s v="Electra Girl's Hawaii 1 16&quot; - 2017"/>
    <x v="7"/>
  </r>
  <r>
    <n v="1079"/>
    <n v="1"/>
    <n v="70"/>
    <n v="2"/>
    <n v="659.99"/>
    <n v="7.0000000000000007E-2"/>
    <n v="1319.91"/>
    <s v="Electra Amsterdam Original 3i - 2015/2017"/>
    <x v="7"/>
  </r>
  <r>
    <n v="1080"/>
    <n v="1"/>
    <n v="31"/>
    <n v="1"/>
    <n v="1632.99"/>
    <n v="0.2"/>
    <n v="1632.79"/>
    <s v="Surly Wednesday - 2017"/>
    <x v="7"/>
  </r>
  <r>
    <n v="1081"/>
    <n v="1"/>
    <n v="52"/>
    <n v="2"/>
    <n v="875.99"/>
    <n v="0.1"/>
    <n v="1751.88"/>
    <s v="Surly Steamroller - 2017"/>
    <x v="7"/>
  </r>
  <r>
    <n v="1082"/>
    <n v="1"/>
    <n v="29"/>
    <n v="2"/>
    <n v="999.99"/>
    <n v="0.2"/>
    <n v="1999.78"/>
    <s v="Trek X-Caliber 8 - 2017"/>
    <x v="7"/>
  </r>
  <r>
    <n v="1083"/>
    <n v="1"/>
    <n v="65"/>
    <n v="2"/>
    <n v="346.99"/>
    <n v="0.2"/>
    <n v="693.78"/>
    <s v="Sun Bicycles Lil Bolt Type-R - 2017"/>
    <x v="7"/>
  </r>
  <r>
    <n v="1084"/>
    <n v="1"/>
    <n v="30"/>
    <n v="1"/>
    <n v="999.99"/>
    <n v="0.05"/>
    <n v="999.94"/>
    <s v="Surly Ice Cream Truck Frameset - 2017"/>
    <x v="7"/>
  </r>
  <r>
    <n v="1085"/>
    <n v="1"/>
    <n v="66"/>
    <n v="2"/>
    <n v="250.99"/>
    <n v="0.2"/>
    <n v="501.78000000000003"/>
    <s v="Sun Bicycles Revolutions 24 - 2017"/>
    <x v="7"/>
  </r>
  <r>
    <n v="1086"/>
    <n v="1"/>
    <n v="108"/>
    <n v="1"/>
    <n v="449.99"/>
    <n v="7.0000000000000007E-2"/>
    <n v="449.92"/>
    <s v="Sun Bicycles Cruz 3 - Women's - 2017"/>
    <x v="7"/>
  </r>
  <r>
    <n v="1087"/>
    <n v="1"/>
    <n v="15"/>
    <n v="1"/>
    <n v="529.99"/>
    <n v="7.0000000000000007E-2"/>
    <n v="529.91999999999996"/>
    <s v="Electra Moto 1 - 2016"/>
    <x v="7"/>
  </r>
  <r>
    <n v="1088"/>
    <n v="1"/>
    <n v="64"/>
    <n v="1"/>
    <n v="489.99"/>
    <n v="0.1"/>
    <n v="489.89"/>
    <s v="Electra Townie Original 7D - 2017"/>
    <x v="7"/>
  </r>
  <r>
    <n v="1089"/>
    <n v="1"/>
    <n v="70"/>
    <n v="2"/>
    <n v="659.99"/>
    <n v="7.0000000000000007E-2"/>
    <n v="1319.91"/>
    <s v="Electra Amsterdam Original 3i - 2015/2017"/>
    <x v="7"/>
  </r>
  <r>
    <n v="1090"/>
    <n v="1"/>
    <n v="74"/>
    <n v="1"/>
    <n v="439.99"/>
    <n v="0.2"/>
    <n v="439.79"/>
    <s v="Electra Cruiser Lux 1 - 2017"/>
    <x v="7"/>
  </r>
  <r>
    <n v="1091"/>
    <n v="1"/>
    <n v="97"/>
    <n v="1"/>
    <n v="349.99"/>
    <n v="0.05"/>
    <n v="349.94"/>
    <s v="Electra Savannah 3i (20-inch) - Girl's - 2017"/>
    <x v="7"/>
  </r>
  <r>
    <n v="1092"/>
    <n v="1"/>
    <n v="34"/>
    <n v="1"/>
    <n v="469.99"/>
    <n v="0.05"/>
    <n v="469.94"/>
    <s v="Trek Session DH 27.5 Carbon Frameset - 2017"/>
    <x v="7"/>
  </r>
  <r>
    <n v="1093"/>
    <n v="1"/>
    <n v="45"/>
    <n v="2"/>
    <n v="869.99"/>
    <n v="7.0000000000000007E-2"/>
    <n v="1739.91"/>
    <s v="Haro SR 1.2 - 2017"/>
    <x v="7"/>
  </r>
  <r>
    <n v="1094"/>
    <n v="1"/>
    <n v="71"/>
    <n v="1"/>
    <n v="416.99"/>
    <n v="0.1"/>
    <n v="416.89"/>
    <s v="Sun Bicycles Atlas X-Type - 2017"/>
    <x v="7"/>
  </r>
  <r>
    <n v="1095"/>
    <n v="1"/>
    <n v="78"/>
    <n v="2"/>
    <n v="647.99"/>
    <n v="0.05"/>
    <n v="1295.93"/>
    <s v="Sun Bicycles Biscayne Tandem CB - 2017"/>
    <x v="7"/>
  </r>
  <r>
    <n v="1096"/>
    <n v="1"/>
    <n v="11"/>
    <n v="1"/>
    <n v="1680.99"/>
    <n v="0.1"/>
    <n v="1680.89"/>
    <s v="Surly Straggler 650b - 2016"/>
    <x v="7"/>
  </r>
  <r>
    <n v="1097"/>
    <n v="1"/>
    <n v="99"/>
    <n v="1"/>
    <n v="299.99"/>
    <n v="0.05"/>
    <n v="299.94"/>
    <s v="Electra Sugar Skulls 1 (20-inch) - Girl's - 2017"/>
    <x v="7"/>
  </r>
  <r>
    <n v="1098"/>
    <n v="1"/>
    <n v="88"/>
    <n v="1"/>
    <n v="189.99"/>
    <n v="0.1"/>
    <n v="189.89000000000001"/>
    <s v="Trek Precaliber 12 Girls - 2017"/>
    <x v="7"/>
  </r>
  <r>
    <n v="1099"/>
    <n v="1"/>
    <n v="64"/>
    <n v="1"/>
    <n v="489.99"/>
    <n v="0.1"/>
    <n v="489.89"/>
    <s v="Electra Townie Original 7D - 2017"/>
    <x v="7"/>
  </r>
  <r>
    <n v="1100"/>
    <n v="1"/>
    <n v="12"/>
    <n v="1"/>
    <n v="549.99"/>
    <n v="0.05"/>
    <n v="549.94000000000005"/>
    <s v="Electra Townie Original 21D - 2016"/>
    <x v="7"/>
  </r>
  <r>
    <n v="1101"/>
    <n v="1"/>
    <n v="105"/>
    <n v="1"/>
    <n v="533.99"/>
    <n v="7.0000000000000007E-2"/>
    <n v="533.91999999999996"/>
    <s v="Sun Bicycles Streamway 7 - 2017"/>
    <x v="7"/>
  </r>
  <r>
    <n v="1102"/>
    <n v="1"/>
    <n v="91"/>
    <n v="1"/>
    <n v="349.99"/>
    <n v="7.0000000000000007E-2"/>
    <n v="349.92"/>
    <s v="Trek Precaliber 24 (21-Speed) - Girls - 2017"/>
    <x v="7"/>
  </r>
  <r>
    <n v="1103"/>
    <n v="1"/>
    <n v="106"/>
    <n v="1"/>
    <n v="449.99"/>
    <n v="0.2"/>
    <n v="449.79"/>
    <s v="Sun Bicycles Cruz 3 - 2017"/>
    <x v="7"/>
  </r>
  <r>
    <n v="1104"/>
    <n v="1"/>
    <n v="17"/>
    <n v="1"/>
    <n v="429"/>
    <n v="0.1"/>
    <n v="428.9"/>
    <s v="Pure Cycles Vine 8-Speed - 2016"/>
    <x v="7"/>
  </r>
  <r>
    <n v="1105"/>
    <n v="1"/>
    <n v="60"/>
    <n v="1"/>
    <n v="1559.99"/>
    <n v="0.05"/>
    <n v="1559.94"/>
    <s v="Sun Bicycles ElectroLite - 2017"/>
    <x v="7"/>
  </r>
  <r>
    <n v="1106"/>
    <n v="1"/>
    <n v="96"/>
    <n v="1"/>
    <n v="349.99"/>
    <n v="0.1"/>
    <n v="349.89"/>
    <s v="Electra Moto 3i (20-inch) - Boy's - 2017"/>
    <x v="7"/>
  </r>
  <r>
    <n v="1107"/>
    <n v="1"/>
    <n v="43"/>
    <n v="1"/>
    <n v="5299.99"/>
    <n v="0.2"/>
    <n v="5299.79"/>
    <s v="Trek Fuel EX 9.8 27.5 Plus - 2017"/>
    <x v="7"/>
  </r>
  <r>
    <n v="1108"/>
    <n v="1"/>
    <n v="45"/>
    <n v="2"/>
    <n v="869.99"/>
    <n v="0.05"/>
    <n v="1739.93"/>
    <s v="Haro SR 1.2 - 2017"/>
    <x v="7"/>
  </r>
  <r>
    <n v="1109"/>
    <n v="1"/>
    <n v="72"/>
    <n v="2"/>
    <n v="619.99"/>
    <n v="0.1"/>
    <n v="1239.8800000000001"/>
    <s v="Sun Bicycles Biscayne Tandem 7 - 2017"/>
    <x v="7"/>
  </r>
  <r>
    <n v="1110"/>
    <n v="1"/>
    <n v="56"/>
    <n v="1"/>
    <n v="5499.99"/>
    <n v="0.1"/>
    <n v="5499.8899999999994"/>
    <s v="Trek Domane SLR 6 Disc - 2017"/>
    <x v="7"/>
  </r>
  <r>
    <n v="1111"/>
    <n v="1"/>
    <n v="95"/>
    <n v="1"/>
    <n v="299.99"/>
    <n v="0.05"/>
    <n v="299.94"/>
    <s v="Electra Girl's Hawaii 1 16&quot; - 2017"/>
    <x v="7"/>
  </r>
  <r>
    <n v="1112"/>
    <n v="1"/>
    <n v="71"/>
    <n v="2"/>
    <n v="416.99"/>
    <n v="0.05"/>
    <n v="833.93000000000006"/>
    <s v="Sun Bicycles Atlas X-Type - 2017"/>
    <x v="7"/>
  </r>
  <r>
    <n v="1113"/>
    <n v="1"/>
    <n v="106"/>
    <n v="1"/>
    <n v="449.99"/>
    <n v="7.0000000000000007E-2"/>
    <n v="449.92"/>
    <s v="Sun Bicycles Cruz 3 - 2017"/>
    <x v="7"/>
  </r>
  <r>
    <n v="1114"/>
    <n v="1"/>
    <n v="52"/>
    <n v="1"/>
    <n v="875.99"/>
    <n v="0.2"/>
    <n v="875.79"/>
    <s v="Surly Steamroller - 2017"/>
    <x v="7"/>
  </r>
  <r>
    <n v="1115"/>
    <n v="1"/>
    <n v="97"/>
    <n v="2"/>
    <n v="349.99"/>
    <n v="0.2"/>
    <n v="699.78"/>
    <s v="Electra Savannah 3i (20-inch) - Girl's - 2017"/>
    <x v="7"/>
  </r>
  <r>
    <n v="1116"/>
    <n v="1"/>
    <n v="11"/>
    <n v="2"/>
    <n v="1680.99"/>
    <n v="7.0000000000000007E-2"/>
    <n v="3361.91"/>
    <s v="Surly Straggler 650b - 2016"/>
    <x v="7"/>
  </r>
  <r>
    <n v="1117"/>
    <n v="1"/>
    <n v="37"/>
    <n v="2"/>
    <n v="379.99"/>
    <n v="0.1"/>
    <n v="759.88"/>
    <s v="Haro Flightline One ST - 2017"/>
    <x v="7"/>
  </r>
  <r>
    <n v="1118"/>
    <n v="1"/>
    <n v="55"/>
    <n v="2"/>
    <n v="2699.99"/>
    <n v="0.2"/>
    <n v="5399.78"/>
    <s v="Trek Domane S 6 - 2017"/>
    <x v="7"/>
  </r>
  <r>
    <n v="1119"/>
    <n v="1"/>
    <n v="93"/>
    <n v="2"/>
    <n v="209.99"/>
    <n v="0.1"/>
    <n v="419.88"/>
    <s v="Haro Shredder 20 Girls - 2017"/>
    <x v="7"/>
  </r>
  <r>
    <n v="1120"/>
    <n v="1"/>
    <n v="92"/>
    <n v="2"/>
    <n v="209.99"/>
    <n v="7.0000000000000007E-2"/>
    <n v="419.91"/>
    <s v="Haro Shredder 20 - 2017"/>
    <x v="7"/>
  </r>
  <r>
    <n v="1121"/>
    <n v="1"/>
    <n v="11"/>
    <n v="2"/>
    <n v="1680.99"/>
    <n v="0.1"/>
    <n v="3361.88"/>
    <s v="Surly Straggler 650b - 2016"/>
    <x v="7"/>
  </r>
  <r>
    <n v="1122"/>
    <n v="1"/>
    <n v="9"/>
    <n v="2"/>
    <n v="2999.99"/>
    <n v="7.0000000000000007E-2"/>
    <n v="5999.91"/>
    <s v="Trek Conduit+ - 2016"/>
    <x v="7"/>
  </r>
  <r>
    <n v="1123"/>
    <n v="1"/>
    <n v="65"/>
    <n v="2"/>
    <n v="346.99"/>
    <n v="7.0000000000000007E-2"/>
    <n v="693.91"/>
    <s v="Sun Bicycles Lil Bolt Type-R - 2017"/>
    <x v="7"/>
  </r>
  <r>
    <n v="1124"/>
    <n v="1"/>
    <n v="7"/>
    <n v="2"/>
    <n v="3999.99"/>
    <n v="0.1"/>
    <n v="7999.8799999999992"/>
    <s v="Trek Slash 8 27.5 - 2016"/>
    <x v="7"/>
  </r>
  <r>
    <n v="1125"/>
    <n v="1"/>
    <n v="16"/>
    <n v="2"/>
    <n v="599.99"/>
    <n v="0.05"/>
    <n v="1199.93"/>
    <s v="Electra Townie Original 7D EQ - 2016"/>
    <x v="7"/>
  </r>
  <r>
    <n v="1126"/>
    <n v="1"/>
    <n v="33"/>
    <n v="2"/>
    <n v="469.99"/>
    <n v="0.1"/>
    <n v="939.88"/>
    <s v="Surly Wednesday Frameset - 2017"/>
    <x v="7"/>
  </r>
  <r>
    <n v="1127"/>
    <n v="1"/>
    <n v="23"/>
    <n v="2"/>
    <n v="299.99"/>
    <n v="0.1"/>
    <n v="599.88"/>
    <s v="Electra Girl's Hawaii 1 (20-inch) - 2015/2016"/>
    <x v="7"/>
  </r>
  <r>
    <n v="1128"/>
    <n v="1"/>
    <n v="44"/>
    <n v="1"/>
    <n v="539.99"/>
    <n v="0.05"/>
    <n v="539.94000000000005"/>
    <s v="Haro SR 1.1 - 2017"/>
    <x v="7"/>
  </r>
  <r>
    <n v="1129"/>
    <n v="1"/>
    <n v="71"/>
    <n v="2"/>
    <n v="416.99"/>
    <n v="0.2"/>
    <n v="833.78"/>
    <s v="Sun Bicycles Atlas X-Type - 2017"/>
    <x v="7"/>
  </r>
  <r>
    <n v="1130"/>
    <n v="1"/>
    <n v="54"/>
    <n v="2"/>
    <n v="3199.99"/>
    <n v="0.2"/>
    <n v="6399.78"/>
    <s v="Trek Domane SL Disc Frameset - 2017"/>
    <x v="7"/>
  </r>
  <r>
    <n v="1131"/>
    <n v="1"/>
    <n v="60"/>
    <n v="2"/>
    <n v="1559.99"/>
    <n v="7.0000000000000007E-2"/>
    <n v="3119.91"/>
    <s v="Sun Bicycles ElectroLite - 2017"/>
    <x v="7"/>
  </r>
  <r>
    <n v="1132"/>
    <n v="1"/>
    <n v="43"/>
    <n v="1"/>
    <n v="5299.99"/>
    <n v="0.05"/>
    <n v="5299.94"/>
    <s v="Trek Fuel EX 9.8 27.5 Plus - 2017"/>
    <x v="7"/>
  </r>
  <r>
    <n v="1133"/>
    <n v="1"/>
    <n v="4"/>
    <n v="2"/>
    <n v="2899.99"/>
    <n v="0.05"/>
    <n v="5799.9299999999994"/>
    <s v="Trek Fuel EX 8 29 - 2016"/>
    <x v="7"/>
  </r>
  <r>
    <n v="1134"/>
    <n v="1"/>
    <n v="97"/>
    <n v="1"/>
    <n v="349.99"/>
    <n v="0.1"/>
    <n v="349.89"/>
    <s v="Electra Savannah 3i (20-inch) - Girl's - 2017"/>
    <x v="7"/>
  </r>
  <r>
    <n v="1135"/>
    <n v="1"/>
    <n v="101"/>
    <n v="2"/>
    <n v="339.99"/>
    <n v="0.05"/>
    <n v="679.93000000000006"/>
    <s v="Electra Townie 7D (20-inch) - Boys' - 2017"/>
    <x v="7"/>
  </r>
  <r>
    <n v="1136"/>
    <n v="1"/>
    <n v="105"/>
    <n v="1"/>
    <n v="533.99"/>
    <n v="0.1"/>
    <n v="533.89"/>
    <s v="Sun Bicycles Streamway 7 - 2017"/>
    <x v="7"/>
  </r>
  <r>
    <n v="1137"/>
    <n v="1"/>
    <n v="28"/>
    <n v="1"/>
    <n v="2499.9899999999998"/>
    <n v="0.2"/>
    <n v="2499.79"/>
    <s v="Surly Karate Monkey 27.5+ Frameset - 2017"/>
    <x v="7"/>
  </r>
  <r>
    <n v="1138"/>
    <n v="1"/>
    <n v="13"/>
    <n v="2"/>
    <n v="269.99"/>
    <n v="0.05"/>
    <n v="539.93000000000006"/>
    <s v="Electra Cruiser 1 (24-Inch) - 2016"/>
    <x v="7"/>
  </r>
  <r>
    <n v="1139"/>
    <n v="1"/>
    <n v="106"/>
    <n v="2"/>
    <n v="449.99"/>
    <n v="0.05"/>
    <n v="899.93000000000006"/>
    <s v="Sun Bicycles Cruz 3 - 2017"/>
    <x v="7"/>
  </r>
  <r>
    <n v="1140"/>
    <n v="1"/>
    <n v="39"/>
    <n v="2"/>
    <n v="1499.99"/>
    <n v="0.1"/>
    <n v="2999.88"/>
    <s v="Trek Stache 5 - 2017"/>
    <x v="7"/>
  </r>
  <r>
    <n v="1141"/>
    <n v="1"/>
    <n v="8"/>
    <n v="1"/>
    <n v="1799.99"/>
    <n v="0.1"/>
    <n v="1799.89"/>
    <s v="Trek Remedy 29 Carbon Frameset - 2016"/>
    <x v="7"/>
  </r>
  <r>
    <n v="1142"/>
    <n v="1"/>
    <n v="20"/>
    <n v="2"/>
    <n v="599.99"/>
    <n v="7.0000000000000007E-2"/>
    <n v="1199.9100000000001"/>
    <s v="Electra Townie Original 7D EQ - Women's - 2016"/>
    <x v="7"/>
  </r>
  <r>
    <n v="1143"/>
    <n v="1"/>
    <n v="99"/>
    <n v="1"/>
    <n v="299.99"/>
    <n v="0.2"/>
    <n v="299.79000000000002"/>
    <s v="Electra Sugar Skulls 1 (20-inch) - Girl's - 2017"/>
    <x v="7"/>
  </r>
  <r>
    <n v="1144"/>
    <n v="1"/>
    <n v="88"/>
    <n v="1"/>
    <n v="189.99"/>
    <n v="7.0000000000000007E-2"/>
    <n v="189.92000000000002"/>
    <s v="Trek Precaliber 12 Girls - 2017"/>
    <x v="7"/>
  </r>
  <r>
    <n v="1145"/>
    <n v="1"/>
    <n v="105"/>
    <n v="2"/>
    <n v="533.99"/>
    <n v="7.0000000000000007E-2"/>
    <n v="1067.9100000000001"/>
    <s v="Sun Bicycles Streamway 7 - 2017"/>
    <x v="7"/>
  </r>
  <r>
    <n v="1146"/>
    <n v="1"/>
    <n v="36"/>
    <n v="1"/>
    <n v="832.99"/>
    <n v="7.0000000000000007E-2"/>
    <n v="832.92"/>
    <s v="Surly Troll Frameset - 2017"/>
    <x v="7"/>
  </r>
  <r>
    <n v="1147"/>
    <n v="1"/>
    <n v="82"/>
    <n v="1"/>
    <n v="659.99"/>
    <n v="0.2"/>
    <n v="659.79"/>
    <s v="Electra Amsterdam Original 3i Ladies' - 2017"/>
    <x v="7"/>
  </r>
  <r>
    <n v="1148"/>
    <n v="1"/>
    <n v="82"/>
    <n v="1"/>
    <n v="659.99"/>
    <n v="7.0000000000000007E-2"/>
    <n v="659.92"/>
    <s v="Electra Amsterdam Original 3i Ladies' - 2017"/>
    <x v="7"/>
  </r>
  <r>
    <n v="1149"/>
    <n v="1"/>
    <n v="98"/>
    <n v="2"/>
    <n v="489.99"/>
    <n v="7.0000000000000007E-2"/>
    <n v="979.91"/>
    <s v="Electra Straight 8 3i (20-inch) - Boy's - 2017"/>
    <x v="7"/>
  </r>
  <r>
    <n v="1150"/>
    <n v="1"/>
    <n v="29"/>
    <n v="1"/>
    <n v="999.99"/>
    <n v="0.05"/>
    <n v="999.94"/>
    <s v="Trek X-Caliber 8 - 2017"/>
    <x v="7"/>
  </r>
  <r>
    <n v="1151"/>
    <n v="1"/>
    <n v="30"/>
    <n v="2"/>
    <n v="999.99"/>
    <n v="0.05"/>
    <n v="1999.93"/>
    <s v="Surly Ice Cream Truck Frameset - 2017"/>
    <x v="7"/>
  </r>
  <r>
    <n v="1152"/>
    <n v="1"/>
    <n v="58"/>
    <n v="1"/>
    <n v="4999.99"/>
    <n v="7.0000000000000007E-2"/>
    <n v="4999.92"/>
    <s v="Trek Madone 9.2 - 2017"/>
    <x v="7"/>
  </r>
  <r>
    <n v="1153"/>
    <n v="1"/>
    <n v="103"/>
    <n v="1"/>
    <n v="551.99"/>
    <n v="0.1"/>
    <n v="551.89"/>
    <s v="Sun Bicycles Streamway 3 - 2017"/>
    <x v="7"/>
  </r>
  <r>
    <n v="1154"/>
    <n v="1"/>
    <n v="17"/>
    <n v="1"/>
    <n v="429"/>
    <n v="0.2"/>
    <n v="428.8"/>
    <s v="Pure Cycles Vine 8-Speed - 2016"/>
    <x v="7"/>
  </r>
  <r>
    <n v="1155"/>
    <n v="1"/>
    <n v="68"/>
    <n v="2"/>
    <n v="449.99"/>
    <n v="0.05"/>
    <n v="899.93000000000006"/>
    <s v="Sun Bicycles Cruz 3 - 2017"/>
    <x v="7"/>
  </r>
  <r>
    <n v="1156"/>
    <n v="1"/>
    <n v="111"/>
    <n v="2"/>
    <n v="470.99"/>
    <n v="0.05"/>
    <n v="941.93000000000006"/>
    <s v="Sun Bicycles Drifter 7 - Women's - 2017"/>
    <x v="7"/>
  </r>
  <r>
    <n v="1157"/>
    <n v="1"/>
    <n v="20"/>
    <n v="1"/>
    <n v="599.99"/>
    <n v="0.1"/>
    <n v="599.89"/>
    <s v="Electra Townie Original 7D EQ - Women's - 2016"/>
    <x v="7"/>
  </r>
  <r>
    <n v="1158"/>
    <n v="1"/>
    <n v="95"/>
    <n v="2"/>
    <n v="299.99"/>
    <n v="0.1"/>
    <n v="599.88"/>
    <s v="Electra Girl's Hawaii 1 16&quot; - 2017"/>
    <x v="7"/>
  </r>
  <r>
    <n v="1159"/>
    <n v="1"/>
    <n v="12"/>
    <n v="2"/>
    <n v="549.99"/>
    <n v="0.1"/>
    <n v="1099.8800000000001"/>
    <s v="Electra Townie Original 21D - 2016"/>
    <x v="7"/>
  </r>
  <r>
    <n v="1160"/>
    <n v="1"/>
    <n v="41"/>
    <n v="1"/>
    <n v="1469.99"/>
    <n v="0.1"/>
    <n v="1469.89"/>
    <s v="Haro Shift R3 - 2017"/>
    <x v="7"/>
  </r>
  <r>
    <n v="1161"/>
    <n v="1"/>
    <n v="71"/>
    <n v="2"/>
    <n v="416.99"/>
    <n v="0.1"/>
    <n v="833.88"/>
    <s v="Sun Bicycles Atlas X-Type - 2017"/>
    <x v="7"/>
  </r>
  <r>
    <n v="1162"/>
    <n v="1"/>
    <n v="88"/>
    <n v="1"/>
    <n v="189.99"/>
    <n v="0.2"/>
    <n v="189.79000000000002"/>
    <s v="Trek Precaliber 12 Girls - 2017"/>
    <x v="7"/>
  </r>
  <r>
    <n v="1163"/>
    <n v="1"/>
    <n v="63"/>
    <n v="2"/>
    <n v="3499.99"/>
    <n v="0.05"/>
    <n v="6999.9299999999994"/>
    <s v="Trek Boone Race Shop Limited - 2017"/>
    <x v="7"/>
  </r>
  <r>
    <n v="1164"/>
    <n v="1"/>
    <n v="8"/>
    <n v="1"/>
    <n v="1799.99"/>
    <n v="0.2"/>
    <n v="1799.79"/>
    <s v="Trek Remedy 29 Carbon Frameset - 2016"/>
    <x v="7"/>
  </r>
  <r>
    <n v="1165"/>
    <n v="1"/>
    <n v="65"/>
    <n v="2"/>
    <n v="346.99"/>
    <n v="7.0000000000000007E-2"/>
    <n v="693.91"/>
    <s v="Sun Bicycles Lil Bolt Type-R - 2017"/>
    <x v="7"/>
  </r>
  <r>
    <n v="1166"/>
    <n v="1"/>
    <n v="103"/>
    <n v="2"/>
    <n v="551.99"/>
    <n v="7.0000000000000007E-2"/>
    <n v="1103.9100000000001"/>
    <s v="Sun Bicycles Streamway 3 - 2017"/>
    <x v="7"/>
  </r>
  <r>
    <n v="1167"/>
    <n v="1"/>
    <n v="29"/>
    <n v="2"/>
    <n v="999.99"/>
    <n v="0.05"/>
    <n v="1999.93"/>
    <s v="Trek X-Caliber 8 - 2017"/>
    <x v="7"/>
  </r>
  <r>
    <n v="1168"/>
    <n v="1"/>
    <n v="23"/>
    <n v="2"/>
    <n v="299.99"/>
    <n v="0.1"/>
    <n v="599.88"/>
    <s v="Electra Girl's Hawaii 1 (20-inch) - 2015/2016"/>
    <x v="7"/>
  </r>
  <r>
    <n v="1169"/>
    <n v="1"/>
    <n v="91"/>
    <n v="2"/>
    <n v="349.99"/>
    <n v="0.2"/>
    <n v="699.78"/>
    <s v="Trek Precaliber 24 (21-Speed) - Girls - 2017"/>
    <x v="7"/>
  </r>
  <r>
    <n v="1170"/>
    <n v="1"/>
    <n v="15"/>
    <n v="1"/>
    <n v="529.99"/>
    <n v="0.1"/>
    <n v="529.89"/>
    <s v="Electra Moto 1 - 2016"/>
    <x v="7"/>
  </r>
  <r>
    <n v="1171"/>
    <n v="1"/>
    <n v="94"/>
    <n v="2"/>
    <n v="249.99"/>
    <n v="0.2"/>
    <n v="499.78000000000003"/>
    <s v="Haro Shredder Pro 20 - 2017"/>
    <x v="7"/>
  </r>
  <r>
    <n v="1172"/>
    <n v="1"/>
    <n v="78"/>
    <n v="2"/>
    <n v="647.99"/>
    <n v="7.0000000000000007E-2"/>
    <n v="1295.9100000000001"/>
    <s v="Sun Bicycles Biscayne Tandem CB - 2017"/>
    <x v="7"/>
  </r>
  <r>
    <n v="1173"/>
    <n v="1"/>
    <n v="95"/>
    <n v="1"/>
    <n v="299.99"/>
    <n v="0.2"/>
    <n v="299.79000000000002"/>
    <s v="Electra Girl's Hawaii 1 16&quot; - 2017"/>
    <x v="7"/>
  </r>
  <r>
    <n v="1174"/>
    <n v="1"/>
    <n v="110"/>
    <n v="2"/>
    <n v="470.99"/>
    <n v="0.2"/>
    <n v="941.78"/>
    <s v="Sun Bicycles Drifter 7 - 2017"/>
    <x v="7"/>
  </r>
  <r>
    <n v="1175"/>
    <n v="1"/>
    <n v="58"/>
    <n v="2"/>
    <n v="4999.99"/>
    <n v="7.0000000000000007E-2"/>
    <n v="9999.91"/>
    <s v="Trek Madone 9.2 - 2017"/>
    <x v="7"/>
  </r>
  <r>
    <n v="1176"/>
    <n v="1"/>
    <n v="87"/>
    <n v="1"/>
    <n v="189.99"/>
    <n v="0.1"/>
    <n v="189.89000000000001"/>
    <s v="Trek Precaliber 12 Boys - 2017"/>
    <x v="7"/>
  </r>
  <r>
    <n v="1177"/>
    <n v="1"/>
    <n v="62"/>
    <n v="2"/>
    <n v="3499.99"/>
    <n v="7.0000000000000007E-2"/>
    <n v="6999.91"/>
    <s v="Trek Boone 7 - 2017"/>
    <x v="7"/>
  </r>
  <r>
    <n v="1178"/>
    <n v="1"/>
    <n v="46"/>
    <n v="1"/>
    <n v="1409.99"/>
    <n v="7.0000000000000007E-2"/>
    <n v="1409.92"/>
    <s v="Haro SR 1.3 - 2017"/>
    <x v="7"/>
  </r>
  <r>
    <n v="1179"/>
    <n v="1"/>
    <n v="93"/>
    <n v="2"/>
    <n v="209.99"/>
    <n v="0.05"/>
    <n v="419.93"/>
    <s v="Haro Shredder 20 Girls - 2017"/>
    <x v="7"/>
  </r>
  <r>
    <n v="1180"/>
    <n v="1"/>
    <n v="66"/>
    <n v="2"/>
    <n v="250.99"/>
    <n v="7.0000000000000007E-2"/>
    <n v="501.91"/>
    <s v="Sun Bicycles Revolutions 24 - 2017"/>
    <x v="7"/>
  </r>
  <r>
    <n v="1181"/>
    <n v="1"/>
    <n v="98"/>
    <n v="1"/>
    <n v="489.99"/>
    <n v="0.1"/>
    <n v="489.89"/>
    <s v="Electra Straight 8 3i (20-inch) - Boy's - 2017"/>
    <x v="7"/>
  </r>
  <r>
    <n v="1182"/>
    <n v="1"/>
    <n v="35"/>
    <n v="1"/>
    <n v="832.99"/>
    <n v="0.1"/>
    <n v="832.89"/>
    <s v="Sun Bicycles Spider 3i - 2017"/>
    <x v="7"/>
  </r>
  <r>
    <n v="1183"/>
    <n v="1"/>
    <n v="63"/>
    <n v="1"/>
    <n v="3499.99"/>
    <n v="0.2"/>
    <n v="3499.79"/>
    <s v="Trek Boone Race Shop Limited - 2017"/>
    <x v="7"/>
  </r>
  <r>
    <n v="1184"/>
    <n v="1"/>
    <n v="16"/>
    <n v="2"/>
    <n v="599.99"/>
    <n v="0.05"/>
    <n v="1199.93"/>
    <s v="Electra Townie Original 7D EQ - 2016"/>
    <x v="7"/>
  </r>
  <r>
    <n v="1185"/>
    <n v="1"/>
    <n v="19"/>
    <n v="2"/>
    <n v="449"/>
    <n v="7.0000000000000007E-2"/>
    <n v="897.93"/>
    <s v="Pure Cycles William 3-Speed - 2016"/>
    <x v="7"/>
  </r>
  <r>
    <n v="1186"/>
    <n v="1"/>
    <n v="48"/>
    <n v="2"/>
    <n v="1499.99"/>
    <n v="0.1"/>
    <n v="2999.88"/>
    <s v="Trek Emonda S 4 - 2017"/>
    <x v="7"/>
  </r>
  <r>
    <n v="1187"/>
    <n v="1"/>
    <n v="36"/>
    <n v="2"/>
    <n v="832.99"/>
    <n v="0.1"/>
    <n v="1665.88"/>
    <s v="Surly Troll Frameset - 2017"/>
    <x v="7"/>
  </r>
  <r>
    <n v="1188"/>
    <n v="1"/>
    <n v="66"/>
    <n v="2"/>
    <n v="250.99"/>
    <n v="0.1"/>
    <n v="501.88"/>
    <s v="Sun Bicycles Revolutions 24 - 2017"/>
    <x v="7"/>
  </r>
  <r>
    <n v="1189"/>
    <n v="1"/>
    <n v="55"/>
    <n v="1"/>
    <n v="2699.99"/>
    <n v="7.0000000000000007E-2"/>
    <n v="2699.9199999999996"/>
    <s v="Trek Domane S 6 - 2017"/>
    <x v="7"/>
  </r>
  <r>
    <n v="1190"/>
    <n v="1"/>
    <n v="71"/>
    <n v="1"/>
    <n v="416.99"/>
    <n v="7.0000000000000007E-2"/>
    <n v="416.92"/>
    <s v="Sun Bicycles Atlas X-Type - 2017"/>
    <x v="7"/>
  </r>
  <r>
    <n v="1191"/>
    <n v="1"/>
    <n v="40"/>
    <n v="2"/>
    <n v="4999.99"/>
    <n v="0.1"/>
    <n v="9999.8799999999992"/>
    <s v="Trek Fuel EX 9.8 29 - 2017"/>
    <x v="7"/>
  </r>
  <r>
    <n v="1192"/>
    <n v="1"/>
    <n v="24"/>
    <n v="2"/>
    <n v="549.99"/>
    <n v="0.1"/>
    <n v="1099.8800000000001"/>
    <s v="Electra Townie Original 21D - 2016"/>
    <x v="7"/>
  </r>
  <r>
    <n v="1193"/>
    <n v="1"/>
    <n v="83"/>
    <n v="2"/>
    <n v="149.99"/>
    <n v="0.05"/>
    <n v="299.93"/>
    <s v="Trek Boy's Kickster - 2015/2017"/>
    <x v="7"/>
  </r>
  <r>
    <n v="1194"/>
    <n v="1"/>
    <n v="71"/>
    <n v="1"/>
    <n v="416.99"/>
    <n v="0.05"/>
    <n v="416.94"/>
    <s v="Sun Bicycles Atlas X-Type - 2017"/>
    <x v="7"/>
  </r>
  <r>
    <n v="1195"/>
    <n v="1"/>
    <n v="52"/>
    <n v="1"/>
    <n v="875.99"/>
    <n v="7.0000000000000007E-2"/>
    <n v="875.92"/>
    <s v="Surly Steamroller - 2017"/>
    <x v="7"/>
  </r>
  <r>
    <n v="1196"/>
    <n v="1"/>
    <n v="53"/>
    <n v="1"/>
    <n v="749.99"/>
    <n v="7.0000000000000007E-2"/>
    <n v="749.92"/>
    <s v="Surly Ogre Frameset - 2017"/>
    <x v="7"/>
  </r>
  <r>
    <n v="1197"/>
    <n v="1"/>
    <n v="13"/>
    <n v="1"/>
    <n v="269.99"/>
    <n v="7.0000000000000007E-2"/>
    <n v="269.92"/>
    <s v="Electra Cruiser 1 (24-Inch) - 2016"/>
    <x v="7"/>
  </r>
  <r>
    <n v="1198"/>
    <n v="1"/>
    <n v="105"/>
    <n v="1"/>
    <n v="533.99"/>
    <n v="0.05"/>
    <n v="533.94000000000005"/>
    <s v="Sun Bicycles Streamway 7 - 2017"/>
    <x v="7"/>
  </r>
  <r>
    <n v="1199"/>
    <n v="1"/>
    <n v="32"/>
    <n v="1"/>
    <n v="469.99"/>
    <n v="0.05"/>
    <n v="469.94"/>
    <s v="Trek Farley Alloy Frameset - 2017"/>
    <x v="7"/>
  </r>
  <r>
    <n v="1200"/>
    <n v="1"/>
    <n v="42"/>
    <n v="2"/>
    <n v="2299.9899999999998"/>
    <n v="0.2"/>
    <n v="4599.78"/>
    <s v="Trek Fuel EX 5 27.5 Plus - 2017"/>
    <x v="7"/>
  </r>
  <r>
    <n v="1201"/>
    <n v="1"/>
    <n v="95"/>
    <n v="1"/>
    <n v="299.99"/>
    <n v="7.0000000000000007E-2"/>
    <n v="299.92"/>
    <s v="Electra Girl's Hawaii 1 16&quot; - 2017"/>
    <x v="7"/>
  </r>
  <r>
    <n v="1202"/>
    <n v="1"/>
    <n v="84"/>
    <n v="2"/>
    <n v="109.99"/>
    <n v="0.05"/>
    <n v="219.92999999999998"/>
    <s v="Sun Bicycles Lil Kitt'n - 2017"/>
    <x v="7"/>
  </r>
  <r>
    <n v="1203"/>
    <n v="1"/>
    <n v="6"/>
    <n v="2"/>
    <n v="469.99"/>
    <n v="7.0000000000000007E-2"/>
    <n v="939.91"/>
    <s v="Surly Ice Cream Truck Frameset - 2016"/>
    <x v="7"/>
  </r>
  <r>
    <n v="1204"/>
    <n v="1"/>
    <n v="37"/>
    <n v="2"/>
    <n v="379.99"/>
    <n v="7.0000000000000007E-2"/>
    <n v="759.91"/>
    <s v="Haro Flightline One ST - 2017"/>
    <x v="7"/>
  </r>
  <r>
    <n v="1205"/>
    <n v="1"/>
    <n v="105"/>
    <n v="2"/>
    <n v="533.99"/>
    <n v="0.2"/>
    <n v="1067.78"/>
    <s v="Sun Bicycles Streamway 7 - 2017"/>
    <x v="7"/>
  </r>
  <r>
    <n v="1206"/>
    <n v="1"/>
    <n v="73"/>
    <n v="1"/>
    <n v="749.99"/>
    <n v="7.0000000000000007E-2"/>
    <n v="749.92"/>
    <s v="Sun Bicycles Brickell Tandem 7 - 2017"/>
    <x v="7"/>
  </r>
  <r>
    <n v="1207"/>
    <n v="1"/>
    <n v="104"/>
    <n v="1"/>
    <n v="481.99"/>
    <n v="0.05"/>
    <n v="481.94"/>
    <s v="Sun Bicycles Streamway - 2017"/>
    <x v="7"/>
  </r>
  <r>
    <n v="1208"/>
    <n v="1"/>
    <n v="12"/>
    <n v="1"/>
    <n v="549.99"/>
    <n v="0.2"/>
    <n v="549.79"/>
    <s v="Electra Townie Original 21D - 2016"/>
    <x v="7"/>
  </r>
  <r>
    <n v="1209"/>
    <n v="1"/>
    <n v="89"/>
    <n v="1"/>
    <n v="209.99"/>
    <n v="7.0000000000000007E-2"/>
    <n v="209.92000000000002"/>
    <s v="Trek Precaliber 16 Boys - 2017"/>
    <x v="7"/>
  </r>
  <r>
    <n v="1210"/>
    <n v="1"/>
    <n v="26"/>
    <n v="1"/>
    <n v="599.99"/>
    <n v="0.1"/>
    <n v="599.89"/>
    <s v="Electra Townie Original 7D EQ - 2016"/>
    <x v="7"/>
  </r>
  <r>
    <n v="1211"/>
    <n v="1"/>
    <n v="15"/>
    <n v="2"/>
    <n v="529.99"/>
    <n v="0.2"/>
    <n v="1059.78"/>
    <s v="Electra Moto 1 - 2016"/>
    <x v="7"/>
  </r>
  <r>
    <n v="1212"/>
    <n v="1"/>
    <n v="74"/>
    <n v="1"/>
    <n v="439.99"/>
    <n v="0.1"/>
    <n v="439.89"/>
    <s v="Electra Cruiser Lux 1 - 2017"/>
    <x v="7"/>
  </r>
  <r>
    <n v="1213"/>
    <n v="1"/>
    <n v="64"/>
    <n v="2"/>
    <n v="489.99"/>
    <n v="7.0000000000000007E-2"/>
    <n v="979.91"/>
    <s v="Electra Townie Original 7D - 2017"/>
    <x v="7"/>
  </r>
  <r>
    <n v="1214"/>
    <n v="1"/>
    <n v="9"/>
    <n v="2"/>
    <n v="2999.99"/>
    <n v="0.05"/>
    <n v="5999.9299999999994"/>
    <s v="Trek Conduit+ - 2016"/>
    <x v="7"/>
  </r>
  <r>
    <n v="1215"/>
    <n v="1"/>
    <n v="73"/>
    <n v="2"/>
    <n v="749.99"/>
    <n v="0.1"/>
    <n v="1499.88"/>
    <s v="Sun Bicycles Brickell Tandem 7 - 2017"/>
    <x v="7"/>
  </r>
  <r>
    <n v="1216"/>
    <n v="1"/>
    <n v="64"/>
    <n v="2"/>
    <n v="489.99"/>
    <n v="0.1"/>
    <n v="979.88"/>
    <s v="Electra Townie Original 7D - 2017"/>
    <x v="7"/>
  </r>
  <r>
    <n v="1217"/>
    <n v="1"/>
    <n v="73"/>
    <n v="1"/>
    <n v="749.99"/>
    <n v="0.05"/>
    <n v="749.94"/>
    <s v="Sun Bicycles Brickell Tandem 7 - 2017"/>
    <x v="7"/>
  </r>
  <r>
    <n v="1218"/>
    <n v="1"/>
    <n v="32"/>
    <n v="1"/>
    <n v="469.99"/>
    <n v="7.0000000000000007E-2"/>
    <n v="469.92"/>
    <s v="Trek Farley Alloy Frameset - 2017"/>
    <x v="7"/>
  </r>
  <r>
    <n v="1219"/>
    <n v="1"/>
    <n v="17"/>
    <n v="2"/>
    <n v="429"/>
    <n v="7.0000000000000007E-2"/>
    <n v="857.93"/>
    <s v="Pure Cycles Vine 8-Speed - 2016"/>
    <x v="7"/>
  </r>
  <r>
    <n v="1220"/>
    <n v="1"/>
    <n v="47"/>
    <n v="2"/>
    <n v="5299.99"/>
    <n v="0.1"/>
    <n v="10599.88"/>
    <s v="Trek Remedy 9.8 - 2017"/>
    <x v="7"/>
  </r>
  <r>
    <n v="1221"/>
    <n v="1"/>
    <n v="100"/>
    <n v="1"/>
    <n v="489.99"/>
    <n v="0.05"/>
    <n v="489.94"/>
    <s v="Electra Townie 3i EQ (20-inch) - Boys' - 2017"/>
    <x v="7"/>
  </r>
  <r>
    <n v="1222"/>
    <n v="1"/>
    <n v="97"/>
    <n v="1"/>
    <n v="349.99"/>
    <n v="0.2"/>
    <n v="349.79"/>
    <s v="Electra Savannah 3i (20-inch) - Girl's - 2017"/>
    <x v="7"/>
  </r>
  <r>
    <n v="1223"/>
    <n v="1"/>
    <n v="103"/>
    <n v="1"/>
    <n v="551.99"/>
    <n v="0.05"/>
    <n v="551.94000000000005"/>
    <s v="Sun Bicycles Streamway 3 - 2017"/>
    <x v="7"/>
  </r>
  <r>
    <n v="1224"/>
    <n v="1"/>
    <n v="62"/>
    <n v="1"/>
    <n v="3499.99"/>
    <n v="7.0000000000000007E-2"/>
    <n v="3499.9199999999996"/>
    <s v="Trek Boone 7 - 2017"/>
    <x v="7"/>
  </r>
  <r>
    <n v="1225"/>
    <n v="1"/>
    <n v="81"/>
    <n v="1"/>
    <n v="1099.99"/>
    <n v="0.1"/>
    <n v="1099.8900000000001"/>
    <s v="Electra Amsterdam Fashion 7i Ladies' - 2017"/>
    <x v="7"/>
  </r>
  <r>
    <n v="1226"/>
    <n v="1"/>
    <n v="77"/>
    <n v="2"/>
    <n v="799.99"/>
    <n v="0.05"/>
    <n v="1599.93"/>
    <s v="Electra Glam Punk 3i Ladies' - 2017"/>
    <x v="7"/>
  </r>
  <r>
    <n v="1227"/>
    <n v="1"/>
    <n v="90"/>
    <n v="2"/>
    <n v="209.99"/>
    <n v="0.2"/>
    <n v="419.78000000000003"/>
    <s v="Trek Precaliber 16 Girls - 2017"/>
    <x v="7"/>
  </r>
  <r>
    <n v="1228"/>
    <n v="1"/>
    <n v="92"/>
    <n v="1"/>
    <n v="209.99"/>
    <n v="0.2"/>
    <n v="209.79000000000002"/>
    <s v="Haro Shredder 20 - 2017"/>
    <x v="7"/>
  </r>
  <r>
    <n v="1229"/>
    <n v="1"/>
    <n v="36"/>
    <n v="2"/>
    <n v="832.99"/>
    <n v="7.0000000000000007E-2"/>
    <n v="1665.91"/>
    <s v="Surly Troll Frameset - 2017"/>
    <x v="7"/>
  </r>
  <r>
    <n v="1230"/>
    <n v="1"/>
    <n v="32"/>
    <n v="2"/>
    <n v="469.99"/>
    <n v="0.1"/>
    <n v="939.88"/>
    <s v="Trek Farley Alloy Frameset - 2017"/>
    <x v="7"/>
  </r>
  <r>
    <n v="1231"/>
    <n v="1"/>
    <n v="75"/>
    <n v="2"/>
    <n v="599.99"/>
    <n v="0.05"/>
    <n v="1199.93"/>
    <s v="Electra Cruiser Lux Fat Tire 1 Ladies - 2017"/>
    <x v="7"/>
  </r>
  <r>
    <n v="1232"/>
    <n v="1"/>
    <n v="4"/>
    <n v="2"/>
    <n v="2899.99"/>
    <n v="7.0000000000000007E-2"/>
    <n v="5799.91"/>
    <s v="Trek Fuel EX 8 29 - 2016"/>
    <x v="7"/>
  </r>
  <r>
    <n v="1233"/>
    <n v="1"/>
    <n v="87"/>
    <n v="2"/>
    <n v="189.99"/>
    <n v="0.2"/>
    <n v="379.78000000000003"/>
    <s v="Trek Precaliber 12 Boys - 2017"/>
    <x v="7"/>
  </r>
  <r>
    <n v="1234"/>
    <n v="1"/>
    <n v="56"/>
    <n v="2"/>
    <n v="5499.99"/>
    <n v="7.0000000000000007E-2"/>
    <n v="10999.91"/>
    <s v="Trek Domane SLR 6 Disc - 2017"/>
    <x v="7"/>
  </r>
  <r>
    <n v="1235"/>
    <n v="1"/>
    <n v="7"/>
    <n v="1"/>
    <n v="3999.99"/>
    <n v="0.1"/>
    <n v="3999.89"/>
    <s v="Trek Slash 8 27.5 - 2016"/>
    <x v="7"/>
  </r>
  <r>
    <n v="1236"/>
    <n v="1"/>
    <n v="60"/>
    <n v="1"/>
    <n v="1559.99"/>
    <n v="7.0000000000000007E-2"/>
    <n v="1559.92"/>
    <s v="Sun Bicycles ElectroLite - 2017"/>
    <x v="7"/>
  </r>
  <r>
    <n v="1237"/>
    <n v="1"/>
    <n v="23"/>
    <n v="1"/>
    <n v="299.99"/>
    <n v="0.1"/>
    <n v="299.89"/>
    <s v="Electra Girl's Hawaii 1 (20-inch) - 2015/2016"/>
    <x v="7"/>
  </r>
  <r>
    <n v="1238"/>
    <n v="1"/>
    <n v="40"/>
    <n v="1"/>
    <n v="4999.99"/>
    <n v="0.1"/>
    <n v="4999.8899999999994"/>
    <s v="Trek Fuel EX 9.8 29 - 2017"/>
    <x v="7"/>
  </r>
  <r>
    <n v="1239"/>
    <n v="1"/>
    <n v="15"/>
    <n v="2"/>
    <n v="529.99"/>
    <n v="0.2"/>
    <n v="1059.78"/>
    <s v="Electra Moto 1 - 2016"/>
    <x v="7"/>
  </r>
  <r>
    <n v="1240"/>
    <n v="1"/>
    <n v="107"/>
    <n v="2"/>
    <n v="416.99"/>
    <n v="0.1"/>
    <n v="833.88"/>
    <s v="Sun Bicycles Cruz 7 - 2017"/>
    <x v="7"/>
  </r>
  <r>
    <n v="1241"/>
    <n v="1"/>
    <n v="74"/>
    <n v="1"/>
    <n v="439.99"/>
    <n v="0.05"/>
    <n v="439.94"/>
    <s v="Electra Cruiser Lux 1 - 2017"/>
    <x v="7"/>
  </r>
  <r>
    <n v="1242"/>
    <n v="1"/>
    <n v="94"/>
    <n v="1"/>
    <n v="249.99"/>
    <n v="0.05"/>
    <n v="249.94"/>
    <s v="Haro Shredder Pro 20 - 2017"/>
    <x v="7"/>
  </r>
  <r>
    <n v="1243"/>
    <n v="1"/>
    <n v="44"/>
    <n v="1"/>
    <n v="539.99"/>
    <n v="7.0000000000000007E-2"/>
    <n v="539.91999999999996"/>
    <s v="Haro SR 1.1 - 2017"/>
    <x v="7"/>
  </r>
  <r>
    <n v="1244"/>
    <n v="1"/>
    <n v="45"/>
    <n v="1"/>
    <n v="869.99"/>
    <n v="0.2"/>
    <n v="869.79"/>
    <s v="Haro SR 1.2 - 2017"/>
    <x v="7"/>
  </r>
  <r>
    <n v="1245"/>
    <n v="1"/>
    <n v="13"/>
    <n v="1"/>
    <n v="269.99"/>
    <n v="0.1"/>
    <n v="269.89"/>
    <s v="Electra Cruiser 1 (24-Inch) - 2016"/>
    <x v="7"/>
  </r>
  <r>
    <n v="1246"/>
    <n v="1"/>
    <n v="78"/>
    <n v="2"/>
    <n v="647.99"/>
    <n v="0.2"/>
    <n v="1295.78"/>
    <s v="Sun Bicycles Biscayne Tandem CB - 2017"/>
    <x v="7"/>
  </r>
  <r>
    <n v="1247"/>
    <n v="1"/>
    <n v="15"/>
    <n v="2"/>
    <n v="529.99"/>
    <n v="0.1"/>
    <n v="1059.8800000000001"/>
    <s v="Electra Moto 1 - 2016"/>
    <x v="7"/>
  </r>
  <r>
    <n v="1248"/>
    <n v="1"/>
    <n v="94"/>
    <n v="2"/>
    <n v="249.99"/>
    <n v="0.05"/>
    <n v="499.93"/>
    <s v="Haro Shredder Pro 20 - 2017"/>
    <x v="7"/>
  </r>
  <r>
    <n v="1249"/>
    <n v="1"/>
    <n v="62"/>
    <n v="1"/>
    <n v="3499.99"/>
    <n v="0.05"/>
    <n v="3499.9399999999996"/>
    <s v="Trek Boone 7 - 2017"/>
    <x v="7"/>
  </r>
  <r>
    <n v="1250"/>
    <n v="1"/>
    <n v="78"/>
    <n v="2"/>
    <n v="647.99"/>
    <n v="0.05"/>
    <n v="1295.93"/>
    <s v="Sun Bicycles Biscayne Tandem CB - 2017"/>
    <x v="7"/>
  </r>
  <r>
    <n v="1251"/>
    <n v="1"/>
    <n v="40"/>
    <n v="2"/>
    <n v="4999.99"/>
    <n v="0.1"/>
    <n v="9999.8799999999992"/>
    <s v="Trek Fuel EX 9.8 29 - 2017"/>
    <x v="7"/>
  </r>
  <r>
    <n v="1252"/>
    <n v="1"/>
    <n v="79"/>
    <n v="1"/>
    <n v="402.99"/>
    <n v="0.2"/>
    <n v="402.79"/>
    <s v="Sun Bicycles Boardwalk (24-inch Wheels) - 2017"/>
    <x v="7"/>
  </r>
  <r>
    <n v="1253"/>
    <n v="1"/>
    <n v="25"/>
    <n v="2"/>
    <n v="499.99"/>
    <n v="0.1"/>
    <n v="999.88"/>
    <s v="Electra Townie Original 7D - 2015/2016"/>
    <x v="7"/>
  </r>
  <r>
    <n v="1254"/>
    <n v="1"/>
    <n v="80"/>
    <n v="1"/>
    <n v="761.99"/>
    <n v="0.2"/>
    <n v="761.79"/>
    <s v="Sun Bicycles Brickell Tandem CB - 2017"/>
    <x v="7"/>
  </r>
  <r>
    <n v="1255"/>
    <n v="1"/>
    <n v="43"/>
    <n v="2"/>
    <n v="5299.99"/>
    <n v="0.2"/>
    <n v="10599.779999999999"/>
    <s v="Trek Fuel EX 9.8 27.5 Plus - 2017"/>
    <x v="7"/>
  </r>
  <r>
    <n v="1256"/>
    <n v="1"/>
    <n v="44"/>
    <n v="2"/>
    <n v="539.99"/>
    <n v="0.2"/>
    <n v="1079.78"/>
    <s v="Haro SR 1.1 - 2017"/>
    <x v="7"/>
  </r>
  <r>
    <n v="1257"/>
    <n v="1"/>
    <n v="30"/>
    <n v="2"/>
    <n v="999.99"/>
    <n v="0.05"/>
    <n v="1999.93"/>
    <s v="Surly Ice Cream Truck Frameset - 2017"/>
    <x v="7"/>
  </r>
  <r>
    <n v="1258"/>
    <n v="1"/>
    <n v="94"/>
    <n v="2"/>
    <n v="249.99"/>
    <n v="0.1"/>
    <n v="499.88"/>
    <s v="Haro Shredder Pro 20 - 2017"/>
    <x v="7"/>
  </r>
  <r>
    <n v="1259"/>
    <n v="1"/>
    <n v="60"/>
    <n v="1"/>
    <n v="1559.99"/>
    <n v="0.1"/>
    <n v="1559.89"/>
    <s v="Sun Bicycles ElectroLite - 2017"/>
    <x v="7"/>
  </r>
  <r>
    <n v="1260"/>
    <n v="1"/>
    <n v="8"/>
    <n v="1"/>
    <n v="1799.99"/>
    <n v="0.1"/>
    <n v="1799.89"/>
    <s v="Trek Remedy 29 Carbon Frameset - 2016"/>
    <x v="7"/>
  </r>
  <r>
    <n v="1261"/>
    <n v="1"/>
    <n v="73"/>
    <n v="1"/>
    <n v="749.99"/>
    <n v="0.2"/>
    <n v="749.79"/>
    <s v="Sun Bicycles Brickell Tandem 7 - 2017"/>
    <x v="7"/>
  </r>
  <r>
    <n v="1262"/>
    <n v="1"/>
    <n v="37"/>
    <n v="1"/>
    <n v="379.99"/>
    <n v="7.0000000000000007E-2"/>
    <n v="379.92"/>
    <s v="Haro Flightline One ST - 2017"/>
    <x v="7"/>
  </r>
  <r>
    <n v="1263"/>
    <n v="1"/>
    <n v="45"/>
    <n v="1"/>
    <n v="869.99"/>
    <n v="0.2"/>
    <n v="869.79"/>
    <s v="Haro SR 1.2 - 2017"/>
    <x v="7"/>
  </r>
  <r>
    <n v="1264"/>
    <n v="1"/>
    <n v="101"/>
    <n v="1"/>
    <n v="339.99"/>
    <n v="7.0000000000000007E-2"/>
    <n v="339.92"/>
    <s v="Electra Townie 7D (20-inch) - Boys' - 2017"/>
    <x v="7"/>
  </r>
  <r>
    <n v="1265"/>
    <n v="1"/>
    <n v="41"/>
    <n v="2"/>
    <n v="1469.99"/>
    <n v="0.1"/>
    <n v="2939.88"/>
    <s v="Haro Shift R3 - 2017"/>
    <x v="7"/>
  </r>
  <r>
    <n v="1266"/>
    <n v="1"/>
    <n v="90"/>
    <n v="1"/>
    <n v="209.99"/>
    <n v="0.2"/>
    <n v="209.79000000000002"/>
    <s v="Trek Precaliber 16 Girls - 2017"/>
    <x v="7"/>
  </r>
  <r>
    <n v="1267"/>
    <n v="1"/>
    <n v="45"/>
    <n v="1"/>
    <n v="869.99"/>
    <n v="0.1"/>
    <n v="869.89"/>
    <s v="Haro SR 1.2 - 2017"/>
    <x v="7"/>
  </r>
  <r>
    <n v="1268"/>
    <n v="1"/>
    <n v="68"/>
    <n v="2"/>
    <n v="449.99"/>
    <n v="7.0000000000000007E-2"/>
    <n v="899.91"/>
    <s v="Sun Bicycles Cruz 3 - 2017"/>
    <x v="7"/>
  </r>
  <r>
    <n v="1269"/>
    <n v="1"/>
    <n v="4"/>
    <n v="2"/>
    <n v="2899.99"/>
    <n v="0.2"/>
    <n v="5799.78"/>
    <s v="Trek Fuel EX 8 29 - 2016"/>
    <x v="7"/>
  </r>
  <r>
    <n v="1270"/>
    <n v="1"/>
    <n v="54"/>
    <n v="1"/>
    <n v="3199.99"/>
    <n v="0.2"/>
    <n v="3199.79"/>
    <s v="Trek Domane SL Disc Frameset - 2017"/>
    <x v="7"/>
  </r>
  <r>
    <n v="1271"/>
    <n v="1"/>
    <n v="25"/>
    <n v="2"/>
    <n v="499.99"/>
    <n v="0.1"/>
    <n v="999.88"/>
    <s v="Electra Townie Original 7D - 2015/2016"/>
    <x v="7"/>
  </r>
  <r>
    <n v="1272"/>
    <n v="1"/>
    <n v="16"/>
    <n v="2"/>
    <n v="599.99"/>
    <n v="0.2"/>
    <n v="1199.78"/>
    <s v="Electra Townie Original 7D EQ - 2016"/>
    <x v="7"/>
  </r>
  <r>
    <n v="1273"/>
    <n v="1"/>
    <n v="95"/>
    <n v="2"/>
    <n v="299.99"/>
    <n v="7.0000000000000007E-2"/>
    <n v="599.91"/>
    <s v="Electra Girl's Hawaii 1 16&quot; - 2017"/>
    <x v="7"/>
  </r>
  <r>
    <n v="1274"/>
    <n v="1"/>
    <n v="81"/>
    <n v="1"/>
    <n v="1099.99"/>
    <n v="0.1"/>
    <n v="1099.8900000000001"/>
    <s v="Electra Amsterdam Fashion 7i Ladies' - 2017"/>
    <x v="7"/>
  </r>
  <r>
    <n v="1275"/>
    <n v="1"/>
    <n v="58"/>
    <n v="1"/>
    <n v="4999.99"/>
    <n v="7.0000000000000007E-2"/>
    <n v="4999.92"/>
    <s v="Trek Madone 9.2 - 2017"/>
    <x v="7"/>
  </r>
  <r>
    <n v="1276"/>
    <n v="1"/>
    <n v="18"/>
    <n v="2"/>
    <n v="449"/>
    <n v="0.2"/>
    <n v="897.8"/>
    <s v="Pure Cycles Western 3-Speed - Women's - 2015/2016"/>
    <x v="7"/>
  </r>
  <r>
    <n v="1277"/>
    <n v="1"/>
    <n v="56"/>
    <n v="2"/>
    <n v="5499.99"/>
    <n v="0.2"/>
    <n v="10999.779999999999"/>
    <s v="Trek Domane SLR 6 Disc - 2017"/>
    <x v="7"/>
  </r>
  <r>
    <n v="1278"/>
    <n v="1"/>
    <n v="103"/>
    <n v="2"/>
    <n v="551.99"/>
    <n v="0.1"/>
    <n v="1103.8800000000001"/>
    <s v="Sun Bicycles Streamway 3 - 2017"/>
    <x v="7"/>
  </r>
  <r>
    <n v="1279"/>
    <n v="1"/>
    <n v="9"/>
    <n v="2"/>
    <n v="2999.99"/>
    <n v="0.05"/>
    <n v="5999.9299999999994"/>
    <s v="Trek Conduit+ - 2016"/>
    <x v="7"/>
  </r>
  <r>
    <n v="1280"/>
    <n v="1"/>
    <n v="72"/>
    <n v="2"/>
    <n v="619.99"/>
    <n v="7.0000000000000007E-2"/>
    <n v="1239.9100000000001"/>
    <s v="Sun Bicycles Biscayne Tandem 7 - 2017"/>
    <x v="7"/>
  </r>
  <r>
    <n v="1281"/>
    <n v="1"/>
    <n v="36"/>
    <n v="1"/>
    <n v="832.99"/>
    <n v="0.05"/>
    <n v="832.94"/>
    <s v="Surly Troll Frameset - 2017"/>
    <x v="7"/>
  </r>
  <r>
    <n v="1282"/>
    <n v="1"/>
    <n v="111"/>
    <n v="1"/>
    <n v="470.99"/>
    <n v="0.05"/>
    <n v="470.94"/>
    <s v="Sun Bicycles Drifter 7 - Women's - 2017"/>
    <x v="7"/>
  </r>
  <r>
    <n v="1283"/>
    <n v="1"/>
    <n v="61"/>
    <n v="2"/>
    <n v="4999.99"/>
    <n v="0.05"/>
    <n v="9999.93"/>
    <s v="Trek Powerfly 8 FS Plus - 2017"/>
    <x v="7"/>
  </r>
  <r>
    <n v="1284"/>
    <n v="1"/>
    <n v="101"/>
    <n v="1"/>
    <n v="339.99"/>
    <n v="7.0000000000000007E-2"/>
    <n v="339.92"/>
    <s v="Electra Townie 7D (20-inch) - Boys' - 2017"/>
    <x v="7"/>
  </r>
  <r>
    <n v="1285"/>
    <n v="1"/>
    <n v="78"/>
    <n v="2"/>
    <n v="647.99"/>
    <n v="7.0000000000000007E-2"/>
    <n v="1295.9100000000001"/>
    <s v="Sun Bicycles Biscayne Tandem CB - 2017"/>
    <x v="7"/>
  </r>
  <r>
    <n v="1286"/>
    <n v="1"/>
    <n v="109"/>
    <n v="2"/>
    <n v="416.99"/>
    <n v="0.2"/>
    <n v="833.78"/>
    <s v="Sun Bicycles Cruz 7 - Women's - 2017"/>
    <x v="7"/>
  </r>
  <r>
    <n v="1287"/>
    <n v="1"/>
    <n v="27"/>
    <n v="2"/>
    <n v="999.99"/>
    <n v="0.2"/>
    <n v="1999.78"/>
    <s v="Surly Big Dummy Frameset - 2017"/>
    <x v="7"/>
  </r>
  <r>
    <n v="1288"/>
    <n v="1"/>
    <n v="73"/>
    <n v="1"/>
    <n v="749.99"/>
    <n v="0.2"/>
    <n v="749.79"/>
    <s v="Sun Bicycles Brickell Tandem 7 - 2017"/>
    <x v="7"/>
  </r>
  <r>
    <n v="1289"/>
    <n v="1"/>
    <n v="89"/>
    <n v="1"/>
    <n v="209.99"/>
    <n v="0.05"/>
    <n v="209.94"/>
    <s v="Trek Precaliber 16 Boys - 2017"/>
    <x v="7"/>
  </r>
  <r>
    <n v="1290"/>
    <n v="1"/>
    <n v="75"/>
    <n v="2"/>
    <n v="599.99"/>
    <n v="0.05"/>
    <n v="1199.93"/>
    <s v="Electra Cruiser Lux Fat Tire 1 Ladies - 2017"/>
    <x v="7"/>
  </r>
  <r>
    <n v="1291"/>
    <n v="1"/>
    <n v="57"/>
    <n v="1"/>
    <n v="1999.99"/>
    <n v="0.1"/>
    <n v="1999.89"/>
    <s v="Trek Emonda S 5 - 2017"/>
    <x v="7"/>
  </r>
  <r>
    <n v="1292"/>
    <n v="1"/>
    <n v="70"/>
    <n v="1"/>
    <n v="659.99"/>
    <n v="7.0000000000000007E-2"/>
    <n v="659.92"/>
    <s v="Electra Amsterdam Original 3i - 2015/2017"/>
    <x v="7"/>
  </r>
  <r>
    <n v="1293"/>
    <n v="1"/>
    <n v="88"/>
    <n v="2"/>
    <n v="189.99"/>
    <n v="0.1"/>
    <n v="379.88"/>
    <s v="Trek Precaliber 12 Girls - 2017"/>
    <x v="7"/>
  </r>
  <r>
    <n v="1294"/>
    <n v="1"/>
    <n v="95"/>
    <n v="2"/>
    <n v="299.99"/>
    <n v="0.05"/>
    <n v="599.93000000000006"/>
    <s v="Electra Girl's Hawaii 1 16&quot; - 2017"/>
    <x v="7"/>
  </r>
  <r>
    <n v="1295"/>
    <n v="1"/>
    <n v="5"/>
    <n v="2"/>
    <n v="1320.99"/>
    <n v="0.2"/>
    <n v="2641.78"/>
    <s v="Heller Shagamaw Frame - 2016"/>
    <x v="7"/>
  </r>
  <r>
    <n v="1296"/>
    <n v="1"/>
    <n v="25"/>
    <n v="2"/>
    <n v="499.99"/>
    <n v="0.05"/>
    <n v="999.93000000000006"/>
    <s v="Electra Townie Original 7D - 2015/2016"/>
    <x v="7"/>
  </r>
  <r>
    <n v="1297"/>
    <n v="1"/>
    <n v="104"/>
    <n v="2"/>
    <n v="481.99"/>
    <n v="7.0000000000000007E-2"/>
    <n v="963.91"/>
    <s v="Sun Bicycles Streamway - 2017"/>
    <x v="7"/>
  </r>
  <r>
    <n v="1298"/>
    <n v="1"/>
    <n v="59"/>
    <n v="1"/>
    <n v="2599.9899999999998"/>
    <n v="0.05"/>
    <n v="2599.9399999999996"/>
    <s v="Trek Domane S 5 Disc - 2017"/>
    <x v="7"/>
  </r>
  <r>
    <n v="1299"/>
    <n v="1"/>
    <n v="14"/>
    <n v="2"/>
    <n v="269.99"/>
    <n v="0.1"/>
    <n v="539.88"/>
    <s v="Electra Girl's Hawaii 1 (16-inch) - 2015/2016"/>
    <x v="7"/>
  </r>
  <r>
    <n v="1300"/>
    <n v="1"/>
    <n v="101"/>
    <n v="2"/>
    <n v="339.99"/>
    <n v="7.0000000000000007E-2"/>
    <n v="679.91"/>
    <s v="Electra Townie 7D (20-inch) - Boys' - 2017"/>
    <x v="7"/>
  </r>
  <r>
    <n v="1301"/>
    <n v="1"/>
    <n v="45"/>
    <n v="2"/>
    <n v="869.99"/>
    <n v="0.2"/>
    <n v="1739.78"/>
    <s v="Haro SR 1.2 - 2017"/>
    <x v="7"/>
  </r>
  <r>
    <n v="1302"/>
    <n v="1"/>
    <n v="38"/>
    <n v="1"/>
    <n v="549.99"/>
    <n v="0.05"/>
    <n v="549.94000000000005"/>
    <s v="Haro Flightline Two 26 Plus - 2017"/>
    <x v="7"/>
  </r>
  <r>
    <n v="1303"/>
    <n v="1"/>
    <n v="96"/>
    <n v="1"/>
    <n v="349.99"/>
    <n v="0.1"/>
    <n v="349.89"/>
    <s v="Electra Moto 3i (20-inch) - Boy's - 2017"/>
    <x v="7"/>
  </r>
  <r>
    <n v="1304"/>
    <n v="1"/>
    <n v="80"/>
    <n v="1"/>
    <n v="761.99"/>
    <n v="0.05"/>
    <n v="761.94"/>
    <s v="Sun Bicycles Brickell Tandem CB - 2017"/>
    <x v="7"/>
  </r>
  <r>
    <n v="1305"/>
    <n v="1"/>
    <n v="85"/>
    <n v="1"/>
    <n v="329.99"/>
    <n v="0.2"/>
    <n v="329.79"/>
    <s v="Haro Downtown 16 - 2017"/>
    <x v="7"/>
  </r>
  <r>
    <n v="1306"/>
    <n v="1"/>
    <n v="103"/>
    <n v="2"/>
    <n v="551.99"/>
    <n v="0.05"/>
    <n v="1103.93"/>
    <s v="Sun Bicycles Streamway 3 - 2017"/>
    <x v="7"/>
  </r>
  <r>
    <n v="1307"/>
    <n v="1"/>
    <n v="96"/>
    <n v="2"/>
    <n v="349.99"/>
    <n v="7.0000000000000007E-2"/>
    <n v="699.91"/>
    <s v="Electra Moto 3i (20-inch) - Boy's - 2017"/>
    <x v="7"/>
  </r>
  <r>
    <n v="1308"/>
    <n v="1"/>
    <n v="54"/>
    <n v="1"/>
    <n v="3199.99"/>
    <n v="0.05"/>
    <n v="3199.9399999999996"/>
    <s v="Trek Domane SL Disc Frameset - 2017"/>
    <x v="7"/>
  </r>
  <r>
    <n v="1309"/>
    <n v="1"/>
    <n v="65"/>
    <n v="1"/>
    <n v="346.99"/>
    <n v="0.05"/>
    <n v="346.94"/>
    <s v="Sun Bicycles Lil Bolt Type-R - 2017"/>
    <x v="7"/>
  </r>
  <r>
    <n v="1310"/>
    <n v="1"/>
    <n v="59"/>
    <n v="1"/>
    <n v="2599.9899999999998"/>
    <n v="0.2"/>
    <n v="2599.79"/>
    <s v="Trek Domane S 5 Disc - 2017"/>
    <x v="7"/>
  </r>
  <r>
    <n v="1311"/>
    <n v="1"/>
    <n v="69"/>
    <n v="1"/>
    <n v="416.99"/>
    <n v="0.1"/>
    <n v="416.89"/>
    <s v="Sun Bicycles Cruz 7 - 2017"/>
    <x v="7"/>
  </r>
  <r>
    <n v="1312"/>
    <n v="1"/>
    <n v="67"/>
    <n v="2"/>
    <n v="250.99"/>
    <n v="0.05"/>
    <n v="501.93"/>
    <s v="Sun Bicycles Revolutions 24 - Girl's - 2017"/>
    <x v="7"/>
  </r>
  <r>
    <n v="1313"/>
    <n v="1"/>
    <n v="75"/>
    <n v="1"/>
    <n v="599.99"/>
    <n v="0.2"/>
    <n v="599.79"/>
    <s v="Electra Cruiser Lux Fat Tire 1 Ladies - 2017"/>
    <x v="7"/>
  </r>
  <r>
    <n v="1314"/>
    <n v="1"/>
    <n v="52"/>
    <n v="1"/>
    <n v="875.99"/>
    <n v="7.0000000000000007E-2"/>
    <n v="875.92"/>
    <s v="Surly Steamroller - 2017"/>
    <x v="7"/>
  </r>
  <r>
    <n v="1315"/>
    <n v="1"/>
    <n v="104"/>
    <n v="2"/>
    <n v="481.99"/>
    <n v="7.0000000000000007E-2"/>
    <n v="963.91"/>
    <s v="Sun Bicycles Streamway - 2017"/>
    <x v="7"/>
  </r>
  <r>
    <n v="1316"/>
    <n v="1"/>
    <n v="76"/>
    <n v="2"/>
    <n v="299.99"/>
    <n v="0.1"/>
    <n v="599.88"/>
    <s v="Electra Girl's Hawaii 1 16&quot; - 2017"/>
    <x v="7"/>
  </r>
  <r>
    <n v="1317"/>
    <n v="1"/>
    <n v="82"/>
    <n v="1"/>
    <n v="659.99"/>
    <n v="0.1"/>
    <n v="659.89"/>
    <s v="Electra Amsterdam Original 3i Ladies' - 2017"/>
    <x v="7"/>
  </r>
  <r>
    <n v="1318"/>
    <n v="1"/>
    <n v="82"/>
    <n v="2"/>
    <n v="659.99"/>
    <n v="0.2"/>
    <n v="1319.78"/>
    <s v="Electra Amsterdam Original 3i Ladies' - 2017"/>
    <x v="7"/>
  </r>
  <r>
    <n v="1319"/>
    <n v="1"/>
    <n v="75"/>
    <n v="1"/>
    <n v="599.99"/>
    <n v="7.0000000000000007E-2"/>
    <n v="599.91999999999996"/>
    <s v="Electra Cruiser Lux Fat Tire 1 Ladies - 2017"/>
    <x v="7"/>
  </r>
  <r>
    <n v="1320"/>
    <n v="1"/>
    <n v="104"/>
    <n v="1"/>
    <n v="481.99"/>
    <n v="0.1"/>
    <n v="481.89"/>
    <s v="Sun Bicycles Streamway - 2017"/>
    <x v="7"/>
  </r>
  <r>
    <n v="1321"/>
    <n v="1"/>
    <n v="34"/>
    <n v="1"/>
    <n v="469.99"/>
    <n v="0.1"/>
    <n v="469.89"/>
    <s v="Trek Session DH 27.5 Carbon Frameset - 2017"/>
    <x v="7"/>
  </r>
  <r>
    <n v="1322"/>
    <n v="1"/>
    <n v="28"/>
    <n v="2"/>
    <n v="2499.9899999999998"/>
    <n v="0.05"/>
    <n v="4999.9299999999994"/>
    <s v="Surly Karate Monkey 27.5+ Frameset - 2017"/>
    <x v="7"/>
  </r>
  <r>
    <n v="1323"/>
    <n v="1"/>
    <n v="27"/>
    <n v="2"/>
    <n v="999.99"/>
    <n v="7.0000000000000007E-2"/>
    <n v="1999.91"/>
    <s v="Surly Big Dummy Frameset - 2017"/>
    <x v="7"/>
  </r>
  <r>
    <n v="1324"/>
    <n v="1"/>
    <n v="66"/>
    <n v="1"/>
    <n v="250.99"/>
    <n v="0.1"/>
    <n v="250.89000000000001"/>
    <s v="Sun Bicycles Revolutions 24 - 2017"/>
    <x v="7"/>
  </r>
  <r>
    <n v="1325"/>
    <n v="1"/>
    <n v="139"/>
    <n v="1"/>
    <n v="2999.99"/>
    <n v="0.05"/>
    <n v="2999.9399999999996"/>
    <s v="Trek Remedy 7 27.5 - 2018"/>
    <x v="7"/>
  </r>
  <r>
    <n v="1326"/>
    <n v="1"/>
    <n v="190"/>
    <n v="2"/>
    <n v="2799.99"/>
    <n v="7.0000000000000007E-2"/>
    <n v="5599.91"/>
    <s v="Trek Dual Sport+ - 2018"/>
    <x v="7"/>
  </r>
  <r>
    <n v="1327"/>
    <n v="1"/>
    <n v="151"/>
    <n v="2"/>
    <n v="1549.99"/>
    <n v="7.0000000000000007E-2"/>
    <n v="3099.91"/>
    <s v="Trek Domane ALR 4 Disc Women's - 2018"/>
    <x v="7"/>
  </r>
  <r>
    <n v="1328"/>
    <n v="1"/>
    <n v="241"/>
    <n v="1"/>
    <n v="749.99"/>
    <n v="7.0000000000000007E-2"/>
    <n v="749.92"/>
    <s v="Electra Townie Commute 8D - 2018"/>
    <x v="7"/>
  </r>
  <r>
    <n v="1329"/>
    <n v="1"/>
    <n v="143"/>
    <n v="1"/>
    <n v="1099.99"/>
    <n v="7.0000000000000007E-2"/>
    <n v="1099.92"/>
    <s v="Trek Domane ALR 3 - 2018"/>
    <x v="7"/>
  </r>
  <r>
    <n v="1330"/>
    <n v="1"/>
    <n v="232"/>
    <n v="1"/>
    <n v="479.99"/>
    <n v="0.2"/>
    <n v="479.79"/>
    <s v="Electra Cruiser Lux 7D Ladies' - 2018"/>
    <x v="7"/>
  </r>
  <r>
    <n v="1331"/>
    <n v="1"/>
    <n v="253"/>
    <n v="1"/>
    <n v="2599.9899999999998"/>
    <n v="0.05"/>
    <n v="2599.9399999999996"/>
    <s v="Electra Townie Go! 8i Ladies' - 2018"/>
    <x v="7"/>
  </r>
  <r>
    <n v="1332"/>
    <n v="1"/>
    <n v="296"/>
    <n v="1"/>
    <n v="369.99"/>
    <n v="0.2"/>
    <n v="369.79"/>
    <s v="Electra Treasure 3i 20&quot; - 2018"/>
    <x v="7"/>
  </r>
  <r>
    <n v="1333"/>
    <n v="1"/>
    <n v="205"/>
    <n v="2"/>
    <n v="4999.99"/>
    <n v="0.05"/>
    <n v="9999.93"/>
    <s v="Trek Super Commuter+ 8S - 2018"/>
    <x v="7"/>
  </r>
  <r>
    <n v="1334"/>
    <n v="1"/>
    <n v="203"/>
    <n v="2"/>
    <n v="4999.99"/>
    <n v="0.05"/>
    <n v="9999.93"/>
    <s v="Trek Powerfly 7 FS - 2018"/>
    <x v="7"/>
  </r>
  <r>
    <n v="1335"/>
    <n v="1"/>
    <n v="138"/>
    <n v="2"/>
    <n v="2249.9899999999998"/>
    <n v="0.05"/>
    <n v="4499.9299999999994"/>
    <s v="Trek Fuel EX 5 Plus - 2018"/>
    <x v="7"/>
  </r>
  <r>
    <n v="1336"/>
    <n v="1"/>
    <n v="29"/>
    <n v="2"/>
    <n v="999.99"/>
    <n v="0.2"/>
    <n v="1999.78"/>
    <s v="Trek X-Caliber 8 - 2017"/>
    <x v="7"/>
  </r>
  <r>
    <n v="1337"/>
    <n v="1"/>
    <n v="153"/>
    <n v="1"/>
    <n v="4999.99"/>
    <n v="0.1"/>
    <n v="4999.8899999999994"/>
    <s v="Trek Domane SL 7 Women's - 2018"/>
    <x v="7"/>
  </r>
  <r>
    <n v="1338"/>
    <n v="1"/>
    <n v="169"/>
    <n v="2"/>
    <n v="6499.99"/>
    <n v="7.0000000000000007E-2"/>
    <n v="12999.91"/>
    <s v="Trek Emonda SLR 8 - 2018"/>
    <x v="7"/>
  </r>
  <r>
    <n v="1339"/>
    <n v="1"/>
    <n v="175"/>
    <n v="1"/>
    <n v="3199.99"/>
    <n v="7.0000000000000007E-2"/>
    <n v="3199.9199999999996"/>
    <s v="Trek Domane SLR Frameset - 2018"/>
    <x v="7"/>
  </r>
  <r>
    <n v="1340"/>
    <n v="1"/>
    <n v="253"/>
    <n v="1"/>
    <n v="2599.9899999999998"/>
    <n v="0.2"/>
    <n v="2599.79"/>
    <s v="Electra Townie Go! 8i Ladies' - 2018"/>
    <x v="7"/>
  </r>
  <r>
    <n v="1341"/>
    <n v="1"/>
    <n v="215"/>
    <n v="2"/>
    <n v="749.99"/>
    <n v="7.0000000000000007E-2"/>
    <n v="1499.91"/>
    <s v="Electra Queen of Hearts 3i - 2018"/>
    <x v="7"/>
  </r>
  <r>
    <n v="1342"/>
    <n v="1"/>
    <n v="60"/>
    <n v="1"/>
    <n v="1559.99"/>
    <n v="0.05"/>
    <n v="1559.94"/>
    <s v="Sun Bicycles ElectroLite - 2017"/>
    <x v="7"/>
  </r>
  <r>
    <n v="1343"/>
    <n v="1"/>
    <n v="244"/>
    <n v="1"/>
    <n v="559.99"/>
    <n v="0.05"/>
    <n v="559.94000000000005"/>
    <s v="Electra Townie Original 21D Ladies' - 2018"/>
    <x v="7"/>
  </r>
  <r>
    <n v="1344"/>
    <n v="1"/>
    <n v="77"/>
    <n v="2"/>
    <n v="799.99"/>
    <n v="7.0000000000000007E-2"/>
    <n v="1599.91"/>
    <s v="Electra Glam Punk 3i Ladies' - 2017"/>
    <x v="7"/>
  </r>
  <r>
    <n v="1345"/>
    <n v="1"/>
    <n v="40"/>
    <n v="2"/>
    <n v="4999.99"/>
    <n v="0.2"/>
    <n v="9999.7799999999988"/>
    <s v="Trek Fuel EX 9.8 29 - 2017"/>
    <x v="7"/>
  </r>
  <r>
    <n v="1346"/>
    <n v="1"/>
    <n v="134"/>
    <n v="2"/>
    <n v="1499.99"/>
    <n v="0.05"/>
    <n v="2999.93"/>
    <s v="Trek Remedy 27.5 C Frameset - 2018"/>
    <x v="7"/>
  </r>
  <r>
    <n v="1347"/>
    <n v="1"/>
    <n v="43"/>
    <n v="2"/>
    <n v="5299.99"/>
    <n v="7.0000000000000007E-2"/>
    <n v="10599.91"/>
    <s v="Trek Fuel EX 9.8 27.5 Plus - 2017"/>
    <x v="7"/>
  </r>
  <r>
    <n v="1348"/>
    <n v="1"/>
    <n v="203"/>
    <n v="1"/>
    <n v="4999.99"/>
    <n v="0.05"/>
    <n v="4999.9399999999996"/>
    <s v="Trek Powerfly 7 FS - 2018"/>
    <x v="7"/>
  </r>
  <r>
    <n v="1349"/>
    <n v="1"/>
    <n v="138"/>
    <n v="2"/>
    <n v="2249.9899999999998"/>
    <n v="0.05"/>
    <n v="4499.9299999999994"/>
    <s v="Trek Fuel EX 5 Plus - 2018"/>
    <x v="7"/>
  </r>
  <r>
    <n v="1350"/>
    <n v="1"/>
    <n v="305"/>
    <n v="1"/>
    <n v="749.99"/>
    <n v="0.1"/>
    <n v="749.89"/>
    <s v="Electra Townie Balloon 3i EQ - 2017/2018"/>
    <x v="7"/>
  </r>
  <r>
    <n v="1351"/>
    <n v="1"/>
    <n v="297"/>
    <n v="2"/>
    <n v="279.99"/>
    <n v="0.2"/>
    <n v="559.78"/>
    <s v="Electra Under-The-Sea 1 16&quot; - 2018"/>
    <x v="7"/>
  </r>
  <r>
    <n v="1352"/>
    <n v="1"/>
    <n v="136"/>
    <n v="1"/>
    <n v="1799.99"/>
    <n v="0.2"/>
    <n v="1799.79"/>
    <s v="Trek Procaliber 6 - 2018"/>
    <x v="7"/>
  </r>
  <r>
    <n v="1353"/>
    <n v="1"/>
    <n v="107"/>
    <n v="2"/>
    <n v="416.99"/>
    <n v="0.05"/>
    <n v="833.93000000000006"/>
    <s v="Sun Bicycles Cruz 7 - 2017"/>
    <x v="7"/>
  </r>
  <r>
    <n v="1354"/>
    <n v="1"/>
    <n v="166"/>
    <n v="2"/>
    <n v="749.99"/>
    <n v="7.0000000000000007E-2"/>
    <n v="1499.91"/>
    <s v="Trek Domane AL 2 Women's - 2018"/>
    <x v="7"/>
  </r>
  <r>
    <n v="1355"/>
    <n v="1"/>
    <n v="297"/>
    <n v="1"/>
    <n v="279.99"/>
    <n v="0.1"/>
    <n v="279.89"/>
    <s v="Electra Under-The-Sea 1 16&quot; - 2018"/>
    <x v="7"/>
  </r>
  <r>
    <n v="1356"/>
    <n v="1"/>
    <n v="192"/>
    <n v="1"/>
    <n v="2599.9899999999998"/>
    <n v="0.05"/>
    <n v="2599.9399999999996"/>
    <s v="Electra Townie Go! 8i - 2017/2018"/>
    <x v="7"/>
  </r>
  <r>
    <n v="1357"/>
    <n v="1"/>
    <n v="145"/>
    <n v="2"/>
    <n v="1799.99"/>
    <n v="0.2"/>
    <n v="3599.78"/>
    <s v="Trek Domane ALR 5 Disc - 2018"/>
    <x v="7"/>
  </r>
  <r>
    <n v="1358"/>
    <n v="1"/>
    <n v="257"/>
    <n v="2"/>
    <n v="899.99"/>
    <n v="0.2"/>
    <n v="1799.78"/>
    <s v="Electra Amsterdam Fashion 3i Ladies' - 2017/2018"/>
    <x v="7"/>
  </r>
  <r>
    <n v="1359"/>
    <n v="1"/>
    <n v="282"/>
    <n v="1"/>
    <n v="279.99"/>
    <n v="0.05"/>
    <n v="279.94"/>
    <s v="Electra Cyclosaurus 1 (16-inch) - Boy's - 2018"/>
    <x v="7"/>
  </r>
  <r>
    <n v="1360"/>
    <n v="1"/>
    <n v="31"/>
    <n v="1"/>
    <n v="1632.99"/>
    <n v="0.05"/>
    <n v="1632.94"/>
    <s v="Surly Wednesday - 2017"/>
    <x v="7"/>
  </r>
  <r>
    <n v="1361"/>
    <n v="1"/>
    <n v="307"/>
    <n v="2"/>
    <n v="749.99"/>
    <n v="7.0000000000000007E-2"/>
    <n v="1499.91"/>
    <s v="Electra Townie Balloon 8D EQ - 2016/2017/2018"/>
    <x v="7"/>
  </r>
  <r>
    <n v="1362"/>
    <n v="1"/>
    <n v="27"/>
    <n v="2"/>
    <n v="999.99"/>
    <n v="0.2"/>
    <n v="1999.78"/>
    <s v="Surly Big Dummy Frameset - 2017"/>
    <x v="7"/>
  </r>
  <r>
    <n v="1363"/>
    <n v="1"/>
    <n v="66"/>
    <n v="2"/>
    <n v="250.99"/>
    <n v="0.1"/>
    <n v="501.88"/>
    <s v="Sun Bicycles Revolutions 24 - 2017"/>
    <x v="7"/>
  </r>
  <r>
    <n v="1364"/>
    <n v="1"/>
    <n v="78"/>
    <n v="1"/>
    <n v="647.99"/>
    <n v="7.0000000000000007E-2"/>
    <n v="647.91999999999996"/>
    <s v="Sun Bicycles Biscayne Tandem CB - 2017"/>
    <x v="7"/>
  </r>
  <r>
    <n v="1365"/>
    <n v="1"/>
    <n v="144"/>
    <n v="1"/>
    <n v="1549.99"/>
    <n v="7.0000000000000007E-2"/>
    <n v="1549.92"/>
    <s v="Trek Domane ALR 4 Disc - 2018"/>
    <x v="7"/>
  </r>
  <r>
    <n v="1366"/>
    <n v="1"/>
    <n v="115"/>
    <n v="1"/>
    <n v="3199.99"/>
    <n v="0.1"/>
    <n v="3199.89"/>
    <s v="Trek Fuel EX 8 29 - 2018"/>
    <x v="7"/>
  </r>
  <r>
    <n v="1367"/>
    <n v="1"/>
    <n v="132"/>
    <n v="1"/>
    <n v="1499.99"/>
    <n v="0.1"/>
    <n v="1499.89"/>
    <s v="Trek Procal AL Frameset - 2018"/>
    <x v="7"/>
  </r>
  <r>
    <n v="1368"/>
    <n v="1"/>
    <n v="66"/>
    <n v="1"/>
    <n v="250.99"/>
    <n v="0.1"/>
    <n v="250.89000000000001"/>
    <s v="Sun Bicycles Revolutions 24 - 2017"/>
    <x v="7"/>
  </r>
  <r>
    <n v="1369"/>
    <n v="1"/>
    <n v="213"/>
    <n v="2"/>
    <n v="269.99"/>
    <n v="0.05"/>
    <n v="539.93000000000006"/>
    <s v="Electra Cruiser 1 - 2016/2017/2018"/>
    <x v="7"/>
  </r>
  <r>
    <n v="1370"/>
    <n v="1"/>
    <n v="7"/>
    <n v="1"/>
    <n v="3999.99"/>
    <n v="7.0000000000000007E-2"/>
    <n v="3999.9199999999996"/>
    <s v="Trek Slash 8 27.5 - 2016"/>
    <x v="7"/>
  </r>
  <r>
    <n v="1371"/>
    <n v="1"/>
    <n v="223"/>
    <n v="2"/>
    <n v="529.99"/>
    <n v="7.0000000000000007E-2"/>
    <n v="1059.9100000000001"/>
    <s v="Electra Cruiser Lux 3i - 2018"/>
    <x v="7"/>
  </r>
  <r>
    <n v="1372"/>
    <n v="1"/>
    <n v="307"/>
    <n v="1"/>
    <n v="749.99"/>
    <n v="7.0000000000000007E-2"/>
    <n v="749.92"/>
    <s v="Electra Townie Balloon 8D EQ - 2016/2017/2018"/>
    <x v="7"/>
  </r>
  <r>
    <n v="1373"/>
    <n v="1"/>
    <n v="63"/>
    <n v="1"/>
    <n v="3499.99"/>
    <n v="0.1"/>
    <n v="3499.89"/>
    <s v="Trek Boone Race Shop Limited - 2017"/>
    <x v="7"/>
  </r>
  <r>
    <n v="1374"/>
    <n v="1"/>
    <n v="181"/>
    <n v="2"/>
    <n v="2199.9899999999998"/>
    <n v="0.05"/>
    <n v="4399.9299999999994"/>
    <s v="Trek Domane SL 5 - 2018"/>
    <x v="7"/>
  </r>
  <r>
    <n v="1375"/>
    <n v="1"/>
    <n v="147"/>
    <n v="2"/>
    <n v="1799.99"/>
    <n v="0.05"/>
    <n v="3599.93"/>
    <s v="Trek Domane ALR 5 Gravel - 2018"/>
    <x v="7"/>
  </r>
  <r>
    <n v="1376"/>
    <n v="1"/>
    <n v="5"/>
    <n v="1"/>
    <n v="1320.99"/>
    <n v="7.0000000000000007E-2"/>
    <n v="1320.92"/>
    <s v="Heller Shagamaw Frame - 2016"/>
    <x v="7"/>
  </r>
  <r>
    <n v="1377"/>
    <n v="1"/>
    <n v="153"/>
    <n v="2"/>
    <n v="4999.99"/>
    <n v="0.05"/>
    <n v="9999.93"/>
    <s v="Trek Domane SL 7 Women's - 2018"/>
    <x v="7"/>
  </r>
  <r>
    <n v="1378"/>
    <n v="1"/>
    <n v="96"/>
    <n v="2"/>
    <n v="349.99"/>
    <n v="7.0000000000000007E-2"/>
    <n v="699.91"/>
    <s v="Electra Moto 3i (20-inch) - Boy's - 2017"/>
    <x v="7"/>
  </r>
  <r>
    <n v="1379"/>
    <n v="1"/>
    <n v="15"/>
    <n v="1"/>
    <n v="529.99"/>
    <n v="0.1"/>
    <n v="529.89"/>
    <s v="Electra Moto 1 - 2016"/>
    <x v="7"/>
  </r>
  <r>
    <n v="1380"/>
    <n v="1"/>
    <n v="255"/>
    <n v="2"/>
    <n v="899.99"/>
    <n v="0.1"/>
    <n v="1799.88"/>
    <s v="Electra Townie Balloon 7i EQ Ladies' - 2017/2018"/>
    <x v="7"/>
  </r>
  <r>
    <n v="1381"/>
    <n v="1"/>
    <n v="274"/>
    <n v="2"/>
    <n v="229.99"/>
    <n v="0.2"/>
    <n v="459.78000000000003"/>
    <s v="Trek Precaliber 20 Boy's - 2018"/>
    <x v="7"/>
  </r>
  <r>
    <n v="1382"/>
    <n v="1"/>
    <n v="232"/>
    <n v="1"/>
    <n v="479.99"/>
    <n v="0.2"/>
    <n v="479.79"/>
    <s v="Electra Cruiser Lux 7D Ladies' - 2018"/>
    <x v="7"/>
  </r>
  <r>
    <n v="1383"/>
    <n v="1"/>
    <n v="188"/>
    <n v="2"/>
    <n v="3499.99"/>
    <n v="0.2"/>
    <n v="6999.78"/>
    <s v="Trek XM700+ Lowstep - 2018"/>
    <x v="7"/>
  </r>
  <r>
    <n v="1384"/>
    <n v="1"/>
    <n v="32"/>
    <n v="1"/>
    <n v="469.99"/>
    <n v="7.0000000000000007E-2"/>
    <n v="469.92"/>
    <s v="Trek Farley Alloy Frameset - 2017"/>
    <x v="7"/>
  </r>
  <r>
    <n v="1385"/>
    <n v="1"/>
    <n v="24"/>
    <n v="2"/>
    <n v="549.99"/>
    <n v="0.05"/>
    <n v="1099.93"/>
    <s v="Electra Townie Original 21D - 2016"/>
    <x v="7"/>
  </r>
  <r>
    <n v="1386"/>
    <n v="1"/>
    <n v="292"/>
    <n v="1"/>
    <n v="369.99"/>
    <n v="0.2"/>
    <n v="369.79"/>
    <s v="Electra Sweet Ride 3i (20-inch) - Girls' - 2018"/>
    <x v="7"/>
  </r>
  <r>
    <n v="1387"/>
    <n v="1"/>
    <n v="106"/>
    <n v="1"/>
    <n v="449.99"/>
    <n v="0.1"/>
    <n v="449.89"/>
    <s v="Sun Bicycles Cruz 3 - 2017"/>
    <x v="7"/>
  </r>
  <r>
    <n v="1388"/>
    <n v="1"/>
    <n v="251"/>
    <n v="1"/>
    <n v="2999.99"/>
    <n v="0.1"/>
    <n v="2999.89"/>
    <s v="Electra Townie Commute Go! - 2018"/>
    <x v="7"/>
  </r>
  <r>
    <n v="1389"/>
    <n v="1"/>
    <n v="85"/>
    <n v="2"/>
    <n v="329.99"/>
    <n v="0.1"/>
    <n v="659.88"/>
    <s v="Haro Downtown 16 - 2017"/>
    <x v="7"/>
  </r>
  <r>
    <n v="1390"/>
    <n v="1"/>
    <n v="41"/>
    <n v="2"/>
    <n v="1469.99"/>
    <n v="0.05"/>
    <n v="2939.93"/>
    <s v="Haro Shift R3 - 2017"/>
    <x v="7"/>
  </r>
  <r>
    <n v="1391"/>
    <n v="1"/>
    <n v="223"/>
    <n v="2"/>
    <n v="529.99"/>
    <n v="7.0000000000000007E-2"/>
    <n v="1059.9100000000001"/>
    <s v="Electra Cruiser Lux 3i - 2018"/>
    <x v="7"/>
  </r>
  <r>
    <n v="1392"/>
    <n v="1"/>
    <n v="87"/>
    <n v="2"/>
    <n v="189.99"/>
    <n v="0.2"/>
    <n v="379.78000000000003"/>
    <s v="Trek Precaliber 12 Boys - 2017"/>
    <x v="7"/>
  </r>
  <r>
    <n v="1393"/>
    <n v="1"/>
    <n v="92"/>
    <n v="1"/>
    <n v="209.99"/>
    <n v="7.0000000000000007E-2"/>
    <n v="209.92000000000002"/>
    <s v="Haro Shredder 20 - 2017"/>
    <x v="7"/>
  </r>
  <r>
    <n v="1394"/>
    <n v="1"/>
    <n v="165"/>
    <n v="2"/>
    <n v="2499.9899999999998"/>
    <n v="0.05"/>
    <n v="4999.9299999999994"/>
    <s v="Trek 1120 - 2018"/>
    <x v="7"/>
  </r>
  <r>
    <n v="1395"/>
    <n v="1"/>
    <n v="204"/>
    <n v="1"/>
    <n v="3599.99"/>
    <n v="0.2"/>
    <n v="3599.79"/>
    <s v="Trek Super Commuter+ 7 - 2018"/>
    <x v="7"/>
  </r>
  <r>
    <n v="1396"/>
    <n v="1"/>
    <n v="57"/>
    <n v="1"/>
    <n v="1999.99"/>
    <n v="0.05"/>
    <n v="1999.94"/>
    <s v="Trek Emonda S 5 - 2017"/>
    <x v="7"/>
  </r>
  <r>
    <n v="1397"/>
    <n v="1"/>
    <n v="127"/>
    <n v="2"/>
    <n v="469.99"/>
    <n v="0.1"/>
    <n v="939.88"/>
    <s v="Surly Pack Rat Frameset - 2018"/>
    <x v="7"/>
  </r>
  <r>
    <n v="1398"/>
    <n v="1"/>
    <n v="69"/>
    <n v="2"/>
    <n v="416.99"/>
    <n v="0.05"/>
    <n v="833.93000000000006"/>
    <s v="Sun Bicycles Cruz 7 - 2017"/>
    <x v="7"/>
  </r>
  <r>
    <n v="1399"/>
    <n v="1"/>
    <n v="210"/>
    <n v="2"/>
    <n v="1549"/>
    <n v="0.2"/>
    <n v="3097.8"/>
    <s v="Surly Straggler - 2018"/>
    <x v="7"/>
  </r>
  <r>
    <n v="1400"/>
    <n v="1"/>
    <n v="24"/>
    <n v="2"/>
    <n v="549.99"/>
    <n v="0.2"/>
    <n v="1099.78"/>
    <s v="Electra Townie Original 21D - 2016"/>
    <x v="7"/>
  </r>
  <r>
    <n v="1401"/>
    <n v="1"/>
    <n v="112"/>
    <n v="1"/>
    <n v="379.99"/>
    <n v="7.0000000000000007E-2"/>
    <n v="379.92"/>
    <s v="Trek 820 - 2018"/>
    <x v="7"/>
  </r>
  <r>
    <n v="1402"/>
    <n v="1"/>
    <n v="189"/>
    <n v="2"/>
    <n v="2799.99"/>
    <n v="0.2"/>
    <n v="5599.78"/>
    <s v="Trek Lift+ Lowstep - 2018"/>
    <x v="7"/>
  </r>
  <r>
    <n v="1403"/>
    <n v="1"/>
    <n v="93"/>
    <n v="2"/>
    <n v="209.99"/>
    <n v="0.1"/>
    <n v="419.88"/>
    <s v="Haro Shredder 20 Girls - 2017"/>
    <x v="7"/>
  </r>
  <r>
    <n v="1404"/>
    <n v="1"/>
    <n v="112"/>
    <n v="2"/>
    <n v="379.99"/>
    <n v="0.05"/>
    <n v="759.93000000000006"/>
    <s v="Trek 820 - 2018"/>
    <x v="7"/>
  </r>
  <r>
    <n v="1405"/>
    <n v="1"/>
    <n v="162"/>
    <n v="2"/>
    <n v="2999.99"/>
    <n v="0.1"/>
    <n v="5999.8799999999992"/>
    <s v="Trek Emonda SL 6 Disc - 2018"/>
    <x v="7"/>
  </r>
  <r>
    <n v="1406"/>
    <n v="1"/>
    <n v="230"/>
    <n v="2"/>
    <n v="429.99"/>
    <n v="0.05"/>
    <n v="859.93000000000006"/>
    <s v="Electra Cruiser Lux 1 Ladies' - 2018"/>
    <x v="7"/>
  </r>
  <r>
    <n v="1407"/>
    <n v="1"/>
    <n v="300"/>
    <n v="1"/>
    <n v="799.99"/>
    <n v="0.05"/>
    <n v="799.94"/>
    <s v="Electra Townie Balloon 3i EQ Ladies' - 2018"/>
    <x v="7"/>
  </r>
  <r>
    <n v="1408"/>
    <n v="1"/>
    <n v="23"/>
    <n v="2"/>
    <n v="299.99"/>
    <n v="0.2"/>
    <n v="599.78"/>
    <s v="Electra Girl's Hawaii 1 (20-inch) - 2015/2016"/>
    <x v="7"/>
  </r>
  <r>
    <n v="1409"/>
    <n v="1"/>
    <n v="301"/>
    <n v="2"/>
    <n v="899.99"/>
    <n v="7.0000000000000007E-2"/>
    <n v="1799.91"/>
    <s v="Electra Townie Balloon 7i EQ - 2018"/>
    <x v="7"/>
  </r>
  <r>
    <n v="1410"/>
    <n v="1"/>
    <n v="205"/>
    <n v="2"/>
    <n v="4999.99"/>
    <n v="0.1"/>
    <n v="9999.8799999999992"/>
    <s v="Trek Super Commuter+ 8S - 2018"/>
    <x v="7"/>
  </r>
  <r>
    <n v="1411"/>
    <n v="1"/>
    <n v="9"/>
    <n v="1"/>
    <n v="2999.99"/>
    <n v="0.1"/>
    <n v="2999.89"/>
    <s v="Trek Conduit+ - 2016"/>
    <x v="7"/>
  </r>
  <r>
    <n v="1412"/>
    <n v="1"/>
    <n v="180"/>
    <n v="2"/>
    <n v="919.99"/>
    <n v="7.0000000000000007E-2"/>
    <n v="1839.91"/>
    <s v="Trek Domane AL 3 Women's - 2018"/>
    <x v="7"/>
  </r>
  <r>
    <n v="1413"/>
    <n v="1"/>
    <n v="297"/>
    <n v="2"/>
    <n v="279.99"/>
    <n v="0.05"/>
    <n v="559.93000000000006"/>
    <s v="Electra Under-The-Sea 1 16&quot; - 2018"/>
    <x v="7"/>
  </r>
  <r>
    <n v="1414"/>
    <n v="1"/>
    <n v="162"/>
    <n v="2"/>
    <n v="2999.99"/>
    <n v="0.1"/>
    <n v="5999.8799999999992"/>
    <s v="Trek Emonda SL 6 Disc - 2018"/>
    <x v="7"/>
  </r>
  <r>
    <n v="1415"/>
    <n v="1"/>
    <n v="31"/>
    <n v="2"/>
    <n v="1632.99"/>
    <n v="7.0000000000000007E-2"/>
    <n v="3265.91"/>
    <s v="Surly Wednesday - 2017"/>
    <x v="7"/>
  </r>
  <r>
    <n v="1416"/>
    <n v="1"/>
    <n v="194"/>
    <n v="1"/>
    <n v="3499.99"/>
    <n v="0.2"/>
    <n v="3499.79"/>
    <s v="Trek XM700+ - 2018"/>
    <x v="7"/>
  </r>
  <r>
    <n v="1417"/>
    <n v="1"/>
    <n v="219"/>
    <n v="2"/>
    <n v="639.99"/>
    <n v="0.2"/>
    <n v="1279.78"/>
    <s v="Electra Moto 3i - 2018"/>
    <x v="7"/>
  </r>
  <r>
    <n v="1418"/>
    <n v="1"/>
    <n v="120"/>
    <n v="2"/>
    <n v="2499.9899999999998"/>
    <n v="0.2"/>
    <n v="4999.78"/>
    <s v="Trek Fuel EX 7 29 - 2018"/>
    <x v="7"/>
  </r>
  <r>
    <n v="1419"/>
    <n v="1"/>
    <n v="124"/>
    <n v="1"/>
    <n v="1499"/>
    <n v="7.0000000000000007E-2"/>
    <n v="1498.93"/>
    <s v="Surly Krampus - 2018"/>
    <x v="7"/>
  </r>
  <r>
    <n v="1420"/>
    <n v="1"/>
    <n v="197"/>
    <n v="1"/>
    <n v="2299.9899999999998"/>
    <n v="0.2"/>
    <n v="2299.79"/>
    <s v="Trek Verve+ Lowstep - 2018"/>
    <x v="7"/>
  </r>
  <r>
    <n v="1421"/>
    <n v="1"/>
    <n v="298"/>
    <n v="2"/>
    <n v="279.99"/>
    <n v="0.05"/>
    <n v="559.93000000000006"/>
    <s v="Electra Water Lily 1 (16-inch) - Girl's - 2018"/>
    <x v="7"/>
  </r>
  <r>
    <n v="1422"/>
    <n v="1"/>
    <n v="80"/>
    <n v="2"/>
    <n v="761.99"/>
    <n v="7.0000000000000007E-2"/>
    <n v="1523.91"/>
    <s v="Sun Bicycles Brickell Tandem CB - 2017"/>
    <x v="7"/>
  </r>
  <r>
    <n v="1423"/>
    <n v="1"/>
    <n v="249"/>
    <n v="1"/>
    <n v="749.99"/>
    <n v="0.2"/>
    <n v="749.79"/>
    <s v="Electra White Water 3i - 2018"/>
    <x v="7"/>
  </r>
  <r>
    <n v="1424"/>
    <n v="1"/>
    <n v="140"/>
    <n v="2"/>
    <n v="4999.99"/>
    <n v="0.2"/>
    <n v="9999.7799999999988"/>
    <s v="Trek Remedy 9.8 27.5 - 2018"/>
    <x v="7"/>
  </r>
  <r>
    <n v="1425"/>
    <n v="1"/>
    <n v="227"/>
    <n v="2"/>
    <n v="319.99"/>
    <n v="0.05"/>
    <n v="639.93000000000006"/>
    <s v="Electra Cruiser 7D (24-Inch) Ladies' - 2016/2018"/>
    <x v="7"/>
  </r>
  <r>
    <n v="1426"/>
    <n v="1"/>
    <n v="215"/>
    <n v="1"/>
    <n v="749.99"/>
    <n v="7.0000000000000007E-2"/>
    <n v="749.92"/>
    <s v="Electra Queen of Hearts 3i - 2018"/>
    <x v="7"/>
  </r>
  <r>
    <n v="1427"/>
    <n v="1"/>
    <n v="230"/>
    <n v="2"/>
    <n v="429.99"/>
    <n v="7.0000000000000007E-2"/>
    <n v="859.91"/>
    <s v="Electra Cruiser Lux 1 Ladies' - 2018"/>
    <x v="7"/>
  </r>
  <r>
    <n v="1428"/>
    <n v="1"/>
    <n v="216"/>
    <n v="2"/>
    <n v="899.99"/>
    <n v="0.2"/>
    <n v="1799.78"/>
    <s v="Electra Super Moto 8i - 2018"/>
    <x v="7"/>
  </r>
  <r>
    <n v="1429"/>
    <n v="1"/>
    <n v="70"/>
    <n v="2"/>
    <n v="659.99"/>
    <n v="0.2"/>
    <n v="1319.78"/>
    <s v="Electra Amsterdam Original 3i - 2015/2017"/>
    <x v="7"/>
  </r>
  <r>
    <n v="1430"/>
    <n v="1"/>
    <n v="221"/>
    <n v="1"/>
    <n v="319.99"/>
    <n v="0.05"/>
    <n v="319.94"/>
    <s v="Electra Cruiser 7D Ladies' - 2016/2018"/>
    <x v="7"/>
  </r>
  <r>
    <n v="1431"/>
    <n v="1"/>
    <n v="207"/>
    <n v="1"/>
    <n v="3999.99"/>
    <n v="0.1"/>
    <n v="3999.89"/>
    <s v="Trek Boone 7 Disc - 2018"/>
    <x v="7"/>
  </r>
  <r>
    <n v="1432"/>
    <n v="1"/>
    <n v="161"/>
    <n v="1"/>
    <n v="1899"/>
    <n v="0.2"/>
    <n v="1898.8"/>
    <s v="Surly ECR - 2018"/>
    <x v="7"/>
  </r>
  <r>
    <n v="1433"/>
    <n v="1"/>
    <n v="264"/>
    <n v="1"/>
    <n v="249.99"/>
    <n v="7.0000000000000007E-2"/>
    <n v="249.92000000000002"/>
    <s v="Strider Sport 16 - 2018"/>
    <x v="7"/>
  </r>
  <r>
    <n v="1434"/>
    <n v="1"/>
    <n v="229"/>
    <n v="2"/>
    <n v="429.99"/>
    <n v="0.2"/>
    <n v="859.78"/>
    <s v="Electra Cruiser Lux 1 - 2016/2018"/>
    <x v="7"/>
  </r>
  <r>
    <n v="1435"/>
    <n v="1"/>
    <n v="141"/>
    <n v="2"/>
    <n v="1599.99"/>
    <n v="7.0000000000000007E-2"/>
    <n v="3199.91"/>
    <s v="Trek Stache 5 - 2018"/>
    <x v="7"/>
  </r>
  <r>
    <n v="1436"/>
    <n v="1"/>
    <n v="244"/>
    <n v="2"/>
    <n v="559.99"/>
    <n v="7.0000000000000007E-2"/>
    <n v="1119.9100000000001"/>
    <s v="Electra Townie Original 21D Ladies' - 2018"/>
    <x v="7"/>
  </r>
  <r>
    <n v="1437"/>
    <n v="1"/>
    <n v="141"/>
    <n v="2"/>
    <n v="1599.99"/>
    <n v="0.05"/>
    <n v="3199.93"/>
    <s v="Trek Stache 5 - 2018"/>
    <x v="7"/>
  </r>
  <r>
    <n v="1438"/>
    <n v="1"/>
    <n v="225"/>
    <n v="1"/>
    <n v="959.99"/>
    <n v="0.2"/>
    <n v="959.79"/>
    <s v="Electra Delivery 3i - 2016/2017/2018"/>
    <x v="7"/>
  </r>
  <r>
    <n v="1439"/>
    <n v="1"/>
    <n v="42"/>
    <n v="1"/>
    <n v="2299.9899999999998"/>
    <n v="7.0000000000000007E-2"/>
    <n v="2299.9199999999996"/>
    <s v="Trek Fuel EX 5 27.5 Plus - 2017"/>
    <x v="7"/>
  </r>
  <r>
    <n v="1440"/>
    <n v="1"/>
    <n v="116"/>
    <n v="2"/>
    <n v="749.99"/>
    <n v="7.0000000000000007E-2"/>
    <n v="1499.91"/>
    <s v="Trek Marlin 7 - 2017/2018"/>
    <x v="7"/>
  </r>
  <r>
    <n v="1441"/>
    <n v="1"/>
    <n v="6"/>
    <n v="1"/>
    <n v="469.99"/>
    <n v="0.05"/>
    <n v="469.94"/>
    <s v="Surly Ice Cream Truck Frameset - 2016"/>
    <x v="7"/>
  </r>
  <r>
    <n v="1442"/>
    <n v="1"/>
    <n v="160"/>
    <n v="1"/>
    <n v="4499.99"/>
    <n v="0.1"/>
    <n v="4499.8899999999994"/>
    <s v="Trek Emonda SLR 6 - 2018"/>
    <x v="7"/>
  </r>
  <r>
    <n v="1443"/>
    <n v="1"/>
    <n v="160"/>
    <n v="1"/>
    <n v="4499.99"/>
    <n v="7.0000000000000007E-2"/>
    <n v="4499.92"/>
    <s v="Trek Emonda SLR 6 - 2018"/>
    <x v="7"/>
  </r>
  <r>
    <n v="1444"/>
    <n v="1"/>
    <n v="90"/>
    <n v="1"/>
    <n v="209.99"/>
    <n v="0.1"/>
    <n v="209.89000000000001"/>
    <s v="Trek Precaliber 16 Girls - 2017"/>
    <x v="7"/>
  </r>
  <r>
    <n v="1445"/>
    <n v="1"/>
    <n v="219"/>
    <n v="2"/>
    <n v="639.99"/>
    <n v="0.1"/>
    <n v="1279.8800000000001"/>
    <s v="Electra Moto 3i - 2018"/>
    <x v="7"/>
  </r>
  <r>
    <n v="1446"/>
    <n v="1"/>
    <n v="227"/>
    <n v="1"/>
    <n v="319.99"/>
    <n v="0.05"/>
    <n v="319.94"/>
    <s v="Electra Cruiser 7D (24-Inch) Ladies' - 2016/2018"/>
    <x v="7"/>
  </r>
  <r>
    <n v="1447"/>
    <n v="1"/>
    <n v="148"/>
    <n v="1"/>
    <n v="5499.99"/>
    <n v="0.2"/>
    <n v="5499.79"/>
    <s v="Trek Domane SL 8 Disc - 2018"/>
    <x v="7"/>
  </r>
  <r>
    <n v="1448"/>
    <n v="1"/>
    <n v="239"/>
    <n v="1"/>
    <n v="749.99"/>
    <n v="0.1"/>
    <n v="749.89"/>
    <s v="Electra Townie Balloon 8D EQ Ladies' - 2016/2017/2018"/>
    <x v="7"/>
  </r>
  <r>
    <n v="1449"/>
    <n v="1"/>
    <n v="159"/>
    <n v="1"/>
    <n v="2299.9899999999998"/>
    <n v="7.0000000000000007E-2"/>
    <n v="2299.9199999999996"/>
    <s v="Trek Emonda ALR 6 - 2018"/>
    <x v="7"/>
  </r>
  <r>
    <n v="1450"/>
    <n v="1"/>
    <n v="98"/>
    <n v="1"/>
    <n v="489.99"/>
    <n v="7.0000000000000007E-2"/>
    <n v="489.92"/>
    <s v="Electra Straight 8 3i (20-inch) - Boy's - 2017"/>
    <x v="7"/>
  </r>
  <r>
    <n v="1451"/>
    <n v="1"/>
    <n v="117"/>
    <n v="1"/>
    <n v="1469.99"/>
    <n v="0.05"/>
    <n v="1469.94"/>
    <s v="Trek Ticket S Frame - 2018"/>
    <x v="7"/>
  </r>
  <r>
    <n v="1452"/>
    <n v="1"/>
    <n v="99"/>
    <n v="2"/>
    <n v="299.99"/>
    <n v="0.1"/>
    <n v="599.88"/>
    <s v="Electra Sugar Skulls 1 (20-inch) - Girl's - 2017"/>
    <x v="7"/>
  </r>
  <r>
    <n v="1453"/>
    <n v="1"/>
    <n v="89"/>
    <n v="2"/>
    <n v="209.99"/>
    <n v="0.1"/>
    <n v="419.88"/>
    <s v="Trek Precaliber 16 Boys - 2017"/>
    <x v="7"/>
  </r>
  <r>
    <n v="1454"/>
    <n v="1"/>
    <n v="283"/>
    <n v="1"/>
    <n v="319.99"/>
    <n v="7.0000000000000007E-2"/>
    <n v="319.92"/>
    <s v="Electra Heartchya 1 (20-inch) - Girl's - 2018"/>
    <x v="7"/>
  </r>
  <r>
    <n v="1455"/>
    <n v="1"/>
    <n v="101"/>
    <n v="2"/>
    <n v="339.99"/>
    <n v="0.05"/>
    <n v="679.93000000000006"/>
    <s v="Electra Townie 7D (20-inch) - Boys' - 2017"/>
    <x v="7"/>
  </r>
  <r>
    <n v="1456"/>
    <n v="1"/>
    <n v="193"/>
    <n v="2"/>
    <n v="2799.99"/>
    <n v="0.05"/>
    <n v="5599.9299999999994"/>
    <s v="Trek Lift+ - 2018"/>
    <x v="7"/>
  </r>
  <r>
    <n v="1457"/>
    <n v="1"/>
    <n v="113"/>
    <n v="1"/>
    <n v="489.99"/>
    <n v="7.0000000000000007E-2"/>
    <n v="489.92"/>
    <s v="Trek Marlin 5 - 2018"/>
    <x v="7"/>
  </r>
  <r>
    <n v="1458"/>
    <n v="1"/>
    <n v="295"/>
    <n v="2"/>
    <n v="319.99"/>
    <n v="0.05"/>
    <n v="639.93000000000006"/>
    <s v="Electra Treasure 1 20&quot; - 2018"/>
    <x v="7"/>
  </r>
  <r>
    <n v="1459"/>
    <n v="1"/>
    <n v="258"/>
    <n v="1"/>
    <n v="1259.9000000000001"/>
    <n v="0.1"/>
    <n v="1259.8000000000002"/>
    <s v="Electra Amsterdam Royal 8i - 2017/2018"/>
    <x v="7"/>
  </r>
  <r>
    <n v="1460"/>
    <n v="1"/>
    <n v="201"/>
    <n v="1"/>
    <n v="4499.99"/>
    <n v="0.05"/>
    <n v="4499.9399999999996"/>
    <s v="Trek Powerfly 5 FS - 2018"/>
    <x v="7"/>
  </r>
  <r>
    <n v="1461"/>
    <n v="1"/>
    <n v="48"/>
    <n v="1"/>
    <n v="1499.99"/>
    <n v="0.2"/>
    <n v="1499.79"/>
    <s v="Trek Emonda S 4 - 2017"/>
    <x v="7"/>
  </r>
  <r>
    <n v="1462"/>
    <n v="1"/>
    <n v="263"/>
    <n v="1"/>
    <n v="89.99"/>
    <n v="0.2"/>
    <n v="89.789999999999992"/>
    <s v="Strider Classic 12 Balance Bike - 2018"/>
    <x v="7"/>
  </r>
  <r>
    <n v="1463"/>
    <n v="1"/>
    <n v="51"/>
    <n v="2"/>
    <n v="6499.99"/>
    <n v="0.05"/>
    <n v="12999.93"/>
    <s v="Trek Silque SLR 8 Women's - 2017"/>
    <x v="7"/>
  </r>
  <r>
    <n v="1464"/>
    <n v="1"/>
    <n v="109"/>
    <n v="2"/>
    <n v="416.99"/>
    <n v="0.05"/>
    <n v="833.93000000000006"/>
    <s v="Sun Bicycles Cruz 7 - Women's - 2017"/>
    <x v="7"/>
  </r>
  <r>
    <n v="1465"/>
    <n v="1"/>
    <n v="70"/>
    <n v="2"/>
    <n v="659.99"/>
    <n v="0.05"/>
    <n v="1319.93"/>
    <s v="Electra Amsterdam Original 3i - 2015/2017"/>
    <x v="7"/>
  </r>
  <r>
    <n v="1466"/>
    <n v="1"/>
    <n v="310"/>
    <n v="2"/>
    <n v="899.99"/>
    <n v="7.0000000000000007E-2"/>
    <n v="1799.91"/>
    <s v="Electra Townie Commute 27D Ladies - 2018"/>
    <x v="7"/>
  </r>
  <r>
    <n v="1467"/>
    <n v="1"/>
    <n v="18"/>
    <n v="1"/>
    <n v="449"/>
    <n v="7.0000000000000007E-2"/>
    <n v="448.93"/>
    <s v="Pure Cycles Western 3-Speed - Women's - 2015/2016"/>
    <x v="7"/>
  </r>
  <r>
    <n v="1468"/>
    <n v="1"/>
    <n v="269"/>
    <n v="1"/>
    <n v="199.99"/>
    <n v="0.05"/>
    <n v="199.94"/>
    <s v="Trek Precaliber 12 Boy's - 2018"/>
    <x v="7"/>
  </r>
  <r>
    <n v="1469"/>
    <n v="1"/>
    <n v="77"/>
    <n v="2"/>
    <n v="799.99"/>
    <n v="0.2"/>
    <n v="1599.78"/>
    <s v="Electra Glam Punk 3i Ladies' - 2017"/>
    <x v="7"/>
  </r>
  <r>
    <n v="1470"/>
    <n v="1"/>
    <n v="110"/>
    <n v="2"/>
    <n v="470.99"/>
    <n v="0.1"/>
    <n v="941.88"/>
    <s v="Sun Bicycles Drifter 7 - 2017"/>
    <x v="7"/>
  </r>
  <r>
    <n v="1471"/>
    <n v="1"/>
    <n v="59"/>
    <n v="2"/>
    <n v="2599.9899999999998"/>
    <n v="0.2"/>
    <n v="5199.78"/>
    <s v="Trek Domane S 5 Disc - 2017"/>
    <x v="7"/>
  </r>
  <r>
    <n v="1472"/>
    <n v="1"/>
    <n v="84"/>
    <n v="1"/>
    <n v="109.99"/>
    <n v="0.2"/>
    <n v="109.78999999999999"/>
    <s v="Sun Bicycles Lil Kitt'n - 2017"/>
    <x v="7"/>
  </r>
  <r>
    <n v="1473"/>
    <n v="1"/>
    <n v="84"/>
    <n v="2"/>
    <n v="109.99"/>
    <n v="0.2"/>
    <n v="219.78"/>
    <s v="Sun Bicycles Lil Kitt'n - 2017"/>
    <x v="7"/>
  </r>
  <r>
    <n v="1474"/>
    <n v="1"/>
    <n v="301"/>
    <n v="1"/>
    <n v="899.99"/>
    <n v="0.2"/>
    <n v="899.79"/>
    <s v="Electra Townie Balloon 7i EQ - 2018"/>
    <x v="7"/>
  </r>
  <r>
    <n v="1475"/>
    <n v="1"/>
    <n v="306"/>
    <n v="2"/>
    <n v="899.99"/>
    <n v="0.05"/>
    <n v="1799.93"/>
    <s v="Electra Townie Balloon 7i EQ Ladies' - 2017/2018"/>
    <x v="7"/>
  </r>
  <r>
    <n v="1476"/>
    <n v="1"/>
    <n v="142"/>
    <n v="2"/>
    <n v="3199.99"/>
    <n v="7.0000000000000007E-2"/>
    <n v="6399.91"/>
    <s v="Trek Fuel EX 8 29 XT - 2018"/>
    <x v="7"/>
  </r>
  <r>
    <n v="1477"/>
    <n v="1"/>
    <n v="210"/>
    <n v="2"/>
    <n v="1549"/>
    <n v="0.2"/>
    <n v="3097.8"/>
    <s v="Surly Straggler - 2018"/>
    <x v="7"/>
  </r>
  <r>
    <n v="1478"/>
    <n v="1"/>
    <n v="100"/>
    <n v="2"/>
    <n v="489.99"/>
    <n v="0.1"/>
    <n v="979.88"/>
    <s v="Electra Townie 3i EQ (20-inch) - Boys' - 2017"/>
    <x v="7"/>
  </r>
  <r>
    <n v="1479"/>
    <n v="1"/>
    <n v="252"/>
    <n v="1"/>
    <n v="2999.99"/>
    <n v="0.05"/>
    <n v="2999.9399999999996"/>
    <s v="Electra Townie Commute Go! Ladies' - 2018"/>
    <x v="7"/>
  </r>
  <r>
    <n v="1480"/>
    <n v="1"/>
    <n v="308"/>
    <n v="2"/>
    <n v="749.99"/>
    <n v="0.1"/>
    <n v="1499.88"/>
    <s v="Electra Townie Balloon 8D EQ Ladies' - 2016/2017/2018"/>
    <x v="7"/>
  </r>
  <r>
    <n v="1481"/>
    <n v="1"/>
    <n v="53"/>
    <n v="2"/>
    <n v="749.99"/>
    <n v="7.0000000000000007E-2"/>
    <n v="1499.91"/>
    <s v="Surly Ogre Frameset - 2017"/>
    <x v="7"/>
  </r>
  <r>
    <n v="1482"/>
    <n v="1"/>
    <n v="48"/>
    <n v="1"/>
    <n v="1499.99"/>
    <n v="0.1"/>
    <n v="1499.89"/>
    <s v="Trek Emonda S 4 - 2017"/>
    <x v="7"/>
  </r>
  <r>
    <n v="1483"/>
    <n v="1"/>
    <n v="280"/>
    <n v="1"/>
    <n v="489.99"/>
    <n v="0.05"/>
    <n v="489.94"/>
    <s v="Trek Superfly 24 - 2017/2018"/>
    <x v="7"/>
  </r>
  <r>
    <n v="1484"/>
    <n v="1"/>
    <n v="295"/>
    <n v="2"/>
    <n v="319.99"/>
    <n v="7.0000000000000007E-2"/>
    <n v="639.91"/>
    <s v="Electra Treasure 1 20&quot; - 2018"/>
    <x v="7"/>
  </r>
  <r>
    <n v="1485"/>
    <n v="1"/>
    <n v="122"/>
    <n v="2"/>
    <n v="2499.9899999999998"/>
    <n v="0.2"/>
    <n v="4999.78"/>
    <s v="Surly Troll Frameset - 2018"/>
    <x v="7"/>
  </r>
  <r>
    <n v="1486"/>
    <n v="1"/>
    <n v="60"/>
    <n v="2"/>
    <n v="1559.99"/>
    <n v="0.05"/>
    <n v="3119.93"/>
    <s v="Sun Bicycles ElectroLite - 2017"/>
    <x v="7"/>
  </r>
  <r>
    <n v="1487"/>
    <n v="1"/>
    <n v="160"/>
    <n v="1"/>
    <n v="4499.99"/>
    <n v="7.0000000000000007E-2"/>
    <n v="4499.92"/>
    <s v="Trek Emonda SLR 6 - 2018"/>
    <x v="7"/>
  </r>
  <r>
    <n v="1488"/>
    <n v="1"/>
    <n v="42"/>
    <n v="1"/>
    <n v="2299.9899999999998"/>
    <n v="7.0000000000000007E-2"/>
    <n v="2299.9199999999996"/>
    <s v="Trek Fuel EX 5 27.5 Plus - 2017"/>
    <x v="7"/>
  </r>
  <r>
    <n v="1489"/>
    <n v="1"/>
    <n v="198"/>
    <n v="1"/>
    <n v="2999.99"/>
    <n v="0.2"/>
    <n v="2999.79"/>
    <s v="Electra Townie Commute Go! - 2018"/>
    <x v="7"/>
  </r>
  <r>
    <n v="1490"/>
    <n v="1"/>
    <n v="99"/>
    <n v="1"/>
    <n v="299.99"/>
    <n v="0.1"/>
    <n v="299.89"/>
    <s v="Electra Sugar Skulls 1 (20-inch) - Girl's - 2017"/>
    <x v="7"/>
  </r>
  <r>
    <n v="1491"/>
    <n v="1"/>
    <n v="95"/>
    <n v="2"/>
    <n v="299.99"/>
    <n v="0.2"/>
    <n v="599.78"/>
    <s v="Electra Girl's Hawaii 1 16&quot; - 2017"/>
    <x v="7"/>
  </r>
  <r>
    <n v="1492"/>
    <n v="1"/>
    <n v="37"/>
    <n v="2"/>
    <n v="379.99"/>
    <n v="0.1"/>
    <n v="759.88"/>
    <s v="Haro Flightline One ST - 2017"/>
    <x v="7"/>
  </r>
  <r>
    <n v="1493"/>
    <n v="1"/>
    <n v="230"/>
    <n v="1"/>
    <n v="429.99"/>
    <n v="0.1"/>
    <n v="429.89"/>
    <s v="Electra Cruiser Lux 1 Ladies' - 2018"/>
    <x v="7"/>
  </r>
  <r>
    <n v="1494"/>
    <n v="1"/>
    <n v="230"/>
    <n v="2"/>
    <n v="429.99"/>
    <n v="0.1"/>
    <n v="859.88"/>
    <s v="Electra Cruiser Lux 1 Ladies' - 2018"/>
    <x v="7"/>
  </r>
  <r>
    <n v="1495"/>
    <n v="1"/>
    <n v="292"/>
    <n v="2"/>
    <n v="369.99"/>
    <n v="0.05"/>
    <n v="739.93000000000006"/>
    <s v="Electra Sweet Ride 3i (20-inch) - Girls' - 2018"/>
    <x v="7"/>
  </r>
  <r>
    <n v="1496"/>
    <n v="1"/>
    <n v="248"/>
    <n v="1"/>
    <n v="599.99"/>
    <n v="7.0000000000000007E-2"/>
    <n v="599.91999999999996"/>
    <s v="Electra Townie Original 7D EQ Ladies' - 2017/2018"/>
    <x v="7"/>
  </r>
  <r>
    <n v="1497"/>
    <n v="1"/>
    <n v="141"/>
    <n v="2"/>
    <n v="1599.99"/>
    <n v="0.2"/>
    <n v="3199.78"/>
    <s v="Trek Stache 5 - 2018"/>
    <x v="7"/>
  </r>
  <r>
    <n v="1498"/>
    <n v="1"/>
    <n v="172"/>
    <n v="1"/>
    <n v="3199.99"/>
    <n v="0.05"/>
    <n v="3199.9399999999996"/>
    <s v="Trek Domane ALR Disc Frameset - 2018"/>
    <x v="7"/>
  </r>
  <r>
    <n v="1499"/>
    <n v="1"/>
    <n v="110"/>
    <n v="1"/>
    <n v="470.99"/>
    <n v="0.05"/>
    <n v="470.94"/>
    <s v="Sun Bicycles Drifter 7 - 2017"/>
    <x v="7"/>
  </r>
  <r>
    <n v="1500"/>
    <n v="1"/>
    <n v="41"/>
    <n v="2"/>
    <n v="1469.99"/>
    <n v="7.0000000000000007E-2"/>
    <n v="2939.91"/>
    <s v="Haro Shift R3 - 2017"/>
    <x v="7"/>
  </r>
  <r>
    <n v="1501"/>
    <n v="1"/>
    <n v="248"/>
    <n v="1"/>
    <n v="599.99"/>
    <n v="0.05"/>
    <n v="599.94000000000005"/>
    <s v="Electra Townie Original 7D EQ Ladies' - 2017/2018"/>
    <x v="7"/>
  </r>
  <r>
    <n v="1502"/>
    <n v="1"/>
    <n v="231"/>
    <n v="2"/>
    <n v="529.99"/>
    <n v="0.2"/>
    <n v="1059.78"/>
    <s v="Electra Cruiser Lux 3i Ladies' - 2018"/>
    <x v="7"/>
  </r>
  <r>
    <n v="1503"/>
    <n v="1"/>
    <n v="217"/>
    <n v="1"/>
    <n v="909.99"/>
    <n v="0.1"/>
    <n v="909.89"/>
    <s v="Electra Straight 8 3i - 2018"/>
    <x v="7"/>
  </r>
  <r>
    <n v="1504"/>
    <n v="1"/>
    <n v="276"/>
    <n v="1"/>
    <n v="319.99"/>
    <n v="7.0000000000000007E-2"/>
    <n v="319.92"/>
    <s v="Trek Precaliber 24 (7-Speed) - Boys - 2018"/>
    <x v="7"/>
  </r>
  <r>
    <n v="1505"/>
    <n v="1"/>
    <n v="223"/>
    <n v="2"/>
    <n v="529.99"/>
    <n v="0.05"/>
    <n v="1059.93"/>
    <s v="Electra Cruiser Lux 3i - 2018"/>
    <x v="7"/>
  </r>
  <r>
    <n v="1506"/>
    <n v="1"/>
    <n v="184"/>
    <n v="1"/>
    <n v="3499.99"/>
    <n v="0.05"/>
    <n v="3499.9399999999996"/>
    <s v="Trek Domane SL 6 Disc - 2018"/>
    <x v="7"/>
  </r>
  <r>
    <n v="1507"/>
    <n v="1"/>
    <n v="39"/>
    <n v="2"/>
    <n v="1499.99"/>
    <n v="0.2"/>
    <n v="2999.78"/>
    <s v="Trek Stache 5 - 2017"/>
    <x v="7"/>
  </r>
  <r>
    <n v="1508"/>
    <n v="1"/>
    <n v="37"/>
    <n v="1"/>
    <n v="379.99"/>
    <n v="0.2"/>
    <n v="379.79"/>
    <s v="Haro Flightline One ST - 2017"/>
    <x v="7"/>
  </r>
  <r>
    <n v="1509"/>
    <n v="1"/>
    <n v="215"/>
    <n v="2"/>
    <n v="749.99"/>
    <n v="7.0000000000000007E-2"/>
    <n v="1499.91"/>
    <s v="Electra Queen of Hearts 3i - 2018"/>
    <x v="7"/>
  </r>
  <r>
    <n v="1510"/>
    <n v="1"/>
    <n v="142"/>
    <n v="2"/>
    <n v="3199.99"/>
    <n v="0.05"/>
    <n v="6399.9299999999994"/>
    <s v="Trek Fuel EX 8 29 XT - 2018"/>
    <x v="7"/>
  </r>
  <r>
    <n v="1511"/>
    <n v="1"/>
    <n v="144"/>
    <n v="2"/>
    <n v="1549.99"/>
    <n v="0.2"/>
    <n v="3099.78"/>
    <s v="Trek Domane ALR 4 Disc - 2018"/>
    <x v="7"/>
  </r>
  <r>
    <n v="1512"/>
    <n v="1"/>
    <n v="217"/>
    <n v="1"/>
    <n v="909.99"/>
    <n v="7.0000000000000007E-2"/>
    <n v="909.92"/>
    <s v="Electra Straight 8 3i - 2018"/>
    <x v="7"/>
  </r>
  <r>
    <n v="1513"/>
    <n v="1"/>
    <n v="166"/>
    <n v="1"/>
    <n v="749.99"/>
    <n v="0.1"/>
    <n v="749.89"/>
    <s v="Trek Domane AL 2 Women's - 2018"/>
    <x v="7"/>
  </r>
  <r>
    <n v="1514"/>
    <n v="1"/>
    <n v="240"/>
    <n v="2"/>
    <n v="899.99"/>
    <n v="0.1"/>
    <n v="1799.88"/>
    <s v="Electra Townie Commute 27D Ladies - 2018"/>
    <x v="7"/>
  </r>
  <r>
    <n v="1515"/>
    <n v="1"/>
    <n v="27"/>
    <n v="2"/>
    <n v="999.99"/>
    <n v="0.2"/>
    <n v="1999.78"/>
    <s v="Surly Big Dummy Frameset - 2017"/>
    <x v="7"/>
  </r>
  <r>
    <n v="1516"/>
    <n v="1"/>
    <n v="172"/>
    <n v="2"/>
    <n v="3199.99"/>
    <n v="0.1"/>
    <n v="6399.8799999999992"/>
    <s v="Trek Domane ALR Disc Frameset - 2018"/>
    <x v="7"/>
  </r>
  <r>
    <n v="1517"/>
    <n v="1"/>
    <n v="303"/>
    <n v="2"/>
    <n v="2599.9899999999998"/>
    <n v="7.0000000000000007E-2"/>
    <n v="5199.91"/>
    <s v="Electra Townie Go! 8i - 2017/2018"/>
    <x v="7"/>
  </r>
  <r>
    <n v="1518"/>
    <n v="1"/>
    <n v="304"/>
    <n v="2"/>
    <n v="679.99"/>
    <n v="0.1"/>
    <n v="1359.88"/>
    <s v="Electra Townie Original 21D EQ - 2017/2018"/>
    <x v="7"/>
  </r>
  <r>
    <n v="1519"/>
    <n v="1"/>
    <n v="150"/>
    <n v="1"/>
    <n v="4499.99"/>
    <n v="0.2"/>
    <n v="4499.79"/>
    <s v="Trek Emonda SL 7 - 2018"/>
    <x v="7"/>
  </r>
  <r>
    <n v="1520"/>
    <n v="1"/>
    <n v="186"/>
    <n v="1"/>
    <n v="4499.99"/>
    <n v="0.05"/>
    <n v="4499.9399999999996"/>
    <s v="Trek CrossRip+ - 2018"/>
    <x v="7"/>
  </r>
  <r>
    <n v="1521"/>
    <n v="1"/>
    <n v="100"/>
    <n v="1"/>
    <n v="489.99"/>
    <n v="0.2"/>
    <n v="489.79"/>
    <s v="Electra Townie 3i EQ (20-inch) - Boys' - 2017"/>
    <x v="7"/>
  </r>
  <r>
    <n v="1522"/>
    <n v="1"/>
    <n v="95"/>
    <n v="1"/>
    <n v="299.99"/>
    <n v="0.1"/>
    <n v="299.89"/>
    <s v="Electra Girl's Hawaii 1 16&quot; - 2017"/>
    <x v="7"/>
  </r>
  <r>
    <n v="1523"/>
    <n v="1"/>
    <n v="311"/>
    <n v="2"/>
    <n v="749.99"/>
    <n v="0.2"/>
    <n v="1499.78"/>
    <s v="Electra Townie Commute 8D - 2018"/>
    <x v="7"/>
  </r>
  <r>
    <n v="1524"/>
    <n v="1"/>
    <n v="168"/>
    <n v="1"/>
    <n v="1549"/>
    <n v="0.1"/>
    <n v="1548.9"/>
    <s v="Surly Straggler - 2018"/>
    <x v="7"/>
  </r>
  <r>
    <n v="1525"/>
    <n v="1"/>
    <n v="156"/>
    <n v="1"/>
    <n v="6499.99"/>
    <n v="0.1"/>
    <n v="6499.8899999999994"/>
    <s v="Trek Domane SL Frameset - 2018"/>
    <x v="7"/>
  </r>
  <r>
    <n v="1526"/>
    <n v="1"/>
    <n v="151"/>
    <n v="1"/>
    <n v="1549.99"/>
    <n v="7.0000000000000007E-2"/>
    <n v="1549.92"/>
    <s v="Trek Domane ALR 4 Disc Women's - 2018"/>
    <x v="7"/>
  </r>
  <r>
    <n v="1527"/>
    <n v="1"/>
    <n v="33"/>
    <n v="1"/>
    <n v="469.99"/>
    <n v="0.1"/>
    <n v="469.89"/>
    <s v="Surly Wednesday Frameset - 2017"/>
    <x v="7"/>
  </r>
  <r>
    <n v="1528"/>
    <n v="1"/>
    <n v="229"/>
    <n v="2"/>
    <n v="429.99"/>
    <n v="0.2"/>
    <n v="859.78"/>
    <s v="Electra Cruiser Lux 1 - 2016/2018"/>
    <x v="7"/>
  </r>
  <r>
    <n v="1529"/>
    <n v="1"/>
    <n v="23"/>
    <n v="1"/>
    <n v="299.99"/>
    <n v="0.05"/>
    <n v="299.94"/>
    <s v="Electra Girl's Hawaii 1 (20-inch) - 2015/2016"/>
    <x v="7"/>
  </r>
  <r>
    <n v="1530"/>
    <n v="1"/>
    <n v="213"/>
    <n v="2"/>
    <n v="269.99"/>
    <n v="0.1"/>
    <n v="539.88"/>
    <s v="Electra Cruiser 1 - 2016/2017/2018"/>
    <x v="7"/>
  </r>
  <r>
    <n v="1531"/>
    <n v="1"/>
    <n v="128"/>
    <n v="1"/>
    <n v="1899"/>
    <n v="0.1"/>
    <n v="1898.9"/>
    <s v="Surly ECR 27.5 - 2018"/>
    <x v="7"/>
  </r>
  <r>
    <n v="1532"/>
    <n v="1"/>
    <n v="209"/>
    <n v="2"/>
    <n v="2999.99"/>
    <n v="7.0000000000000007E-2"/>
    <n v="5999.91"/>
    <s v="Trek Crockett 7 Disc - 2018"/>
    <x v="7"/>
  </r>
  <r>
    <n v="1533"/>
    <n v="1"/>
    <n v="274"/>
    <n v="2"/>
    <n v="229.99"/>
    <n v="0.1"/>
    <n v="459.88"/>
    <s v="Trek Precaliber 20 Boy's - 2018"/>
    <x v="7"/>
  </r>
  <r>
    <n v="1534"/>
    <n v="1"/>
    <n v="194"/>
    <n v="1"/>
    <n v="3499.99"/>
    <n v="0.1"/>
    <n v="3499.89"/>
    <s v="Trek XM700+ - 2018"/>
    <x v="7"/>
  </r>
  <r>
    <n v="1535"/>
    <n v="1"/>
    <n v="92"/>
    <n v="1"/>
    <n v="209.99"/>
    <n v="0.05"/>
    <n v="209.94"/>
    <s v="Haro Shredder 20 - 2017"/>
    <x v="7"/>
  </r>
  <r>
    <n v="1536"/>
    <n v="1"/>
    <n v="183"/>
    <n v="1"/>
    <n v="2199.9899999999998"/>
    <n v="0.2"/>
    <n v="2199.79"/>
    <s v="Trek Domane SL 5 Women's - 2018"/>
    <x v="7"/>
  </r>
  <r>
    <n v="1537"/>
    <n v="1"/>
    <n v="237"/>
    <n v="2"/>
    <n v="849.99"/>
    <n v="0.05"/>
    <n v="1699.93"/>
    <s v="Electra Relic 3i - 2018"/>
    <x v="7"/>
  </r>
  <r>
    <n v="1538"/>
    <n v="1"/>
    <n v="206"/>
    <n v="1"/>
    <n v="3299.99"/>
    <n v="7.0000000000000007E-2"/>
    <n v="3299.9199999999996"/>
    <s v="Trek Boone 5 Disc - 2018"/>
    <x v="7"/>
  </r>
  <r>
    <n v="1539"/>
    <n v="1"/>
    <n v="6"/>
    <n v="2"/>
    <n v="469.99"/>
    <n v="0.05"/>
    <n v="939.93000000000006"/>
    <s v="Surly Ice Cream Truck Frameset - 2016"/>
    <x v="7"/>
  </r>
  <r>
    <n v="1540"/>
    <n v="1"/>
    <n v="71"/>
    <n v="2"/>
    <n v="416.99"/>
    <n v="0.05"/>
    <n v="833.93000000000006"/>
    <s v="Sun Bicycles Atlas X-Type - 2017"/>
    <x v="7"/>
  </r>
  <r>
    <n v="1541"/>
    <n v="1"/>
    <n v="155"/>
    <n v="2"/>
    <n v="11999.99"/>
    <n v="0.1"/>
    <n v="23999.88"/>
    <s v="Trek Domane SLR 9 Disc - 2018"/>
    <x v="7"/>
  </r>
  <r>
    <n v="1542"/>
    <n v="1"/>
    <n v="79"/>
    <n v="1"/>
    <n v="402.99"/>
    <n v="0.2"/>
    <n v="402.79"/>
    <s v="Sun Bicycles Boardwalk (24-inch Wheels) - 2017"/>
    <x v="7"/>
  </r>
  <r>
    <n v="1543"/>
    <n v="1"/>
    <n v="108"/>
    <n v="2"/>
    <n v="449.99"/>
    <n v="0.1"/>
    <n v="899.88"/>
    <s v="Sun Bicycles Cruz 3 - Women's - 2017"/>
    <x v="7"/>
  </r>
  <r>
    <n v="1544"/>
    <n v="1"/>
    <n v="194"/>
    <n v="2"/>
    <n v="3499.99"/>
    <n v="0.1"/>
    <n v="6999.8799999999992"/>
    <s v="Trek XM700+ - 2018"/>
    <x v="7"/>
  </r>
  <r>
    <n v="1545"/>
    <n v="1"/>
    <n v="45"/>
    <n v="1"/>
    <n v="869.99"/>
    <n v="0.1"/>
    <n v="869.89"/>
    <s v="Haro SR 1.2 - 2017"/>
    <x v="7"/>
  </r>
  <r>
    <n v="1546"/>
    <n v="1"/>
    <n v="156"/>
    <n v="1"/>
    <n v="6499.99"/>
    <n v="0.1"/>
    <n v="6499.8899999999994"/>
    <s v="Trek Domane SL Frameset - 2018"/>
    <x v="7"/>
  </r>
  <r>
    <n v="1547"/>
    <n v="1"/>
    <n v="106"/>
    <n v="2"/>
    <n v="449.99"/>
    <n v="0.2"/>
    <n v="899.78"/>
    <s v="Sun Bicycles Cruz 3 - 2017"/>
    <x v="7"/>
  </r>
  <r>
    <n v="1548"/>
    <n v="1"/>
    <n v="32"/>
    <n v="1"/>
    <n v="469.99"/>
    <n v="0.1"/>
    <n v="469.89"/>
    <s v="Trek Farley Alloy Frameset - 2017"/>
    <x v="7"/>
  </r>
  <r>
    <n v="1549"/>
    <n v="1"/>
    <n v="158"/>
    <n v="1"/>
    <n v="959.99"/>
    <n v="0.2"/>
    <n v="959.79"/>
    <s v="Trek CrossRip 1 - 2018"/>
    <x v="7"/>
  </r>
  <r>
    <n v="1550"/>
    <n v="1"/>
    <n v="315"/>
    <n v="2"/>
    <n v="559.99"/>
    <n v="0.05"/>
    <n v="1119.93"/>
    <s v="Electra Townie Original 21D Ladies' - 2018"/>
    <x v="7"/>
  </r>
  <r>
    <n v="1551"/>
    <n v="1"/>
    <n v="207"/>
    <n v="2"/>
    <n v="3999.99"/>
    <n v="0.2"/>
    <n v="7999.78"/>
    <s v="Trek Boone 7 Disc - 2018"/>
    <x v="7"/>
  </r>
  <r>
    <n v="1552"/>
    <n v="1"/>
    <n v="197"/>
    <n v="1"/>
    <n v="2299.9899999999998"/>
    <n v="0.1"/>
    <n v="2299.89"/>
    <s v="Trek Verve+ Lowstep - 2018"/>
    <x v="7"/>
  </r>
  <r>
    <n v="1553"/>
    <n v="1"/>
    <n v="102"/>
    <n v="1"/>
    <n v="489.99"/>
    <n v="7.0000000000000007E-2"/>
    <n v="489.92"/>
    <s v="Electra Townie Original 7D - 2017"/>
    <x v="7"/>
  </r>
  <r>
    <n v="1554"/>
    <n v="1"/>
    <n v="166"/>
    <n v="1"/>
    <n v="749.99"/>
    <n v="0.05"/>
    <n v="749.94"/>
    <s v="Trek Domane AL 2 Women's - 2018"/>
    <x v="7"/>
  </r>
  <r>
    <n v="1555"/>
    <n v="1"/>
    <n v="24"/>
    <n v="2"/>
    <n v="549.99"/>
    <n v="0.1"/>
    <n v="1099.8800000000001"/>
    <s v="Electra Townie Original 21D - 2016"/>
    <x v="7"/>
  </r>
  <r>
    <n v="1556"/>
    <n v="1"/>
    <n v="49"/>
    <n v="2"/>
    <n v="3499.99"/>
    <n v="0.2"/>
    <n v="6999.78"/>
    <s v="Trek Domane SL 6 - 2017"/>
    <x v="7"/>
  </r>
  <r>
    <n v="1557"/>
    <n v="1"/>
    <n v="163"/>
    <n v="2"/>
    <n v="1349"/>
    <n v="7.0000000000000007E-2"/>
    <n v="2697.93"/>
    <s v="Surly Pack Rat - 2018"/>
    <x v="7"/>
  </r>
  <r>
    <n v="1558"/>
    <n v="1"/>
    <n v="46"/>
    <n v="2"/>
    <n v="1409.99"/>
    <n v="7.0000000000000007E-2"/>
    <n v="2819.91"/>
    <s v="Haro SR 1.3 - 2017"/>
    <x v="7"/>
  </r>
  <r>
    <n v="1559"/>
    <n v="1"/>
    <n v="101"/>
    <n v="2"/>
    <n v="339.99"/>
    <n v="7.0000000000000007E-2"/>
    <n v="679.91"/>
    <s v="Electra Townie 7D (20-inch) - Boys' - 2017"/>
    <x v="7"/>
  </r>
  <r>
    <n v="1560"/>
    <n v="1"/>
    <n v="118"/>
    <n v="2"/>
    <n v="999.99"/>
    <n v="0.2"/>
    <n v="1999.78"/>
    <s v="Trek X-Caliber 8 - 2018"/>
    <x v="7"/>
  </r>
  <r>
    <n v="1561"/>
    <n v="1"/>
    <n v="181"/>
    <n v="2"/>
    <n v="2199.9899999999998"/>
    <n v="7.0000000000000007E-2"/>
    <n v="4399.91"/>
    <s v="Trek Domane SL 5 - 2018"/>
    <x v="7"/>
  </r>
  <r>
    <n v="1562"/>
    <n v="1"/>
    <n v="54"/>
    <n v="1"/>
    <n v="3199.99"/>
    <n v="0.2"/>
    <n v="3199.79"/>
    <s v="Trek Domane SL Disc Frameset - 2017"/>
    <x v="7"/>
  </r>
  <r>
    <n v="1563"/>
    <n v="1"/>
    <n v="188"/>
    <n v="1"/>
    <n v="3499.99"/>
    <n v="7.0000000000000007E-2"/>
    <n v="3499.9199999999996"/>
    <s v="Trek XM700+ Lowstep - 2018"/>
    <x v="7"/>
  </r>
  <r>
    <n v="1564"/>
    <n v="1"/>
    <n v="309"/>
    <n v="1"/>
    <n v="899.99"/>
    <n v="7.0000000000000007E-2"/>
    <n v="899.92"/>
    <s v="Electra Townie Commute 27D - 2018"/>
    <x v="7"/>
  </r>
  <r>
    <n v="1565"/>
    <n v="1"/>
    <n v="37"/>
    <n v="1"/>
    <n v="379.99"/>
    <n v="7.0000000000000007E-2"/>
    <n v="379.92"/>
    <s v="Haro Flightline One ST - 2017"/>
    <x v="7"/>
  </r>
  <r>
    <n v="1566"/>
    <n v="1"/>
    <n v="179"/>
    <n v="1"/>
    <n v="919.99"/>
    <n v="0.05"/>
    <n v="919.94"/>
    <s v="Trek Domane AL 3 - 2018"/>
    <x v="7"/>
  </r>
  <r>
    <n v="1567"/>
    <n v="1"/>
    <n v="279"/>
    <n v="1"/>
    <n v="319.99"/>
    <n v="0.2"/>
    <n v="319.79000000000002"/>
    <s v="Trek Precaliber 24 7-speed Girl's - 2018"/>
    <x v="7"/>
  </r>
  <r>
    <n v="1568"/>
    <n v="1"/>
    <n v="146"/>
    <n v="1"/>
    <n v="4999.99"/>
    <n v="0.2"/>
    <n v="4999.79"/>
    <s v="Trek Domane SLR 6 - 2018"/>
    <x v="7"/>
  </r>
  <r>
    <n v="1569"/>
    <n v="1"/>
    <n v="252"/>
    <n v="1"/>
    <n v="2999.99"/>
    <n v="0.1"/>
    <n v="2999.89"/>
    <s v="Electra Townie Commute Go! Ladies' - 2018"/>
    <x v="7"/>
  </r>
  <r>
    <n v="1570"/>
    <n v="1"/>
    <n v="155"/>
    <n v="1"/>
    <n v="11999.99"/>
    <n v="7.0000000000000007E-2"/>
    <n v="11999.92"/>
    <s v="Trek Domane SLR 9 Disc - 2018"/>
    <x v="7"/>
  </r>
  <r>
    <n v="1571"/>
    <n v="1"/>
    <n v="312"/>
    <n v="2"/>
    <n v="699.99"/>
    <n v="0.1"/>
    <n v="1399.88"/>
    <s v="Electra Townie Commute 8D Ladies' - 2018"/>
    <x v="7"/>
  </r>
  <r>
    <n v="1572"/>
    <n v="1"/>
    <n v="216"/>
    <n v="2"/>
    <n v="899.99"/>
    <n v="0.05"/>
    <n v="1799.93"/>
    <s v="Electra Super Moto 8i - 2018"/>
    <x v="7"/>
  </r>
  <r>
    <n v="1573"/>
    <n v="1"/>
    <n v="9"/>
    <n v="1"/>
    <n v="2999.99"/>
    <n v="0.05"/>
    <n v="2999.9399999999996"/>
    <s v="Trek Conduit+ - 2016"/>
    <x v="7"/>
  </r>
  <r>
    <n v="1574"/>
    <n v="1"/>
    <n v="127"/>
    <n v="1"/>
    <n v="469.99"/>
    <n v="0.1"/>
    <n v="469.89"/>
    <s v="Surly Pack Rat Frameset - 2018"/>
    <x v="7"/>
  </r>
  <r>
    <n v="1575"/>
    <n v="1"/>
    <n v="44"/>
    <n v="1"/>
    <n v="539.99"/>
    <n v="7.0000000000000007E-2"/>
    <n v="539.91999999999996"/>
    <s v="Haro SR 1.1 - 2017"/>
    <x v="7"/>
  </r>
  <r>
    <n v="1576"/>
    <n v="1"/>
    <n v="69"/>
    <n v="1"/>
    <n v="416.99"/>
    <n v="0.05"/>
    <n v="416.94"/>
    <s v="Sun Bicycles Cruz 7 - 2017"/>
    <x v="7"/>
  </r>
  <r>
    <n v="1577"/>
    <n v="1"/>
    <n v="298"/>
    <n v="2"/>
    <n v="279.99"/>
    <n v="0.05"/>
    <n v="559.93000000000006"/>
    <s v="Electra Water Lily 1 (16-inch) - Girl's - 2018"/>
    <x v="7"/>
  </r>
  <r>
    <n v="1578"/>
    <n v="1"/>
    <n v="204"/>
    <n v="2"/>
    <n v="3599.99"/>
    <n v="7.0000000000000007E-2"/>
    <n v="7199.91"/>
    <s v="Trek Super Commuter+ 7 - 2018"/>
    <x v="7"/>
  </r>
  <r>
    <n v="1579"/>
    <n v="1"/>
    <n v="49"/>
    <n v="1"/>
    <n v="3499.99"/>
    <n v="0.05"/>
    <n v="3499.9399999999996"/>
    <s v="Trek Domane SL 6 - 2017"/>
    <x v="7"/>
  </r>
  <r>
    <n v="1580"/>
    <n v="1"/>
    <n v="119"/>
    <n v="2"/>
    <n v="469.99"/>
    <n v="7.0000000000000007E-2"/>
    <n v="939.91"/>
    <s v="Trek Kids' Neko - 2018"/>
    <x v="7"/>
  </r>
  <r>
    <n v="1581"/>
    <n v="1"/>
    <n v="64"/>
    <n v="1"/>
    <n v="489.99"/>
    <n v="0.1"/>
    <n v="489.89"/>
    <s v="Electra Townie Original 7D - 2017"/>
    <x v="7"/>
  </r>
  <r>
    <n v="1582"/>
    <n v="1"/>
    <n v="75"/>
    <n v="1"/>
    <n v="599.99"/>
    <n v="7.0000000000000007E-2"/>
    <n v="599.91999999999996"/>
    <s v="Electra Cruiser Lux Fat Tire 1 Ladies - 2017"/>
    <x v="7"/>
  </r>
  <r>
    <n v="1583"/>
    <n v="1"/>
    <n v="15"/>
    <n v="1"/>
    <n v="529.99"/>
    <n v="0.05"/>
    <n v="529.94000000000005"/>
    <s v="Electra Moto 1 - 2016"/>
    <x v="7"/>
  </r>
  <r>
    <n v="1584"/>
    <n v="1"/>
    <n v="45"/>
    <n v="2"/>
    <n v="869.99"/>
    <n v="0.1"/>
    <n v="1739.88"/>
    <s v="Haro SR 1.2 - 2017"/>
    <x v="7"/>
  </r>
  <r>
    <n v="1585"/>
    <n v="1"/>
    <n v="313"/>
    <n v="1"/>
    <n v="449.99"/>
    <n v="0.1"/>
    <n v="449.89"/>
    <s v="Electra Townie Original 1 Ladies' - 2018"/>
    <x v="7"/>
  </r>
  <r>
    <n v="1586"/>
    <n v="1"/>
    <n v="22"/>
    <n v="2"/>
    <n v="269.99"/>
    <n v="0.1"/>
    <n v="539.88"/>
    <s v="Electra Girl's Hawaii 1 (16-inch) - 2015/2016"/>
    <x v="7"/>
  </r>
  <r>
    <n v="1587"/>
    <n v="1"/>
    <n v="104"/>
    <n v="1"/>
    <n v="481.99"/>
    <n v="0.1"/>
    <n v="481.89"/>
    <s v="Sun Bicycles Streamway - 2017"/>
    <x v="7"/>
  </r>
  <r>
    <n v="1588"/>
    <n v="1"/>
    <n v="93"/>
    <n v="2"/>
    <n v="209.99"/>
    <n v="7.0000000000000007E-2"/>
    <n v="419.91"/>
    <s v="Haro Shredder 20 Girls - 2017"/>
    <x v="7"/>
  </r>
  <r>
    <n v="1589"/>
    <n v="1"/>
    <n v="246"/>
    <n v="2"/>
    <n v="639.99"/>
    <n v="0.05"/>
    <n v="1279.93"/>
    <s v="Electra Townie Original 3i EQ Ladies' - 2018"/>
    <x v="7"/>
  </r>
  <r>
    <n v="1590"/>
    <n v="1"/>
    <n v="175"/>
    <n v="2"/>
    <n v="3199.99"/>
    <n v="7.0000000000000007E-2"/>
    <n v="6399.91"/>
    <s v="Trek Domane SLR Frameset - 2018"/>
    <x v="7"/>
  </r>
  <r>
    <n v="1591"/>
    <n v="1"/>
    <n v="286"/>
    <n v="2"/>
    <n v="279.99"/>
    <n v="0.2"/>
    <n v="559.78"/>
    <s v="Electra Starship 1 16&quot; - 2018"/>
    <x v="7"/>
  </r>
  <r>
    <n v="1592"/>
    <n v="1"/>
    <n v="211"/>
    <n v="2"/>
    <n v="1549"/>
    <n v="0.05"/>
    <n v="3097.95"/>
    <s v="Surly Straggler 650b - 2018"/>
    <x v="7"/>
  </r>
  <r>
    <n v="1593"/>
    <n v="1"/>
    <n v="97"/>
    <n v="2"/>
    <n v="349.99"/>
    <n v="0.2"/>
    <n v="699.78"/>
    <s v="Electra Savannah 3i (20-inch) - Girl's - 2017"/>
    <x v="7"/>
  </r>
  <r>
    <n v="1594"/>
    <n v="1"/>
    <n v="79"/>
    <n v="2"/>
    <n v="402.99"/>
    <n v="0.1"/>
    <n v="805.88"/>
    <s v="Sun Bicycles Boardwalk (24-inch Wheels) - 2017"/>
    <x v="7"/>
  </r>
  <r>
    <n v="1595"/>
    <n v="1"/>
    <n v="112"/>
    <n v="1"/>
    <n v="379.99"/>
    <n v="0.2"/>
    <n v="379.79"/>
    <s v="Trek 820 - 2018"/>
    <x v="7"/>
  </r>
  <r>
    <n v="1596"/>
    <n v="1"/>
    <n v="91"/>
    <n v="1"/>
    <n v="349.99"/>
    <n v="0.05"/>
    <n v="349.94"/>
    <s v="Trek Precaliber 24 (21-Speed) - Girls - 2017"/>
    <x v="7"/>
  </r>
  <r>
    <n v="1597"/>
    <n v="1"/>
    <n v="176"/>
    <n v="1"/>
    <n v="3199.99"/>
    <n v="7.0000000000000007E-2"/>
    <n v="3199.9199999999996"/>
    <s v="Trek Madone 9 Frameset - 2018"/>
    <x v="7"/>
  </r>
  <r>
    <n v="1598"/>
    <n v="1"/>
    <n v="247"/>
    <n v="1"/>
    <n v="599.99"/>
    <n v="0.2"/>
    <n v="599.79"/>
    <s v="Electra Townie Original 7D EQ - 2018"/>
    <x v="7"/>
  </r>
  <r>
    <n v="1599"/>
    <n v="1"/>
    <n v="104"/>
    <n v="2"/>
    <n v="481.99"/>
    <n v="0.2"/>
    <n v="963.78"/>
    <s v="Sun Bicycles Streamway - 2017"/>
    <x v="7"/>
  </r>
  <r>
    <n v="1600"/>
    <n v="1"/>
    <n v="146"/>
    <n v="1"/>
    <n v="4999.99"/>
    <n v="0.1"/>
    <n v="4999.8899999999994"/>
    <s v="Trek Domane SLR 6 - 2018"/>
    <x v="7"/>
  </r>
  <r>
    <n v="1601"/>
    <n v="1"/>
    <n v="114"/>
    <n v="2"/>
    <n v="579.99"/>
    <n v="0.2"/>
    <n v="1159.78"/>
    <s v="Trek Marlin 6 - 2018"/>
    <x v="7"/>
  </r>
  <r>
    <n v="1602"/>
    <n v="1"/>
    <n v="71"/>
    <n v="2"/>
    <n v="416.99"/>
    <n v="0.05"/>
    <n v="833.93000000000006"/>
    <s v="Sun Bicycles Atlas X-Type - 2017"/>
    <x v="7"/>
  </r>
  <r>
    <n v="1603"/>
    <n v="1"/>
    <n v="275"/>
    <n v="2"/>
    <n v="229.99"/>
    <n v="0.05"/>
    <n v="459.93"/>
    <s v="Trek Precaliber 20 Girl's - 2018"/>
    <x v="7"/>
  </r>
  <r>
    <n v="1604"/>
    <n v="1"/>
    <n v="271"/>
    <n v="1"/>
    <n v="209.99"/>
    <n v="0.1"/>
    <n v="209.89000000000001"/>
    <s v="Trek Precaliber 16 Girl's - 2018"/>
    <x v="7"/>
  </r>
  <r>
    <n v="1605"/>
    <n v="1"/>
    <n v="72"/>
    <n v="1"/>
    <n v="619.99"/>
    <n v="0.1"/>
    <n v="619.89"/>
    <s v="Sun Bicycles Biscayne Tandem 7 - 2017"/>
    <x v="7"/>
  </r>
  <r>
    <n v="1606"/>
    <n v="1"/>
    <n v="245"/>
    <n v="1"/>
    <n v="659.99"/>
    <n v="0.1"/>
    <n v="659.89"/>
    <s v="Electra Townie Original 3i EQ - 2017/2018"/>
    <x v="7"/>
  </r>
  <r>
    <n v="1607"/>
    <n v="1"/>
    <n v="29"/>
    <n v="1"/>
    <n v="999.99"/>
    <n v="0.05"/>
    <n v="999.94"/>
    <s v="Trek X-Caliber 8 - 2017"/>
    <x v="7"/>
  </r>
  <r>
    <n v="1608"/>
    <n v="1"/>
    <n v="231"/>
    <n v="2"/>
    <n v="529.99"/>
    <n v="0.05"/>
    <n v="1059.93"/>
    <s v="Electra Cruiser Lux 3i Ladies' - 2018"/>
    <x v="7"/>
  </r>
  <r>
    <n v="1609"/>
    <n v="1"/>
    <n v="96"/>
    <n v="1"/>
    <n v="349.99"/>
    <n v="0.2"/>
    <n v="349.79"/>
    <s v="Electra Moto 3i (20-inch) - Boy's - 2017"/>
    <x v="7"/>
  </r>
  <r>
    <n v="1610"/>
    <n v="1"/>
    <n v="36"/>
    <n v="1"/>
    <n v="832.99"/>
    <n v="7.0000000000000007E-2"/>
    <n v="832.92"/>
    <s v="Surly Troll Frameset - 2017"/>
    <x v="7"/>
  </r>
  <r>
    <n v="1611"/>
    <n v="1"/>
    <n v="191"/>
    <n v="1"/>
    <n v="2799.99"/>
    <n v="7.0000000000000007E-2"/>
    <n v="2799.9199999999996"/>
    <s v="Electra Loft Go! 8i - 2018"/>
    <x v="7"/>
  </r>
  <r>
    <n v="1612"/>
    <n v="1"/>
    <n v="242"/>
    <n v="1"/>
    <n v="699.99"/>
    <n v="0.1"/>
    <n v="699.89"/>
    <s v="Electra Townie Commute 8D Ladies' - 2018"/>
    <x v="7"/>
  </r>
  <r>
    <n v="1613"/>
    <n v="1"/>
    <n v="153"/>
    <n v="1"/>
    <n v="4999.99"/>
    <n v="7.0000000000000007E-2"/>
    <n v="4999.92"/>
    <s v="Trek Domane SL 7 Women's - 2018"/>
    <x v="7"/>
  </r>
  <r>
    <n v="1614"/>
    <n v="1"/>
    <n v="124"/>
    <n v="1"/>
    <n v="1499"/>
    <n v="7.0000000000000007E-2"/>
    <n v="1498.93"/>
    <s v="Surly Krampus - 2018"/>
    <x v="7"/>
  </r>
  <r>
    <n v="1615"/>
    <n v="1"/>
    <n v="197"/>
    <n v="2"/>
    <n v="2299.9899999999998"/>
    <n v="0.2"/>
    <n v="4599.78"/>
    <s v="Trek Verve+ Lowstep - 2018"/>
    <x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4C05EF-2863-4506-994C-36AAA315409F}" name="PivotTable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2" firstHeaderRow="1" firstDataRow="1" firstDataCol="1"/>
  <pivotFields count="9"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9">
        <item x="4"/>
        <item x="5"/>
        <item x="3"/>
        <item x="2"/>
        <item x="1"/>
        <item x="0"/>
        <item x="6"/>
        <item x="7"/>
        <item t="default"/>
      </items>
    </pivotField>
  </pivotFields>
  <rowFields count="1">
    <field x="8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Total_Price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BFE883-05A9-4757-B882-A0CF8557E65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1" firstHeaderRow="1" firstDataRow="1" firstDataCol="1"/>
  <pivotFields count="7">
    <pivotField showAll="0"/>
    <pivotField showAll="0"/>
    <pivotField showAll="0"/>
    <pivotField showAll="0"/>
    <pivotField showAll="0"/>
    <pivotField dataField="1" showAll="0"/>
    <pivotField axis="axisRow" showAll="0">
      <items count="8">
        <item x="4"/>
        <item x="5"/>
        <item x="3"/>
        <item x="2"/>
        <item x="1"/>
        <item x="0"/>
        <item x="6"/>
        <item t="default"/>
      </items>
    </pivotField>
  </pivotFields>
  <rowFields count="1">
    <field x="6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List_Price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DC7B22-0E65-42C0-8947-87D7FA9B192F}" name="PivotTable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4:E12" firstHeaderRow="1" firstDataRow="1" firstDataCol="1"/>
  <pivotFields count="2"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dataField="1" subtotalTop="0" showAll="0" defaultSubtota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Total_Price" fld="1" baseField="0" baseItem="0"/>
  </dataFields>
  <pivotHierarchies count="2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roducts]"/>
        <x15:activeTabTopLevelEntity name="[order_item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2" xr16:uid="{E0EC04B0-78BE-4210-9A6A-9F7E487542B7}" autoFormatId="16" applyNumberFormats="0" applyBorderFormats="0" applyFontFormats="0" applyPatternFormats="0" applyAlignmentFormats="0" applyWidthHeightFormats="0">
  <queryTableRefresh nextId="3">
    <queryTableFields count="2">
      <queryTableField id="1" name="Brand_ID" tableColumnId="1"/>
      <queryTableField id="2" name="Brand_Nam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9" xr16:uid="{911FF25C-51F1-4E90-940B-E580E6079B7D}" autoFormatId="16" applyNumberFormats="0" applyBorderFormats="0" applyFontFormats="0" applyPatternFormats="0" applyAlignmentFormats="0" applyWidthHeightFormats="0">
  <queryTableRefresh nextId="4">
    <queryTableFields count="3">
      <queryTableField id="1" name="Store_ID" tableColumnId="1"/>
      <queryTableField id="2" name="Product_ID" tableColumnId="2"/>
      <queryTableField id="3" name="Quantity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8" xr16:uid="{9F4F3807-7516-4EF5-8D77-26C99D4CBB08}" autoFormatId="16" applyNumberFormats="0" applyBorderFormats="0" applyFontFormats="0" applyPatternFormats="0" applyAlignmentFormats="0" applyWidthHeightFormats="0">
  <queryTableRefresh nextId="9">
    <queryTableFields count="8">
      <queryTableField id="1" name="Staff_ID" tableColumnId="1"/>
      <queryTableField id="2" name="First_Name" tableColumnId="2"/>
      <queryTableField id="3" name="Last_Name" tableColumnId="3"/>
      <queryTableField id="4" name="Email" tableColumnId="4"/>
      <queryTableField id="5" name="Phone" tableColumnId="5"/>
      <queryTableField id="6" name="Active" tableColumnId="6"/>
      <queryTableField id="7" name="Store_ID" tableColumnId="7"/>
      <queryTableField id="8" name="Manager_ID" tableColumnId="8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6" xr16:uid="{EDDD2505-B3B8-4F7A-9A4C-29124C47946E}" autoFormatId="16" applyNumberFormats="0" applyBorderFormats="0" applyFontFormats="0" applyPatternFormats="0" applyAlignmentFormats="0" applyWidthHeightFormats="0">
  <queryTableRefresh nextId="9">
    <queryTableFields count="8">
      <queryTableField id="1" name="Order_ID" tableColumnId="1"/>
      <queryTableField id="2" name="Customer_ID" tableColumnId="2"/>
      <queryTableField id="3" name="Order_Status" tableColumnId="3"/>
      <queryTableField id="4" name="Order_Date" tableColumnId="4"/>
      <queryTableField id="5" name="Required_Date" tableColumnId="5"/>
      <queryTableField id="6" name="Shipped_Date" tableColumnId="6"/>
      <queryTableField id="7" name="Store_ID" tableColumnId="7"/>
      <queryTableField id="8" name="Staff_ID" tableColumnId="8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5" xr16:uid="{DCDBEB71-4C8D-4C94-BE91-EEB275940683}" autoFormatId="16" applyNumberFormats="0" applyBorderFormats="0" applyFontFormats="0" applyPatternFormats="0" applyAlignmentFormats="0" applyWidthHeightFormats="0">
  <queryTableRefresh nextId="10" unboundColumnsRight="3">
    <queryTableFields count="9">
      <queryTableField id="1" name="Order_ID" tableColumnId="1"/>
      <queryTableField id="2" name="Item_ID" tableColumnId="2"/>
      <queryTableField id="3" name="Product_ID" tableColumnId="3"/>
      <queryTableField id="4" name="Quantity" tableColumnId="4"/>
      <queryTableField id="5" name="List_Price" tableColumnId="5"/>
      <queryTableField id="6" name="Discount" tableColumnId="6"/>
      <queryTableField id="7" dataBound="0" tableColumnId="7"/>
      <queryTableField id="8" dataBound="0" tableColumnId="8"/>
      <queryTableField id="9" dataBound="0" tableColumnId="9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3" xr16:uid="{B6A3F6D6-0552-4767-BEF1-1ED054C00FC8}" autoFormatId="16" applyNumberFormats="0" applyBorderFormats="0" applyFontFormats="0" applyPatternFormats="0" applyAlignmentFormats="0" applyWidthHeightFormats="0">
  <queryTableRefresh nextId="3">
    <queryTableFields count="2">
      <queryTableField id="1" name="Category_ID" tableColumnId="1"/>
      <queryTableField id="2" name="Category_Name" tableColumnId="2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7" xr16:uid="{811D65AD-7B02-4586-A0E5-1FF602ED171D}" autoFormatId="16" applyNumberFormats="0" applyBorderFormats="0" applyFontFormats="0" applyPatternFormats="0" applyAlignmentFormats="0" applyWidthHeightFormats="0">
  <queryTableRefresh nextId="9" unboundColumnsRight="2">
    <queryTableFields count="8">
      <queryTableField id="1" name="Product_ID" tableColumnId="1"/>
      <queryTableField id="2" name="Product_Name" tableColumnId="2"/>
      <queryTableField id="3" name="Brand_ID" tableColumnId="3"/>
      <queryTableField id="4" name="Category_ID" tableColumnId="4"/>
      <queryTableField id="5" name="Model_Year" tableColumnId="5"/>
      <queryTableField id="6" name="List_Price" tableColumnId="6"/>
      <queryTableField id="7" dataBound="0" tableColumnId="7"/>
      <queryTableField id="8" dataBound="0" tableColumnId="8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0" xr16:uid="{C5CABC1B-08CE-4B19-9C62-7A5D13AE4D42}" autoFormatId="16" applyNumberFormats="0" applyBorderFormats="0" applyFontFormats="0" applyPatternFormats="0" applyAlignmentFormats="0" applyWidthHeightFormats="0">
  <queryTableRefresh nextId="9">
    <queryTableFields count="8">
      <queryTableField id="1" name="Store_ID" tableColumnId="1"/>
      <queryTableField id="2" name="Store_Name" tableColumnId="2"/>
      <queryTableField id="3" name="phone" tableColumnId="3"/>
      <queryTableField id="4" name="Email" tableColumnId="4"/>
      <queryTableField id="5" name="Street" tableColumnId="5"/>
      <queryTableField id="6" name="City" tableColumnId="6"/>
      <queryTableField id="7" name="State" tableColumnId="7"/>
      <queryTableField id="8" name="Zip_Code" tableColumnId="8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17CDAF33-D40F-4BCF-8C61-883C5C048C68}" autoFormatId="16" applyNumberFormats="0" applyBorderFormats="0" applyFontFormats="0" applyPatternFormats="0" applyAlignmentFormats="0" applyWidthHeightFormats="0">
  <queryTableRefresh nextId="10">
    <queryTableFields count="9">
      <queryTableField id="1" name="Customer_id" tableColumnId="1"/>
      <queryTableField id="2" name="First_Name" tableColumnId="2"/>
      <queryTableField id="3" name="Last_Name" tableColumnId="3"/>
      <queryTableField id="4" name="Phone" tableColumnId="4"/>
      <queryTableField id="5" name="Email" tableColumnId="5"/>
      <queryTableField id="6" name="Street" tableColumnId="6"/>
      <queryTableField id="7" name="City" tableColumnId="7"/>
      <queryTableField id="8" name="State" tableColumnId="8"/>
      <queryTableField id="9" name="Zip_code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A6DE1B7-166C-49AB-9C8F-A41A16CDDF3D}" name="brands__2" displayName="brands__2" ref="A1:B10" tableType="queryTable" totalsRowShown="0">
  <autoFilter ref="A1:B10" xr:uid="{2A6DE1B7-166C-49AB-9C8F-A41A16CDDF3D}"/>
  <tableColumns count="2">
    <tableColumn id="1" xr3:uid="{41A013D9-04DB-4895-B427-190D1C1472AD}" uniqueName="1" name="Brand_ID" queryTableFieldId="1"/>
    <tableColumn id="2" xr3:uid="{E9222A13-3842-4660-8D27-0E248BB8C2D5}" uniqueName="2" name="Brand_Name" queryTableFieldId="2" dataDxfId="34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DBFE7D23-CE82-42A3-804E-9A2492B1D8EC}" name="stocks" displayName="stocks" ref="A1:C940" tableType="queryTable" totalsRowShown="0">
  <autoFilter ref="A1:C940" xr:uid="{DBFE7D23-CE82-42A3-804E-9A2492B1D8EC}"/>
  <tableColumns count="3">
    <tableColumn id="1" xr3:uid="{BDB5E7B0-07CC-4C5F-AB31-B2324EF0E378}" uniqueName="1" name="Store_ID" queryTableFieldId="1"/>
    <tableColumn id="2" xr3:uid="{07F6402B-1CCD-49A2-B639-E6CD5FDF4457}" uniqueName="2" name="Product_ID" queryTableFieldId="2"/>
    <tableColumn id="3" xr3:uid="{5C5B89F5-FC92-4859-8E7A-1A96C7E0FFD7}" uniqueName="3" name="Quantity" queryTableFieldId="3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D42B740-F0A1-43D1-8BE1-A59928340ED2}" name="staffs" displayName="staffs" ref="A1:H11" tableType="queryTable" totalsRowShown="0">
  <autoFilter ref="A1:H11" xr:uid="{4D42B740-F0A1-43D1-8BE1-A59928340ED2}"/>
  <tableColumns count="8">
    <tableColumn id="1" xr3:uid="{E58E04C6-6265-48E2-8FE9-31A6EC61EEE1}" uniqueName="1" name="Staff_ID" queryTableFieldId="1"/>
    <tableColumn id="2" xr3:uid="{97A87399-96DF-4FC7-8407-DA5EECC757E2}" uniqueName="2" name="First_Name" queryTableFieldId="2" dataDxfId="33"/>
    <tableColumn id="3" xr3:uid="{251B4A40-5818-4AE2-8B85-0866A73BF4C1}" uniqueName="3" name="Last_Name" queryTableFieldId="3" dataDxfId="32"/>
    <tableColumn id="4" xr3:uid="{13693E11-4FDD-4C92-BF36-54ABCC5FFD00}" uniqueName="4" name="Email" queryTableFieldId="4" dataDxfId="31"/>
    <tableColumn id="5" xr3:uid="{11411AB0-46E9-4EC3-817B-F6AF5B6DDCB0}" uniqueName="5" name="Phone" queryTableFieldId="5" dataDxfId="30"/>
    <tableColumn id="6" xr3:uid="{11E14AEA-4741-417F-B8C1-244978F4F7C6}" uniqueName="6" name="Active" queryTableFieldId="6"/>
    <tableColumn id="7" xr3:uid="{89B02B79-26B7-407E-9213-F440879F6470}" uniqueName="7" name="Store_ID" queryTableFieldId="7"/>
    <tableColumn id="8" xr3:uid="{845A0D4C-932B-41DD-9FB8-641EE12F8C05}" uniqueName="8" name="Manager_ID" queryTableFieldId="8" dataDxfId="29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C0B1EA9-2D83-4ED9-BA41-2D89941754E7}" name="orders" displayName="orders" ref="A1:H1616" tableType="queryTable" totalsRowShown="0">
  <autoFilter ref="A1:H1616" xr:uid="{6C0B1EA9-2D83-4ED9-BA41-2D89941754E7}"/>
  <tableColumns count="8">
    <tableColumn id="1" xr3:uid="{50C95CAE-99EC-4A85-854D-F91C9896AD86}" uniqueName="1" name="Order_ID" queryTableFieldId="1"/>
    <tableColumn id="2" xr3:uid="{B9EFA3C9-1F45-4537-B0E5-9D66DB102DCF}" uniqueName="2" name="Customer_ID" queryTableFieldId="2"/>
    <tableColumn id="3" xr3:uid="{CE0D69BA-C3F5-4F76-9609-51E531FC18B0}" uniqueName="3" name="Order_Status" queryTableFieldId="3" dataDxfId="28"/>
    <tableColumn id="4" xr3:uid="{0AAA905A-3545-4AE5-9450-60B1F3E754D5}" uniqueName="4" name="Order_Date" queryTableFieldId="4" dataDxfId="27"/>
    <tableColumn id="5" xr3:uid="{71AA2D74-8E2E-47CE-89D8-55E9A51074F9}" uniqueName="5" name="Required_Date" queryTableFieldId="5" dataDxfId="26"/>
    <tableColumn id="6" xr3:uid="{46DBD0A4-4D1F-4DD1-893A-AD743DCEB374}" uniqueName="6" name="Shipped_Date" queryTableFieldId="6" dataDxfId="25"/>
    <tableColumn id="7" xr3:uid="{30028C49-F138-4B5B-BB46-DDD335763017}" uniqueName="7" name="Store_ID" queryTableFieldId="7"/>
    <tableColumn id="8" xr3:uid="{8AC76504-23C0-4A3F-A810-679065E4BE3F}" uniqueName="8" name="Staff_ID" queryTableFieldId="8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7AEA0A4-673C-45C9-AA4C-E27F20079940}" name="order_items" displayName="order_items" ref="A1:I1616" tableType="queryTable" totalsRowShown="0">
  <autoFilter ref="A1:I1616" xr:uid="{27AEA0A4-673C-45C9-AA4C-E27F20079940}"/>
  <tableColumns count="9">
    <tableColumn id="1" xr3:uid="{56C8B0CE-D2B2-4826-9E4F-E7FFD95B9C17}" uniqueName="1" name="Order_ID" queryTableFieldId="1"/>
    <tableColumn id="2" xr3:uid="{1D93BB7B-980A-41F0-B285-0482A3E2C599}" uniqueName="2" name="Item_ID" queryTableFieldId="2"/>
    <tableColumn id="3" xr3:uid="{9C35FA43-5642-4A50-9DED-470AF9D7564D}" uniqueName="3" name="Product_ID" queryTableFieldId="3"/>
    <tableColumn id="4" xr3:uid="{D472B3C6-0C6D-455D-8D0D-D015CCA92F1F}" uniqueName="4" name="Quantity" queryTableFieldId="4"/>
    <tableColumn id="5" xr3:uid="{C14BCFE2-3B1E-454A-A59E-7F73023F79D4}" uniqueName="5" name="List_Price" queryTableFieldId="5"/>
    <tableColumn id="6" xr3:uid="{28C0715B-AC70-494C-BCED-EB925F9D8424}" uniqueName="6" name="Discount" queryTableFieldId="6"/>
    <tableColumn id="7" xr3:uid="{E52C3CAA-3038-4B95-9437-8FA95E62F98A}" uniqueName="7" name="Total_Price" queryTableFieldId="7" dataDxfId="24">
      <calculatedColumnFormula>(E2*D2)-F2</calculatedColumnFormula>
    </tableColumn>
    <tableColumn id="8" xr3:uid="{55B8AD57-7CAC-4F0F-BF19-26318C4ECEA8}" uniqueName="8" name="Product_Name" queryTableFieldId="8" dataDxfId="23">
      <calculatedColumnFormula>_xlfn.XLOOKUP(C2,products[Product_ID],products[Product_Name],"not found",0)</calculatedColumnFormula>
    </tableColumn>
    <tableColumn id="9" xr3:uid="{5F2FED99-8B87-4E92-8315-59B06A49C2BA}" uniqueName="9" name="Category" queryTableFieldId="9" dataDxfId="22">
      <calculatedColumnFormula>VLOOKUP(products!D2,categories[#All],2,TRUE)</calculatedColumnFormula>
    </tableColumn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6C64AA7-CC91-4999-9E80-BA410B4D0375}" name="categories" displayName="categories" ref="A1:B8" tableType="queryTable" totalsRowShown="0">
  <autoFilter ref="A1:B8" xr:uid="{76C64AA7-CC91-4999-9E80-BA410B4D0375}"/>
  <tableColumns count="2">
    <tableColumn id="1" xr3:uid="{499251C7-C933-45C4-9757-1B2A23018CAD}" uniqueName="1" name="Category_ID" queryTableFieldId="1"/>
    <tableColumn id="2" xr3:uid="{A7F28252-014E-430E-B3E5-D5453769B79F}" uniqueName="2" name="Category_Name" queryTableFieldId="2" dataDxfId="21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DAB351B-F5CD-4907-A609-4A400FA2D09B}" name="products" displayName="products" ref="A1:H322" tableType="queryTable" totalsRowShown="0">
  <autoFilter ref="A1:H322" xr:uid="{ADAB351B-F5CD-4907-A609-4A400FA2D09B}"/>
  <tableColumns count="8">
    <tableColumn id="1" xr3:uid="{A8221ED4-B965-4F22-8B05-2574DA365DFE}" uniqueName="1" name="Product_ID" queryTableFieldId="1"/>
    <tableColumn id="2" xr3:uid="{629B66B5-0D21-4F50-A12B-292D0C6A481A}" uniqueName="2" name="Product_Name" queryTableFieldId="2" dataDxfId="20"/>
    <tableColumn id="3" xr3:uid="{437DB26B-9BF6-4B4A-95FC-D94C2C7F3F1D}" uniqueName="3" name="Brand_ID" queryTableFieldId="3"/>
    <tableColumn id="4" xr3:uid="{58D219B7-8557-40F0-8873-94A893E25BD5}" uniqueName="4" name="Category_ID" queryTableFieldId="4"/>
    <tableColumn id="5" xr3:uid="{ABC65865-CF05-413B-9248-565D690050BC}" uniqueName="5" name="Model_Year" queryTableFieldId="5"/>
    <tableColumn id="6" xr3:uid="{D440DE9B-36D2-448A-96A3-DB4ED5FAE4A8}" uniqueName="6" name="List_Price" queryTableFieldId="6"/>
    <tableColumn id="7" xr3:uid="{2A112CC3-3C63-4132-AC2F-900A0752B2A1}" uniqueName="7" name="Category" queryTableFieldId="7" dataDxfId="19">
      <calculatedColumnFormula>VLOOKUP(products!D2,categories[#All],2,TRUE)</calculatedColumnFormula>
    </tableColumn>
    <tableColumn id="8" xr3:uid="{C8B3FAB5-8961-4C07-A3A3-F3B78E4D1081}" uniqueName="8" name="Column1" queryTableFieldId="8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DDCCAB2-3E0D-4D86-846D-72C086FCAC34}" name="stores" displayName="stores" ref="A1:H4" tableType="queryTable" totalsRowShown="0">
  <autoFilter ref="A1:H4" xr:uid="{0DDCCAB2-3E0D-4D86-846D-72C086FCAC34}"/>
  <tableColumns count="8">
    <tableColumn id="1" xr3:uid="{C77F7007-ACBA-4509-8CD6-AAEEE88DABC5}" uniqueName="1" name="Store_ID" queryTableFieldId="1"/>
    <tableColumn id="2" xr3:uid="{238846EC-D2A7-48DA-9EB6-750EFE78CED7}" uniqueName="2" name="Store_Name" queryTableFieldId="2" dataDxfId="18"/>
    <tableColumn id="3" xr3:uid="{472B781E-F131-48C7-BB1E-B0E37E879E30}" uniqueName="3" name="phone" queryTableFieldId="3" dataDxfId="17"/>
    <tableColumn id="4" xr3:uid="{CED5D7C0-CC86-4B0D-8C17-4FE89D05D2CB}" uniqueName="4" name="Email" queryTableFieldId="4" dataDxfId="16"/>
    <tableColumn id="5" xr3:uid="{22626311-14B0-4D20-8A4A-5C8FB73426D8}" uniqueName="5" name="Street" queryTableFieldId="5" dataDxfId="15"/>
    <tableColumn id="6" xr3:uid="{5B732E45-89AB-4E5D-B701-C32226B904DE}" uniqueName="6" name="City" queryTableFieldId="6" dataDxfId="14"/>
    <tableColumn id="7" xr3:uid="{5D2BDFC7-4841-4A3D-9D90-4C2CFD1DFFDF}" uniqueName="7" name="State" queryTableFieldId="7" dataDxfId="13"/>
    <tableColumn id="8" xr3:uid="{A428B8DD-C1EE-4122-9695-A8F5B5E6CD7E}" uniqueName="8" name="Zip_Code" queryTableFieldId="8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EC13131-C9E7-461B-895F-166827AEF763}" name="customers" displayName="customers" ref="A1:I1446" tableType="queryTable" totalsRowShown="0">
  <autoFilter ref="A1:I1446" xr:uid="{8EC13131-C9E7-461B-895F-166827AEF763}"/>
  <tableColumns count="9">
    <tableColumn id="1" xr3:uid="{59922A36-5DC1-4DFC-8193-341FBE656EA8}" uniqueName="1" name="Customer_id" queryTableFieldId="1"/>
    <tableColumn id="2" xr3:uid="{FA80B852-BE6C-4213-9F6F-6AADCFD45446}" uniqueName="2" name="First_Name" queryTableFieldId="2" dataDxfId="12"/>
    <tableColumn id="3" xr3:uid="{59020806-8EED-4899-B59B-FD8EE85A695F}" uniqueName="3" name="Last_Name" queryTableFieldId="3" dataDxfId="11"/>
    <tableColumn id="4" xr3:uid="{FF6FB462-BE26-43F8-B19C-7C7EF42A8A73}" uniqueName="4" name="Phone" queryTableFieldId="4" dataDxfId="10"/>
    <tableColumn id="5" xr3:uid="{210625D2-05E3-4A3A-82F4-9E1C09118C47}" uniqueName="5" name="Email" queryTableFieldId="5" dataDxfId="9"/>
    <tableColumn id="6" xr3:uid="{248C8CDE-ED97-4C09-B0B5-3FF365BA2652}" uniqueName="6" name="Street" queryTableFieldId="6" dataDxfId="8"/>
    <tableColumn id="7" xr3:uid="{BE6A17A9-B4FC-4E25-AE16-BEBFEE1BD235}" uniqueName="7" name="City" queryTableFieldId="7" dataDxfId="7"/>
    <tableColumn id="8" xr3:uid="{F792ECFF-806F-4681-A25A-5067B9BE4931}" uniqueName="8" name="State" queryTableFieldId="8" dataDxfId="6"/>
    <tableColumn id="9" xr3:uid="{2F009C2B-DC54-4B6D-B2DB-7994C76CC4FB}" uniqueName="9" name="Zip_code" queryTableFieldId="9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5926A-335A-4ACE-A004-88B99FECD6F4}">
  <dimension ref="A1:B10"/>
  <sheetViews>
    <sheetView workbookViewId="0"/>
  </sheetViews>
  <sheetFormatPr defaultRowHeight="14.4" x14ac:dyDescent="0.3"/>
  <cols>
    <col min="1" max="1" width="11.33203125" bestFit="1" customWidth="1"/>
    <col min="2" max="2" width="14.5546875" bestFit="1" customWidth="1"/>
  </cols>
  <sheetData>
    <row r="1" spans="1:2" x14ac:dyDescent="0.3">
      <c r="A1" t="s">
        <v>5292</v>
      </c>
      <c r="B1" t="s">
        <v>5293</v>
      </c>
    </row>
    <row r="2" spans="1:2" x14ac:dyDescent="0.3">
      <c r="A2">
        <v>1</v>
      </c>
      <c r="B2" t="s">
        <v>5294</v>
      </c>
    </row>
    <row r="3" spans="1:2" x14ac:dyDescent="0.3">
      <c r="A3">
        <v>2</v>
      </c>
      <c r="B3" t="s">
        <v>5295</v>
      </c>
    </row>
    <row r="4" spans="1:2" x14ac:dyDescent="0.3">
      <c r="A4">
        <v>3</v>
      </c>
      <c r="B4" t="s">
        <v>5296</v>
      </c>
    </row>
    <row r="5" spans="1:2" x14ac:dyDescent="0.3">
      <c r="A5">
        <v>4</v>
      </c>
      <c r="B5" t="s">
        <v>5297</v>
      </c>
    </row>
    <row r="6" spans="1:2" x14ac:dyDescent="0.3">
      <c r="A6">
        <v>5</v>
      </c>
      <c r="B6" t="s">
        <v>5298</v>
      </c>
    </row>
    <row r="7" spans="1:2" x14ac:dyDescent="0.3">
      <c r="A7">
        <v>6</v>
      </c>
      <c r="B7" t="s">
        <v>5299</v>
      </c>
    </row>
    <row r="8" spans="1:2" x14ac:dyDescent="0.3">
      <c r="A8">
        <v>7</v>
      </c>
      <c r="B8" t="s">
        <v>5300</v>
      </c>
    </row>
    <row r="9" spans="1:2" x14ac:dyDescent="0.3">
      <c r="A9">
        <v>8</v>
      </c>
      <c r="B9" t="s">
        <v>5301</v>
      </c>
    </row>
    <row r="10" spans="1:2" x14ac:dyDescent="0.3">
      <c r="A10">
        <v>9</v>
      </c>
      <c r="B10" t="s">
        <v>5302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AF265-7043-41D1-A6A9-83EDA52712F5}">
  <dimension ref="A1:C940"/>
  <sheetViews>
    <sheetView workbookViewId="0"/>
  </sheetViews>
  <sheetFormatPr defaultRowHeight="14.4" x14ac:dyDescent="0.3"/>
  <cols>
    <col min="1" max="1" width="11" bestFit="1" customWidth="1"/>
    <col min="2" max="2" width="13.109375" bestFit="1" customWidth="1"/>
    <col min="3" max="3" width="11" bestFit="1" customWidth="1"/>
  </cols>
  <sheetData>
    <row r="1" spans="1:3" x14ac:dyDescent="0.3">
      <c r="A1" t="s">
        <v>5246</v>
      </c>
      <c r="B1" t="s">
        <v>5303</v>
      </c>
      <c r="C1" t="s">
        <v>5600</v>
      </c>
    </row>
    <row r="2" spans="1:3" x14ac:dyDescent="0.3">
      <c r="A2">
        <v>1</v>
      </c>
      <c r="B2">
        <v>1</v>
      </c>
      <c r="C2">
        <v>27</v>
      </c>
    </row>
    <row r="3" spans="1:3" x14ac:dyDescent="0.3">
      <c r="A3">
        <v>1</v>
      </c>
      <c r="B3">
        <v>2</v>
      </c>
      <c r="C3">
        <v>5</v>
      </c>
    </row>
    <row r="4" spans="1:3" x14ac:dyDescent="0.3">
      <c r="A4">
        <v>1</v>
      </c>
      <c r="B4">
        <v>3</v>
      </c>
      <c r="C4">
        <v>6</v>
      </c>
    </row>
    <row r="5" spans="1:3" x14ac:dyDescent="0.3">
      <c r="A5">
        <v>1</v>
      </c>
      <c r="B5">
        <v>4</v>
      </c>
      <c r="C5">
        <v>23</v>
      </c>
    </row>
    <row r="6" spans="1:3" x14ac:dyDescent="0.3">
      <c r="A6">
        <v>1</v>
      </c>
      <c r="B6">
        <v>5</v>
      </c>
      <c r="C6">
        <v>22</v>
      </c>
    </row>
    <row r="7" spans="1:3" x14ac:dyDescent="0.3">
      <c r="A7">
        <v>1</v>
      </c>
      <c r="B7">
        <v>6</v>
      </c>
      <c r="C7">
        <v>0</v>
      </c>
    </row>
    <row r="8" spans="1:3" x14ac:dyDescent="0.3">
      <c r="A8">
        <v>1</v>
      </c>
      <c r="B8">
        <v>7</v>
      </c>
      <c r="C8">
        <v>8</v>
      </c>
    </row>
    <row r="9" spans="1:3" x14ac:dyDescent="0.3">
      <c r="A9">
        <v>1</v>
      </c>
      <c r="B9">
        <v>8</v>
      </c>
      <c r="C9">
        <v>0</v>
      </c>
    </row>
    <row r="10" spans="1:3" x14ac:dyDescent="0.3">
      <c r="A10">
        <v>1</v>
      </c>
      <c r="B10">
        <v>9</v>
      </c>
      <c r="C10">
        <v>11</v>
      </c>
    </row>
    <row r="11" spans="1:3" x14ac:dyDescent="0.3">
      <c r="A11">
        <v>1</v>
      </c>
      <c r="B11">
        <v>10</v>
      </c>
      <c r="C11">
        <v>15</v>
      </c>
    </row>
    <row r="12" spans="1:3" x14ac:dyDescent="0.3">
      <c r="A12">
        <v>1</v>
      </c>
      <c r="B12">
        <v>11</v>
      </c>
      <c r="C12">
        <v>8</v>
      </c>
    </row>
    <row r="13" spans="1:3" x14ac:dyDescent="0.3">
      <c r="A13">
        <v>1</v>
      </c>
      <c r="B13">
        <v>12</v>
      </c>
      <c r="C13">
        <v>16</v>
      </c>
    </row>
    <row r="14" spans="1:3" x14ac:dyDescent="0.3">
      <c r="A14">
        <v>1</v>
      </c>
      <c r="B14">
        <v>13</v>
      </c>
      <c r="C14">
        <v>13</v>
      </c>
    </row>
    <row r="15" spans="1:3" x14ac:dyDescent="0.3">
      <c r="A15">
        <v>1</v>
      </c>
      <c r="B15">
        <v>14</v>
      </c>
      <c r="C15">
        <v>8</v>
      </c>
    </row>
    <row r="16" spans="1:3" x14ac:dyDescent="0.3">
      <c r="A16">
        <v>1</v>
      </c>
      <c r="B16">
        <v>15</v>
      </c>
      <c r="C16">
        <v>3</v>
      </c>
    </row>
    <row r="17" spans="1:3" x14ac:dyDescent="0.3">
      <c r="A17">
        <v>1</v>
      </c>
      <c r="B17">
        <v>16</v>
      </c>
      <c r="C17">
        <v>4</v>
      </c>
    </row>
    <row r="18" spans="1:3" x14ac:dyDescent="0.3">
      <c r="A18">
        <v>1</v>
      </c>
      <c r="B18">
        <v>17</v>
      </c>
      <c r="C18">
        <v>2</v>
      </c>
    </row>
    <row r="19" spans="1:3" x14ac:dyDescent="0.3">
      <c r="A19">
        <v>1</v>
      </c>
      <c r="B19">
        <v>18</v>
      </c>
      <c r="C19">
        <v>16</v>
      </c>
    </row>
    <row r="20" spans="1:3" x14ac:dyDescent="0.3">
      <c r="A20">
        <v>1</v>
      </c>
      <c r="B20">
        <v>19</v>
      </c>
      <c r="C20">
        <v>4</v>
      </c>
    </row>
    <row r="21" spans="1:3" x14ac:dyDescent="0.3">
      <c r="A21">
        <v>1</v>
      </c>
      <c r="B21">
        <v>20</v>
      </c>
      <c r="C21">
        <v>26</v>
      </c>
    </row>
    <row r="22" spans="1:3" x14ac:dyDescent="0.3">
      <c r="A22">
        <v>1</v>
      </c>
      <c r="B22">
        <v>21</v>
      </c>
      <c r="C22">
        <v>24</v>
      </c>
    </row>
    <row r="23" spans="1:3" x14ac:dyDescent="0.3">
      <c r="A23">
        <v>1</v>
      </c>
      <c r="B23">
        <v>22</v>
      </c>
      <c r="C23">
        <v>29</v>
      </c>
    </row>
    <row r="24" spans="1:3" x14ac:dyDescent="0.3">
      <c r="A24">
        <v>1</v>
      </c>
      <c r="B24">
        <v>23</v>
      </c>
      <c r="C24">
        <v>9</v>
      </c>
    </row>
    <row r="25" spans="1:3" x14ac:dyDescent="0.3">
      <c r="A25">
        <v>1</v>
      </c>
      <c r="B25">
        <v>24</v>
      </c>
      <c r="C25">
        <v>10</v>
      </c>
    </row>
    <row r="26" spans="1:3" x14ac:dyDescent="0.3">
      <c r="A26">
        <v>1</v>
      </c>
      <c r="B26">
        <v>25</v>
      </c>
      <c r="C26">
        <v>10</v>
      </c>
    </row>
    <row r="27" spans="1:3" x14ac:dyDescent="0.3">
      <c r="A27">
        <v>1</v>
      </c>
      <c r="B27">
        <v>26</v>
      </c>
      <c r="C27">
        <v>16</v>
      </c>
    </row>
    <row r="28" spans="1:3" x14ac:dyDescent="0.3">
      <c r="A28">
        <v>1</v>
      </c>
      <c r="B28">
        <v>27</v>
      </c>
      <c r="C28">
        <v>21</v>
      </c>
    </row>
    <row r="29" spans="1:3" x14ac:dyDescent="0.3">
      <c r="A29">
        <v>1</v>
      </c>
      <c r="B29">
        <v>28</v>
      </c>
      <c r="C29">
        <v>20</v>
      </c>
    </row>
    <row r="30" spans="1:3" x14ac:dyDescent="0.3">
      <c r="A30">
        <v>1</v>
      </c>
      <c r="B30">
        <v>29</v>
      </c>
      <c r="C30">
        <v>13</v>
      </c>
    </row>
    <row r="31" spans="1:3" x14ac:dyDescent="0.3">
      <c r="A31">
        <v>1</v>
      </c>
      <c r="B31">
        <v>30</v>
      </c>
      <c r="C31">
        <v>30</v>
      </c>
    </row>
    <row r="32" spans="1:3" x14ac:dyDescent="0.3">
      <c r="A32">
        <v>1</v>
      </c>
      <c r="B32">
        <v>31</v>
      </c>
      <c r="C32">
        <v>2</v>
      </c>
    </row>
    <row r="33" spans="1:3" x14ac:dyDescent="0.3">
      <c r="A33">
        <v>1</v>
      </c>
      <c r="B33">
        <v>32</v>
      </c>
      <c r="C33">
        <v>0</v>
      </c>
    </row>
    <row r="34" spans="1:3" x14ac:dyDescent="0.3">
      <c r="A34">
        <v>1</v>
      </c>
      <c r="B34">
        <v>33</v>
      </c>
      <c r="C34">
        <v>10</v>
      </c>
    </row>
    <row r="35" spans="1:3" x14ac:dyDescent="0.3">
      <c r="A35">
        <v>1</v>
      </c>
      <c r="B35">
        <v>34</v>
      </c>
      <c r="C35">
        <v>2</v>
      </c>
    </row>
    <row r="36" spans="1:3" x14ac:dyDescent="0.3">
      <c r="A36">
        <v>1</v>
      </c>
      <c r="B36">
        <v>35</v>
      </c>
      <c r="C36">
        <v>18</v>
      </c>
    </row>
    <row r="37" spans="1:3" x14ac:dyDescent="0.3">
      <c r="A37">
        <v>1</v>
      </c>
      <c r="B37">
        <v>36</v>
      </c>
      <c r="C37">
        <v>26</v>
      </c>
    </row>
    <row r="38" spans="1:3" x14ac:dyDescent="0.3">
      <c r="A38">
        <v>1</v>
      </c>
      <c r="B38">
        <v>37</v>
      </c>
      <c r="C38">
        <v>12</v>
      </c>
    </row>
    <row r="39" spans="1:3" x14ac:dyDescent="0.3">
      <c r="A39">
        <v>1</v>
      </c>
      <c r="B39">
        <v>38</v>
      </c>
      <c r="C39">
        <v>13</v>
      </c>
    </row>
    <row r="40" spans="1:3" x14ac:dyDescent="0.3">
      <c r="A40">
        <v>1</v>
      </c>
      <c r="B40">
        <v>39</v>
      </c>
      <c r="C40">
        <v>2</v>
      </c>
    </row>
    <row r="41" spans="1:3" x14ac:dyDescent="0.3">
      <c r="A41">
        <v>1</v>
      </c>
      <c r="B41">
        <v>40</v>
      </c>
      <c r="C41">
        <v>24</v>
      </c>
    </row>
    <row r="42" spans="1:3" x14ac:dyDescent="0.3">
      <c r="A42">
        <v>1</v>
      </c>
      <c r="B42">
        <v>41</v>
      </c>
      <c r="C42">
        <v>10</v>
      </c>
    </row>
    <row r="43" spans="1:3" x14ac:dyDescent="0.3">
      <c r="A43">
        <v>1</v>
      </c>
      <c r="B43">
        <v>42</v>
      </c>
      <c r="C43">
        <v>0</v>
      </c>
    </row>
    <row r="44" spans="1:3" x14ac:dyDescent="0.3">
      <c r="A44">
        <v>1</v>
      </c>
      <c r="B44">
        <v>43</v>
      </c>
      <c r="C44">
        <v>2</v>
      </c>
    </row>
    <row r="45" spans="1:3" x14ac:dyDescent="0.3">
      <c r="A45">
        <v>1</v>
      </c>
      <c r="B45">
        <v>44</v>
      </c>
      <c r="C45">
        <v>1</v>
      </c>
    </row>
    <row r="46" spans="1:3" x14ac:dyDescent="0.3">
      <c r="A46">
        <v>1</v>
      </c>
      <c r="B46">
        <v>45</v>
      </c>
      <c r="C46">
        <v>15</v>
      </c>
    </row>
    <row r="47" spans="1:3" x14ac:dyDescent="0.3">
      <c r="A47">
        <v>1</v>
      </c>
      <c r="B47">
        <v>46</v>
      </c>
      <c r="C47">
        <v>19</v>
      </c>
    </row>
    <row r="48" spans="1:3" x14ac:dyDescent="0.3">
      <c r="A48">
        <v>1</v>
      </c>
      <c r="B48">
        <v>47</v>
      </c>
      <c r="C48">
        <v>21</v>
      </c>
    </row>
    <row r="49" spans="1:3" x14ac:dyDescent="0.3">
      <c r="A49">
        <v>1</v>
      </c>
      <c r="B49">
        <v>48</v>
      </c>
      <c r="C49">
        <v>5</v>
      </c>
    </row>
    <row r="50" spans="1:3" x14ac:dyDescent="0.3">
      <c r="A50">
        <v>1</v>
      </c>
      <c r="B50">
        <v>49</v>
      </c>
      <c r="C50">
        <v>8</v>
      </c>
    </row>
    <row r="51" spans="1:3" x14ac:dyDescent="0.3">
      <c r="A51">
        <v>1</v>
      </c>
      <c r="B51">
        <v>50</v>
      </c>
      <c r="C51">
        <v>29</v>
      </c>
    </row>
    <row r="52" spans="1:3" x14ac:dyDescent="0.3">
      <c r="A52">
        <v>1</v>
      </c>
      <c r="B52">
        <v>51</v>
      </c>
      <c r="C52">
        <v>2</v>
      </c>
    </row>
    <row r="53" spans="1:3" x14ac:dyDescent="0.3">
      <c r="A53">
        <v>1</v>
      </c>
      <c r="B53">
        <v>52</v>
      </c>
      <c r="C53">
        <v>18</v>
      </c>
    </row>
    <row r="54" spans="1:3" x14ac:dyDescent="0.3">
      <c r="A54">
        <v>1</v>
      </c>
      <c r="B54">
        <v>53</v>
      </c>
      <c r="C54">
        <v>17</v>
      </c>
    </row>
    <row r="55" spans="1:3" x14ac:dyDescent="0.3">
      <c r="A55">
        <v>1</v>
      </c>
      <c r="B55">
        <v>54</v>
      </c>
      <c r="C55">
        <v>11</v>
      </c>
    </row>
    <row r="56" spans="1:3" x14ac:dyDescent="0.3">
      <c r="A56">
        <v>1</v>
      </c>
      <c r="B56">
        <v>55</v>
      </c>
      <c r="C56">
        <v>11</v>
      </c>
    </row>
    <row r="57" spans="1:3" x14ac:dyDescent="0.3">
      <c r="A57">
        <v>1</v>
      </c>
      <c r="B57">
        <v>56</v>
      </c>
      <c r="C57">
        <v>15</v>
      </c>
    </row>
    <row r="58" spans="1:3" x14ac:dyDescent="0.3">
      <c r="A58">
        <v>1</v>
      </c>
      <c r="B58">
        <v>57</v>
      </c>
      <c r="C58">
        <v>1</v>
      </c>
    </row>
    <row r="59" spans="1:3" x14ac:dyDescent="0.3">
      <c r="A59">
        <v>1</v>
      </c>
      <c r="B59">
        <v>58</v>
      </c>
      <c r="C59">
        <v>1</v>
      </c>
    </row>
    <row r="60" spans="1:3" x14ac:dyDescent="0.3">
      <c r="A60">
        <v>1</v>
      </c>
      <c r="B60">
        <v>59</v>
      </c>
      <c r="C60">
        <v>22</v>
      </c>
    </row>
    <row r="61" spans="1:3" x14ac:dyDescent="0.3">
      <c r="A61">
        <v>1</v>
      </c>
      <c r="B61">
        <v>60</v>
      </c>
      <c r="C61">
        <v>19</v>
      </c>
    </row>
    <row r="62" spans="1:3" x14ac:dyDescent="0.3">
      <c r="A62">
        <v>1</v>
      </c>
      <c r="B62">
        <v>61</v>
      </c>
      <c r="C62">
        <v>30</v>
      </c>
    </row>
    <row r="63" spans="1:3" x14ac:dyDescent="0.3">
      <c r="A63">
        <v>1</v>
      </c>
      <c r="B63">
        <v>62</v>
      </c>
      <c r="C63">
        <v>21</v>
      </c>
    </row>
    <row r="64" spans="1:3" x14ac:dyDescent="0.3">
      <c r="A64">
        <v>1</v>
      </c>
      <c r="B64">
        <v>63</v>
      </c>
      <c r="C64">
        <v>4</v>
      </c>
    </row>
    <row r="65" spans="1:3" x14ac:dyDescent="0.3">
      <c r="A65">
        <v>1</v>
      </c>
      <c r="B65">
        <v>64</v>
      </c>
      <c r="C65">
        <v>30</v>
      </c>
    </row>
    <row r="66" spans="1:3" x14ac:dyDescent="0.3">
      <c r="A66">
        <v>1</v>
      </c>
      <c r="B66">
        <v>65</v>
      </c>
      <c r="C66">
        <v>10</v>
      </c>
    </row>
    <row r="67" spans="1:3" x14ac:dyDescent="0.3">
      <c r="A67">
        <v>1</v>
      </c>
      <c r="B67">
        <v>66</v>
      </c>
      <c r="C67">
        <v>12</v>
      </c>
    </row>
    <row r="68" spans="1:3" x14ac:dyDescent="0.3">
      <c r="A68">
        <v>1</v>
      </c>
      <c r="B68">
        <v>67</v>
      </c>
      <c r="C68">
        <v>19</v>
      </c>
    </row>
    <row r="69" spans="1:3" x14ac:dyDescent="0.3">
      <c r="A69">
        <v>1</v>
      </c>
      <c r="B69">
        <v>68</v>
      </c>
      <c r="C69">
        <v>30</v>
      </c>
    </row>
    <row r="70" spans="1:3" x14ac:dyDescent="0.3">
      <c r="A70">
        <v>1</v>
      </c>
      <c r="B70">
        <v>69</v>
      </c>
      <c r="C70">
        <v>4</v>
      </c>
    </row>
    <row r="71" spans="1:3" x14ac:dyDescent="0.3">
      <c r="A71">
        <v>1</v>
      </c>
      <c r="B71">
        <v>70</v>
      </c>
      <c r="C71">
        <v>3</v>
      </c>
    </row>
    <row r="72" spans="1:3" x14ac:dyDescent="0.3">
      <c r="A72">
        <v>1</v>
      </c>
      <c r="B72">
        <v>71</v>
      </c>
      <c r="C72">
        <v>25</v>
      </c>
    </row>
    <row r="73" spans="1:3" x14ac:dyDescent="0.3">
      <c r="A73">
        <v>1</v>
      </c>
      <c r="B73">
        <v>72</v>
      </c>
      <c r="C73">
        <v>9</v>
      </c>
    </row>
    <row r="74" spans="1:3" x14ac:dyDescent="0.3">
      <c r="A74">
        <v>1</v>
      </c>
      <c r="B74">
        <v>73</v>
      </c>
      <c r="C74">
        <v>7</v>
      </c>
    </row>
    <row r="75" spans="1:3" x14ac:dyDescent="0.3">
      <c r="A75">
        <v>1</v>
      </c>
      <c r="B75">
        <v>74</v>
      </c>
      <c r="C75">
        <v>9</v>
      </c>
    </row>
    <row r="76" spans="1:3" x14ac:dyDescent="0.3">
      <c r="A76">
        <v>1</v>
      </c>
      <c r="B76">
        <v>75</v>
      </c>
      <c r="C76">
        <v>23</v>
      </c>
    </row>
    <row r="77" spans="1:3" x14ac:dyDescent="0.3">
      <c r="A77">
        <v>1</v>
      </c>
      <c r="B77">
        <v>76</v>
      </c>
      <c r="C77">
        <v>15</v>
      </c>
    </row>
    <row r="78" spans="1:3" x14ac:dyDescent="0.3">
      <c r="A78">
        <v>1</v>
      </c>
      <c r="B78">
        <v>77</v>
      </c>
      <c r="C78">
        <v>16</v>
      </c>
    </row>
    <row r="79" spans="1:3" x14ac:dyDescent="0.3">
      <c r="A79">
        <v>1</v>
      </c>
      <c r="B79">
        <v>78</v>
      </c>
      <c r="C79">
        <v>13</v>
      </c>
    </row>
    <row r="80" spans="1:3" x14ac:dyDescent="0.3">
      <c r="A80">
        <v>1</v>
      </c>
      <c r="B80">
        <v>79</v>
      </c>
      <c r="C80">
        <v>13</v>
      </c>
    </row>
    <row r="81" spans="1:3" x14ac:dyDescent="0.3">
      <c r="A81">
        <v>1</v>
      </c>
      <c r="B81">
        <v>80</v>
      </c>
      <c r="C81">
        <v>11</v>
      </c>
    </row>
    <row r="82" spans="1:3" x14ac:dyDescent="0.3">
      <c r="A82">
        <v>1</v>
      </c>
      <c r="B82">
        <v>81</v>
      </c>
      <c r="C82">
        <v>25</v>
      </c>
    </row>
    <row r="83" spans="1:3" x14ac:dyDescent="0.3">
      <c r="A83">
        <v>1</v>
      </c>
      <c r="B83">
        <v>82</v>
      </c>
      <c r="C83">
        <v>1</v>
      </c>
    </row>
    <row r="84" spans="1:3" x14ac:dyDescent="0.3">
      <c r="A84">
        <v>1</v>
      </c>
      <c r="B84">
        <v>83</v>
      </c>
      <c r="C84">
        <v>13</v>
      </c>
    </row>
    <row r="85" spans="1:3" x14ac:dyDescent="0.3">
      <c r="A85">
        <v>1</v>
      </c>
      <c r="B85">
        <v>84</v>
      </c>
      <c r="C85">
        <v>11</v>
      </c>
    </row>
    <row r="86" spans="1:3" x14ac:dyDescent="0.3">
      <c r="A86">
        <v>1</v>
      </c>
      <c r="B86">
        <v>85</v>
      </c>
      <c r="C86">
        <v>23</v>
      </c>
    </row>
    <row r="87" spans="1:3" x14ac:dyDescent="0.3">
      <c r="A87">
        <v>1</v>
      </c>
      <c r="B87">
        <v>86</v>
      </c>
      <c r="C87">
        <v>19</v>
      </c>
    </row>
    <row r="88" spans="1:3" x14ac:dyDescent="0.3">
      <c r="A88">
        <v>1</v>
      </c>
      <c r="B88">
        <v>87</v>
      </c>
      <c r="C88">
        <v>27</v>
      </c>
    </row>
    <row r="89" spans="1:3" x14ac:dyDescent="0.3">
      <c r="A89">
        <v>1</v>
      </c>
      <c r="B89">
        <v>88</v>
      </c>
      <c r="C89">
        <v>7</v>
      </c>
    </row>
    <row r="90" spans="1:3" x14ac:dyDescent="0.3">
      <c r="A90">
        <v>1</v>
      </c>
      <c r="B90">
        <v>89</v>
      </c>
      <c r="C90">
        <v>9</v>
      </c>
    </row>
    <row r="91" spans="1:3" x14ac:dyDescent="0.3">
      <c r="A91">
        <v>1</v>
      </c>
      <c r="B91">
        <v>90</v>
      </c>
      <c r="C91">
        <v>4</v>
      </c>
    </row>
    <row r="92" spans="1:3" x14ac:dyDescent="0.3">
      <c r="A92">
        <v>1</v>
      </c>
      <c r="B92">
        <v>91</v>
      </c>
      <c r="C92">
        <v>8</v>
      </c>
    </row>
    <row r="93" spans="1:3" x14ac:dyDescent="0.3">
      <c r="A93">
        <v>1</v>
      </c>
      <c r="B93">
        <v>92</v>
      </c>
      <c r="C93">
        <v>0</v>
      </c>
    </row>
    <row r="94" spans="1:3" x14ac:dyDescent="0.3">
      <c r="A94">
        <v>1</v>
      </c>
      <c r="B94">
        <v>93</v>
      </c>
      <c r="C94">
        <v>22</v>
      </c>
    </row>
    <row r="95" spans="1:3" x14ac:dyDescent="0.3">
      <c r="A95">
        <v>1</v>
      </c>
      <c r="B95">
        <v>94</v>
      </c>
      <c r="C95">
        <v>6</v>
      </c>
    </row>
    <row r="96" spans="1:3" x14ac:dyDescent="0.3">
      <c r="A96">
        <v>1</v>
      </c>
      <c r="B96">
        <v>95</v>
      </c>
      <c r="C96">
        <v>25</v>
      </c>
    </row>
    <row r="97" spans="1:3" x14ac:dyDescent="0.3">
      <c r="A97">
        <v>1</v>
      </c>
      <c r="B97">
        <v>96</v>
      </c>
      <c r="C97">
        <v>20</v>
      </c>
    </row>
    <row r="98" spans="1:3" x14ac:dyDescent="0.3">
      <c r="A98">
        <v>1</v>
      </c>
      <c r="B98">
        <v>97</v>
      </c>
      <c r="C98">
        <v>20</v>
      </c>
    </row>
    <row r="99" spans="1:3" x14ac:dyDescent="0.3">
      <c r="A99">
        <v>1</v>
      </c>
      <c r="B99">
        <v>98</v>
      </c>
      <c r="C99">
        <v>28</v>
      </c>
    </row>
    <row r="100" spans="1:3" x14ac:dyDescent="0.3">
      <c r="A100">
        <v>1</v>
      </c>
      <c r="B100">
        <v>99</v>
      </c>
      <c r="C100">
        <v>28</v>
      </c>
    </row>
    <row r="101" spans="1:3" x14ac:dyDescent="0.3">
      <c r="A101">
        <v>1</v>
      </c>
      <c r="B101">
        <v>100</v>
      </c>
      <c r="C101">
        <v>15</v>
      </c>
    </row>
    <row r="102" spans="1:3" x14ac:dyDescent="0.3">
      <c r="A102">
        <v>1</v>
      </c>
      <c r="B102">
        <v>101</v>
      </c>
      <c r="C102">
        <v>17</v>
      </c>
    </row>
    <row r="103" spans="1:3" x14ac:dyDescent="0.3">
      <c r="A103">
        <v>1</v>
      </c>
      <c r="B103">
        <v>102</v>
      </c>
      <c r="C103">
        <v>9</v>
      </c>
    </row>
    <row r="104" spans="1:3" x14ac:dyDescent="0.3">
      <c r="A104">
        <v>1</v>
      </c>
      <c r="B104">
        <v>103</v>
      </c>
      <c r="C104">
        <v>13</v>
      </c>
    </row>
    <row r="105" spans="1:3" x14ac:dyDescent="0.3">
      <c r="A105">
        <v>1</v>
      </c>
      <c r="B105">
        <v>104</v>
      </c>
      <c r="C105">
        <v>25</v>
      </c>
    </row>
    <row r="106" spans="1:3" x14ac:dyDescent="0.3">
      <c r="A106">
        <v>1</v>
      </c>
      <c r="B106">
        <v>105</v>
      </c>
      <c r="C106">
        <v>7</v>
      </c>
    </row>
    <row r="107" spans="1:3" x14ac:dyDescent="0.3">
      <c r="A107">
        <v>1</v>
      </c>
      <c r="B107">
        <v>106</v>
      </c>
      <c r="C107">
        <v>30</v>
      </c>
    </row>
    <row r="108" spans="1:3" x14ac:dyDescent="0.3">
      <c r="A108">
        <v>1</v>
      </c>
      <c r="B108">
        <v>107</v>
      </c>
      <c r="C108">
        <v>20</v>
      </c>
    </row>
    <row r="109" spans="1:3" x14ac:dyDescent="0.3">
      <c r="A109">
        <v>1</v>
      </c>
      <c r="B109">
        <v>108</v>
      </c>
      <c r="C109">
        <v>15</v>
      </c>
    </row>
    <row r="110" spans="1:3" x14ac:dyDescent="0.3">
      <c r="A110">
        <v>1</v>
      </c>
      <c r="B110">
        <v>109</v>
      </c>
      <c r="C110">
        <v>30</v>
      </c>
    </row>
    <row r="111" spans="1:3" x14ac:dyDescent="0.3">
      <c r="A111">
        <v>1</v>
      </c>
      <c r="B111">
        <v>110</v>
      </c>
      <c r="C111">
        <v>1</v>
      </c>
    </row>
    <row r="112" spans="1:3" x14ac:dyDescent="0.3">
      <c r="A112">
        <v>1</v>
      </c>
      <c r="B112">
        <v>111</v>
      </c>
      <c r="C112">
        <v>11</v>
      </c>
    </row>
    <row r="113" spans="1:3" x14ac:dyDescent="0.3">
      <c r="A113">
        <v>1</v>
      </c>
      <c r="B113">
        <v>112</v>
      </c>
      <c r="C113">
        <v>17</v>
      </c>
    </row>
    <row r="114" spans="1:3" x14ac:dyDescent="0.3">
      <c r="A114">
        <v>1</v>
      </c>
      <c r="B114">
        <v>113</v>
      </c>
      <c r="C114">
        <v>24</v>
      </c>
    </row>
    <row r="115" spans="1:3" x14ac:dyDescent="0.3">
      <c r="A115">
        <v>1</v>
      </c>
      <c r="B115">
        <v>114</v>
      </c>
      <c r="C115">
        <v>3</v>
      </c>
    </row>
    <row r="116" spans="1:3" x14ac:dyDescent="0.3">
      <c r="A116">
        <v>1</v>
      </c>
      <c r="B116">
        <v>115</v>
      </c>
      <c r="C116">
        <v>10</v>
      </c>
    </row>
    <row r="117" spans="1:3" x14ac:dyDescent="0.3">
      <c r="A117">
        <v>1</v>
      </c>
      <c r="B117">
        <v>116</v>
      </c>
      <c r="C117">
        <v>24</v>
      </c>
    </row>
    <row r="118" spans="1:3" x14ac:dyDescent="0.3">
      <c r="A118">
        <v>1</v>
      </c>
      <c r="B118">
        <v>117</v>
      </c>
      <c r="C118">
        <v>15</v>
      </c>
    </row>
    <row r="119" spans="1:3" x14ac:dyDescent="0.3">
      <c r="A119">
        <v>1</v>
      </c>
      <c r="B119">
        <v>118</v>
      </c>
      <c r="C119">
        <v>12</v>
      </c>
    </row>
    <row r="120" spans="1:3" x14ac:dyDescent="0.3">
      <c r="A120">
        <v>1</v>
      </c>
      <c r="B120">
        <v>119</v>
      </c>
      <c r="C120">
        <v>17</v>
      </c>
    </row>
    <row r="121" spans="1:3" x14ac:dyDescent="0.3">
      <c r="A121">
        <v>1</v>
      </c>
      <c r="B121">
        <v>120</v>
      </c>
      <c r="C121">
        <v>23</v>
      </c>
    </row>
    <row r="122" spans="1:3" x14ac:dyDescent="0.3">
      <c r="A122">
        <v>1</v>
      </c>
      <c r="B122">
        <v>121</v>
      </c>
      <c r="C122">
        <v>19</v>
      </c>
    </row>
    <row r="123" spans="1:3" x14ac:dyDescent="0.3">
      <c r="A123">
        <v>1</v>
      </c>
      <c r="B123">
        <v>122</v>
      </c>
      <c r="C123">
        <v>22</v>
      </c>
    </row>
    <row r="124" spans="1:3" x14ac:dyDescent="0.3">
      <c r="A124">
        <v>1</v>
      </c>
      <c r="B124">
        <v>123</v>
      </c>
      <c r="C124">
        <v>8</v>
      </c>
    </row>
    <row r="125" spans="1:3" x14ac:dyDescent="0.3">
      <c r="A125">
        <v>1</v>
      </c>
      <c r="B125">
        <v>124</v>
      </c>
      <c r="C125">
        <v>23</v>
      </c>
    </row>
    <row r="126" spans="1:3" x14ac:dyDescent="0.3">
      <c r="A126">
        <v>1</v>
      </c>
      <c r="B126">
        <v>125</v>
      </c>
      <c r="C126">
        <v>22</v>
      </c>
    </row>
    <row r="127" spans="1:3" x14ac:dyDescent="0.3">
      <c r="A127">
        <v>1</v>
      </c>
      <c r="B127">
        <v>126</v>
      </c>
      <c r="C127">
        <v>28</v>
      </c>
    </row>
    <row r="128" spans="1:3" x14ac:dyDescent="0.3">
      <c r="A128">
        <v>1</v>
      </c>
      <c r="B128">
        <v>127</v>
      </c>
      <c r="C128">
        <v>12</v>
      </c>
    </row>
    <row r="129" spans="1:3" x14ac:dyDescent="0.3">
      <c r="A129">
        <v>1</v>
      </c>
      <c r="B129">
        <v>128</v>
      </c>
      <c r="C129">
        <v>11</v>
      </c>
    </row>
    <row r="130" spans="1:3" x14ac:dyDescent="0.3">
      <c r="A130">
        <v>1</v>
      </c>
      <c r="B130">
        <v>129</v>
      </c>
      <c r="C130">
        <v>21</v>
      </c>
    </row>
    <row r="131" spans="1:3" x14ac:dyDescent="0.3">
      <c r="A131">
        <v>1</v>
      </c>
      <c r="B131">
        <v>130</v>
      </c>
      <c r="C131">
        <v>22</v>
      </c>
    </row>
    <row r="132" spans="1:3" x14ac:dyDescent="0.3">
      <c r="A132">
        <v>1</v>
      </c>
      <c r="B132">
        <v>131</v>
      </c>
      <c r="C132">
        <v>20</v>
      </c>
    </row>
    <row r="133" spans="1:3" x14ac:dyDescent="0.3">
      <c r="A133">
        <v>1</v>
      </c>
      <c r="B133">
        <v>132</v>
      </c>
      <c r="C133">
        <v>1</v>
      </c>
    </row>
    <row r="134" spans="1:3" x14ac:dyDescent="0.3">
      <c r="A134">
        <v>1</v>
      </c>
      <c r="B134">
        <v>133</v>
      </c>
      <c r="C134">
        <v>9</v>
      </c>
    </row>
    <row r="135" spans="1:3" x14ac:dyDescent="0.3">
      <c r="A135">
        <v>1</v>
      </c>
      <c r="B135">
        <v>134</v>
      </c>
      <c r="C135">
        <v>26</v>
      </c>
    </row>
    <row r="136" spans="1:3" x14ac:dyDescent="0.3">
      <c r="A136">
        <v>1</v>
      </c>
      <c r="B136">
        <v>135</v>
      </c>
      <c r="C136">
        <v>15</v>
      </c>
    </row>
    <row r="137" spans="1:3" x14ac:dyDescent="0.3">
      <c r="A137">
        <v>1</v>
      </c>
      <c r="B137">
        <v>136</v>
      </c>
      <c r="C137">
        <v>12</v>
      </c>
    </row>
    <row r="138" spans="1:3" x14ac:dyDescent="0.3">
      <c r="A138">
        <v>1</v>
      </c>
      <c r="B138">
        <v>137</v>
      </c>
      <c r="C138">
        <v>12</v>
      </c>
    </row>
    <row r="139" spans="1:3" x14ac:dyDescent="0.3">
      <c r="A139">
        <v>1</v>
      </c>
      <c r="B139">
        <v>138</v>
      </c>
      <c r="C139">
        <v>6</v>
      </c>
    </row>
    <row r="140" spans="1:3" x14ac:dyDescent="0.3">
      <c r="A140">
        <v>1</v>
      </c>
      <c r="B140">
        <v>139</v>
      </c>
      <c r="C140">
        <v>17</v>
      </c>
    </row>
    <row r="141" spans="1:3" x14ac:dyDescent="0.3">
      <c r="A141">
        <v>1</v>
      </c>
      <c r="B141">
        <v>140</v>
      </c>
      <c r="C141">
        <v>3</v>
      </c>
    </row>
    <row r="142" spans="1:3" x14ac:dyDescent="0.3">
      <c r="A142">
        <v>1</v>
      </c>
      <c r="B142">
        <v>141</v>
      </c>
      <c r="C142">
        <v>21</v>
      </c>
    </row>
    <row r="143" spans="1:3" x14ac:dyDescent="0.3">
      <c r="A143">
        <v>1</v>
      </c>
      <c r="B143">
        <v>142</v>
      </c>
      <c r="C143">
        <v>22</v>
      </c>
    </row>
    <row r="144" spans="1:3" x14ac:dyDescent="0.3">
      <c r="A144">
        <v>1</v>
      </c>
      <c r="B144">
        <v>143</v>
      </c>
      <c r="C144">
        <v>19</v>
      </c>
    </row>
    <row r="145" spans="1:3" x14ac:dyDescent="0.3">
      <c r="A145">
        <v>1</v>
      </c>
      <c r="B145">
        <v>144</v>
      </c>
      <c r="C145">
        <v>7</v>
      </c>
    </row>
    <row r="146" spans="1:3" x14ac:dyDescent="0.3">
      <c r="A146">
        <v>1</v>
      </c>
      <c r="B146">
        <v>145</v>
      </c>
      <c r="C146">
        <v>5</v>
      </c>
    </row>
    <row r="147" spans="1:3" x14ac:dyDescent="0.3">
      <c r="A147">
        <v>1</v>
      </c>
      <c r="B147">
        <v>146</v>
      </c>
      <c r="C147">
        <v>6</v>
      </c>
    </row>
    <row r="148" spans="1:3" x14ac:dyDescent="0.3">
      <c r="A148">
        <v>1</v>
      </c>
      <c r="B148">
        <v>147</v>
      </c>
      <c r="C148">
        <v>8</v>
      </c>
    </row>
    <row r="149" spans="1:3" x14ac:dyDescent="0.3">
      <c r="A149">
        <v>1</v>
      </c>
      <c r="B149">
        <v>148</v>
      </c>
      <c r="C149">
        <v>6</v>
      </c>
    </row>
    <row r="150" spans="1:3" x14ac:dyDescent="0.3">
      <c r="A150">
        <v>1</v>
      </c>
      <c r="B150">
        <v>149</v>
      </c>
      <c r="C150">
        <v>1</v>
      </c>
    </row>
    <row r="151" spans="1:3" x14ac:dyDescent="0.3">
      <c r="A151">
        <v>1</v>
      </c>
      <c r="B151">
        <v>150</v>
      </c>
      <c r="C151">
        <v>22</v>
      </c>
    </row>
    <row r="152" spans="1:3" x14ac:dyDescent="0.3">
      <c r="A152">
        <v>1</v>
      </c>
      <c r="B152">
        <v>151</v>
      </c>
      <c r="C152">
        <v>24</v>
      </c>
    </row>
    <row r="153" spans="1:3" x14ac:dyDescent="0.3">
      <c r="A153">
        <v>1</v>
      </c>
      <c r="B153">
        <v>152</v>
      </c>
      <c r="C153">
        <v>12</v>
      </c>
    </row>
    <row r="154" spans="1:3" x14ac:dyDescent="0.3">
      <c r="A154">
        <v>1</v>
      </c>
      <c r="B154">
        <v>153</v>
      </c>
      <c r="C154">
        <v>25</v>
      </c>
    </row>
    <row r="155" spans="1:3" x14ac:dyDescent="0.3">
      <c r="A155">
        <v>1</v>
      </c>
      <c r="B155">
        <v>154</v>
      </c>
      <c r="C155">
        <v>13</v>
      </c>
    </row>
    <row r="156" spans="1:3" x14ac:dyDescent="0.3">
      <c r="A156">
        <v>1</v>
      </c>
      <c r="B156">
        <v>155</v>
      </c>
      <c r="C156">
        <v>8</v>
      </c>
    </row>
    <row r="157" spans="1:3" x14ac:dyDescent="0.3">
      <c r="A157">
        <v>1</v>
      </c>
      <c r="B157">
        <v>156</v>
      </c>
      <c r="C157">
        <v>13</v>
      </c>
    </row>
    <row r="158" spans="1:3" x14ac:dyDescent="0.3">
      <c r="A158">
        <v>1</v>
      </c>
      <c r="B158">
        <v>157</v>
      </c>
      <c r="C158">
        <v>25</v>
      </c>
    </row>
    <row r="159" spans="1:3" x14ac:dyDescent="0.3">
      <c r="A159">
        <v>1</v>
      </c>
      <c r="B159">
        <v>158</v>
      </c>
      <c r="C159">
        <v>11</v>
      </c>
    </row>
    <row r="160" spans="1:3" x14ac:dyDescent="0.3">
      <c r="A160">
        <v>1</v>
      </c>
      <c r="B160">
        <v>159</v>
      </c>
      <c r="C160">
        <v>18</v>
      </c>
    </row>
    <row r="161" spans="1:3" x14ac:dyDescent="0.3">
      <c r="A161">
        <v>1</v>
      </c>
      <c r="B161">
        <v>160</v>
      </c>
      <c r="C161">
        <v>0</v>
      </c>
    </row>
    <row r="162" spans="1:3" x14ac:dyDescent="0.3">
      <c r="A162">
        <v>1</v>
      </c>
      <c r="B162">
        <v>161</v>
      </c>
      <c r="C162">
        <v>17</v>
      </c>
    </row>
    <row r="163" spans="1:3" x14ac:dyDescent="0.3">
      <c r="A163">
        <v>1</v>
      </c>
      <c r="B163">
        <v>162</v>
      </c>
      <c r="C163">
        <v>14</v>
      </c>
    </row>
    <row r="164" spans="1:3" x14ac:dyDescent="0.3">
      <c r="A164">
        <v>1</v>
      </c>
      <c r="B164">
        <v>163</v>
      </c>
      <c r="C164">
        <v>0</v>
      </c>
    </row>
    <row r="165" spans="1:3" x14ac:dyDescent="0.3">
      <c r="A165">
        <v>1</v>
      </c>
      <c r="B165">
        <v>164</v>
      </c>
      <c r="C165">
        <v>15</v>
      </c>
    </row>
    <row r="166" spans="1:3" x14ac:dyDescent="0.3">
      <c r="A166">
        <v>1</v>
      </c>
      <c r="B166">
        <v>165</v>
      </c>
      <c r="C166">
        <v>16</v>
      </c>
    </row>
    <row r="167" spans="1:3" x14ac:dyDescent="0.3">
      <c r="A167">
        <v>1</v>
      </c>
      <c r="B167">
        <v>166</v>
      </c>
      <c r="C167">
        <v>23</v>
      </c>
    </row>
    <row r="168" spans="1:3" x14ac:dyDescent="0.3">
      <c r="A168">
        <v>1</v>
      </c>
      <c r="B168">
        <v>167</v>
      </c>
      <c r="C168">
        <v>28</v>
      </c>
    </row>
    <row r="169" spans="1:3" x14ac:dyDescent="0.3">
      <c r="A169">
        <v>1</v>
      </c>
      <c r="B169">
        <v>168</v>
      </c>
      <c r="C169">
        <v>0</v>
      </c>
    </row>
    <row r="170" spans="1:3" x14ac:dyDescent="0.3">
      <c r="A170">
        <v>1</v>
      </c>
      <c r="B170">
        <v>169</v>
      </c>
      <c r="C170">
        <v>25</v>
      </c>
    </row>
    <row r="171" spans="1:3" x14ac:dyDescent="0.3">
      <c r="A171">
        <v>1</v>
      </c>
      <c r="B171">
        <v>170</v>
      </c>
      <c r="C171">
        <v>14</v>
      </c>
    </row>
    <row r="172" spans="1:3" x14ac:dyDescent="0.3">
      <c r="A172">
        <v>1</v>
      </c>
      <c r="B172">
        <v>171</v>
      </c>
      <c r="C172">
        <v>3</v>
      </c>
    </row>
    <row r="173" spans="1:3" x14ac:dyDescent="0.3">
      <c r="A173">
        <v>1</v>
      </c>
      <c r="B173">
        <v>172</v>
      </c>
      <c r="C173">
        <v>3</v>
      </c>
    </row>
    <row r="174" spans="1:3" x14ac:dyDescent="0.3">
      <c r="A174">
        <v>1</v>
      </c>
      <c r="B174">
        <v>173</v>
      </c>
      <c r="C174">
        <v>2</v>
      </c>
    </row>
    <row r="175" spans="1:3" x14ac:dyDescent="0.3">
      <c r="A175">
        <v>1</v>
      </c>
      <c r="B175">
        <v>174</v>
      </c>
      <c r="C175">
        <v>26</v>
      </c>
    </row>
    <row r="176" spans="1:3" x14ac:dyDescent="0.3">
      <c r="A176">
        <v>1</v>
      </c>
      <c r="B176">
        <v>175</v>
      </c>
      <c r="C176">
        <v>2</v>
      </c>
    </row>
    <row r="177" spans="1:3" x14ac:dyDescent="0.3">
      <c r="A177">
        <v>1</v>
      </c>
      <c r="B177">
        <v>176</v>
      </c>
      <c r="C177">
        <v>11</v>
      </c>
    </row>
    <row r="178" spans="1:3" x14ac:dyDescent="0.3">
      <c r="A178">
        <v>1</v>
      </c>
      <c r="B178">
        <v>177</v>
      </c>
      <c r="C178">
        <v>19</v>
      </c>
    </row>
    <row r="179" spans="1:3" x14ac:dyDescent="0.3">
      <c r="A179">
        <v>1</v>
      </c>
      <c r="B179">
        <v>178</v>
      </c>
      <c r="C179">
        <v>23</v>
      </c>
    </row>
    <row r="180" spans="1:3" x14ac:dyDescent="0.3">
      <c r="A180">
        <v>1</v>
      </c>
      <c r="B180">
        <v>179</v>
      </c>
      <c r="C180">
        <v>16</v>
      </c>
    </row>
    <row r="181" spans="1:3" x14ac:dyDescent="0.3">
      <c r="A181">
        <v>1</v>
      </c>
      <c r="B181">
        <v>180</v>
      </c>
      <c r="C181">
        <v>5</v>
      </c>
    </row>
    <row r="182" spans="1:3" x14ac:dyDescent="0.3">
      <c r="A182">
        <v>1</v>
      </c>
      <c r="B182">
        <v>181</v>
      </c>
      <c r="C182">
        <v>19</v>
      </c>
    </row>
    <row r="183" spans="1:3" x14ac:dyDescent="0.3">
      <c r="A183">
        <v>1</v>
      </c>
      <c r="B183">
        <v>182</v>
      </c>
      <c r="C183">
        <v>28</v>
      </c>
    </row>
    <row r="184" spans="1:3" x14ac:dyDescent="0.3">
      <c r="A184">
        <v>1</v>
      </c>
      <c r="B184">
        <v>183</v>
      </c>
      <c r="C184">
        <v>11</v>
      </c>
    </row>
    <row r="185" spans="1:3" x14ac:dyDescent="0.3">
      <c r="A185">
        <v>1</v>
      </c>
      <c r="B185">
        <v>184</v>
      </c>
      <c r="C185">
        <v>4</v>
      </c>
    </row>
    <row r="186" spans="1:3" x14ac:dyDescent="0.3">
      <c r="A186">
        <v>1</v>
      </c>
      <c r="B186">
        <v>185</v>
      </c>
      <c r="C186">
        <v>3</v>
      </c>
    </row>
    <row r="187" spans="1:3" x14ac:dyDescent="0.3">
      <c r="A187">
        <v>1</v>
      </c>
      <c r="B187">
        <v>186</v>
      </c>
      <c r="C187">
        <v>1</v>
      </c>
    </row>
    <row r="188" spans="1:3" x14ac:dyDescent="0.3">
      <c r="A188">
        <v>1</v>
      </c>
      <c r="B188">
        <v>187</v>
      </c>
      <c r="C188">
        <v>16</v>
      </c>
    </row>
    <row r="189" spans="1:3" x14ac:dyDescent="0.3">
      <c r="A189">
        <v>1</v>
      </c>
      <c r="B189">
        <v>188</v>
      </c>
      <c r="C189">
        <v>30</v>
      </c>
    </row>
    <row r="190" spans="1:3" x14ac:dyDescent="0.3">
      <c r="A190">
        <v>1</v>
      </c>
      <c r="B190">
        <v>189</v>
      </c>
      <c r="C190">
        <v>6</v>
      </c>
    </row>
    <row r="191" spans="1:3" x14ac:dyDescent="0.3">
      <c r="A191">
        <v>1</v>
      </c>
      <c r="B191">
        <v>190</v>
      </c>
      <c r="C191">
        <v>21</v>
      </c>
    </row>
    <row r="192" spans="1:3" x14ac:dyDescent="0.3">
      <c r="A192">
        <v>1</v>
      </c>
      <c r="B192">
        <v>191</v>
      </c>
      <c r="C192">
        <v>21</v>
      </c>
    </row>
    <row r="193" spans="1:3" x14ac:dyDescent="0.3">
      <c r="A193">
        <v>1</v>
      </c>
      <c r="B193">
        <v>192</v>
      </c>
      <c r="C193">
        <v>20</v>
      </c>
    </row>
    <row r="194" spans="1:3" x14ac:dyDescent="0.3">
      <c r="A194">
        <v>1</v>
      </c>
      <c r="B194">
        <v>193</v>
      </c>
      <c r="C194">
        <v>30</v>
      </c>
    </row>
    <row r="195" spans="1:3" x14ac:dyDescent="0.3">
      <c r="A195">
        <v>1</v>
      </c>
      <c r="B195">
        <v>194</v>
      </c>
      <c r="C195">
        <v>24</v>
      </c>
    </row>
    <row r="196" spans="1:3" x14ac:dyDescent="0.3">
      <c r="A196">
        <v>1</v>
      </c>
      <c r="B196">
        <v>195</v>
      </c>
      <c r="C196">
        <v>1</v>
      </c>
    </row>
    <row r="197" spans="1:3" x14ac:dyDescent="0.3">
      <c r="A197">
        <v>1</v>
      </c>
      <c r="B197">
        <v>196</v>
      </c>
      <c r="C197">
        <v>26</v>
      </c>
    </row>
    <row r="198" spans="1:3" x14ac:dyDescent="0.3">
      <c r="A198">
        <v>1</v>
      </c>
      <c r="B198">
        <v>197</v>
      </c>
      <c r="C198">
        <v>22</v>
      </c>
    </row>
    <row r="199" spans="1:3" x14ac:dyDescent="0.3">
      <c r="A199">
        <v>1</v>
      </c>
      <c r="B199">
        <v>198</v>
      </c>
      <c r="C199">
        <v>1</v>
      </c>
    </row>
    <row r="200" spans="1:3" x14ac:dyDescent="0.3">
      <c r="A200">
        <v>1</v>
      </c>
      <c r="B200">
        <v>199</v>
      </c>
      <c r="C200">
        <v>2</v>
      </c>
    </row>
    <row r="201" spans="1:3" x14ac:dyDescent="0.3">
      <c r="A201">
        <v>1</v>
      </c>
      <c r="B201">
        <v>200</v>
      </c>
      <c r="C201">
        <v>27</v>
      </c>
    </row>
    <row r="202" spans="1:3" x14ac:dyDescent="0.3">
      <c r="A202">
        <v>1</v>
      </c>
      <c r="B202">
        <v>201</v>
      </c>
      <c r="C202">
        <v>16</v>
      </c>
    </row>
    <row r="203" spans="1:3" x14ac:dyDescent="0.3">
      <c r="A203">
        <v>1</v>
      </c>
      <c r="B203">
        <v>202</v>
      </c>
      <c r="C203">
        <v>5</v>
      </c>
    </row>
    <row r="204" spans="1:3" x14ac:dyDescent="0.3">
      <c r="A204">
        <v>1</v>
      </c>
      <c r="B204">
        <v>203</v>
      </c>
      <c r="C204">
        <v>4</v>
      </c>
    </row>
    <row r="205" spans="1:3" x14ac:dyDescent="0.3">
      <c r="A205">
        <v>1</v>
      </c>
      <c r="B205">
        <v>204</v>
      </c>
      <c r="C205">
        <v>23</v>
      </c>
    </row>
    <row r="206" spans="1:3" x14ac:dyDescent="0.3">
      <c r="A206">
        <v>1</v>
      </c>
      <c r="B206">
        <v>205</v>
      </c>
      <c r="C206">
        <v>9</v>
      </c>
    </row>
    <row r="207" spans="1:3" x14ac:dyDescent="0.3">
      <c r="A207">
        <v>1</v>
      </c>
      <c r="B207">
        <v>206</v>
      </c>
      <c r="C207">
        <v>10</v>
      </c>
    </row>
    <row r="208" spans="1:3" x14ac:dyDescent="0.3">
      <c r="A208">
        <v>1</v>
      </c>
      <c r="B208">
        <v>207</v>
      </c>
      <c r="C208">
        <v>27</v>
      </c>
    </row>
    <row r="209" spans="1:3" x14ac:dyDescent="0.3">
      <c r="A209">
        <v>1</v>
      </c>
      <c r="B209">
        <v>208</v>
      </c>
      <c r="C209">
        <v>13</v>
      </c>
    </row>
    <row r="210" spans="1:3" x14ac:dyDescent="0.3">
      <c r="A210">
        <v>1</v>
      </c>
      <c r="B210">
        <v>209</v>
      </c>
      <c r="C210">
        <v>22</v>
      </c>
    </row>
    <row r="211" spans="1:3" x14ac:dyDescent="0.3">
      <c r="A211">
        <v>1</v>
      </c>
      <c r="B211">
        <v>210</v>
      </c>
      <c r="C211">
        <v>25</v>
      </c>
    </row>
    <row r="212" spans="1:3" x14ac:dyDescent="0.3">
      <c r="A212">
        <v>1</v>
      </c>
      <c r="B212">
        <v>211</v>
      </c>
      <c r="C212">
        <v>13</v>
      </c>
    </row>
    <row r="213" spans="1:3" x14ac:dyDescent="0.3">
      <c r="A213">
        <v>1</v>
      </c>
      <c r="B213">
        <v>212</v>
      </c>
      <c r="C213">
        <v>17</v>
      </c>
    </row>
    <row r="214" spans="1:3" x14ac:dyDescent="0.3">
      <c r="A214">
        <v>1</v>
      </c>
      <c r="B214">
        <v>213</v>
      </c>
      <c r="C214">
        <v>14</v>
      </c>
    </row>
    <row r="215" spans="1:3" x14ac:dyDescent="0.3">
      <c r="A215">
        <v>1</v>
      </c>
      <c r="B215">
        <v>214</v>
      </c>
      <c r="C215">
        <v>4</v>
      </c>
    </row>
    <row r="216" spans="1:3" x14ac:dyDescent="0.3">
      <c r="A216">
        <v>1</v>
      </c>
      <c r="B216">
        <v>215</v>
      </c>
      <c r="C216">
        <v>1</v>
      </c>
    </row>
    <row r="217" spans="1:3" x14ac:dyDescent="0.3">
      <c r="A217">
        <v>1</v>
      </c>
      <c r="B217">
        <v>216</v>
      </c>
      <c r="C217">
        <v>11</v>
      </c>
    </row>
    <row r="218" spans="1:3" x14ac:dyDescent="0.3">
      <c r="A218">
        <v>1</v>
      </c>
      <c r="B218">
        <v>217</v>
      </c>
      <c r="C218">
        <v>11</v>
      </c>
    </row>
    <row r="219" spans="1:3" x14ac:dyDescent="0.3">
      <c r="A219">
        <v>1</v>
      </c>
      <c r="B219">
        <v>218</v>
      </c>
      <c r="C219">
        <v>27</v>
      </c>
    </row>
    <row r="220" spans="1:3" x14ac:dyDescent="0.3">
      <c r="A220">
        <v>1</v>
      </c>
      <c r="B220">
        <v>219</v>
      </c>
      <c r="C220">
        <v>30</v>
      </c>
    </row>
    <row r="221" spans="1:3" x14ac:dyDescent="0.3">
      <c r="A221">
        <v>1</v>
      </c>
      <c r="B221">
        <v>220</v>
      </c>
      <c r="C221">
        <v>4</v>
      </c>
    </row>
    <row r="222" spans="1:3" x14ac:dyDescent="0.3">
      <c r="A222">
        <v>1</v>
      </c>
      <c r="B222">
        <v>221</v>
      </c>
      <c r="C222">
        <v>7</v>
      </c>
    </row>
    <row r="223" spans="1:3" x14ac:dyDescent="0.3">
      <c r="A223">
        <v>1</v>
      </c>
      <c r="B223">
        <v>222</v>
      </c>
      <c r="C223">
        <v>12</v>
      </c>
    </row>
    <row r="224" spans="1:3" x14ac:dyDescent="0.3">
      <c r="A224">
        <v>1</v>
      </c>
      <c r="B224">
        <v>223</v>
      </c>
      <c r="C224">
        <v>3</v>
      </c>
    </row>
    <row r="225" spans="1:3" x14ac:dyDescent="0.3">
      <c r="A225">
        <v>1</v>
      </c>
      <c r="B225">
        <v>224</v>
      </c>
      <c r="C225">
        <v>16</v>
      </c>
    </row>
    <row r="226" spans="1:3" x14ac:dyDescent="0.3">
      <c r="A226">
        <v>1</v>
      </c>
      <c r="B226">
        <v>225</v>
      </c>
      <c r="C226">
        <v>24</v>
      </c>
    </row>
    <row r="227" spans="1:3" x14ac:dyDescent="0.3">
      <c r="A227">
        <v>1</v>
      </c>
      <c r="B227">
        <v>226</v>
      </c>
      <c r="C227">
        <v>18</v>
      </c>
    </row>
    <row r="228" spans="1:3" x14ac:dyDescent="0.3">
      <c r="A228">
        <v>1</v>
      </c>
      <c r="B228">
        <v>227</v>
      </c>
      <c r="C228">
        <v>19</v>
      </c>
    </row>
    <row r="229" spans="1:3" x14ac:dyDescent="0.3">
      <c r="A229">
        <v>1</v>
      </c>
      <c r="B229">
        <v>228</v>
      </c>
      <c r="C229">
        <v>22</v>
      </c>
    </row>
    <row r="230" spans="1:3" x14ac:dyDescent="0.3">
      <c r="A230">
        <v>1</v>
      </c>
      <c r="B230">
        <v>229</v>
      </c>
      <c r="C230">
        <v>27</v>
      </c>
    </row>
    <row r="231" spans="1:3" x14ac:dyDescent="0.3">
      <c r="A231">
        <v>1</v>
      </c>
      <c r="B231">
        <v>230</v>
      </c>
      <c r="C231">
        <v>7</v>
      </c>
    </row>
    <row r="232" spans="1:3" x14ac:dyDescent="0.3">
      <c r="A232">
        <v>1</v>
      </c>
      <c r="B232">
        <v>231</v>
      </c>
      <c r="C232">
        <v>25</v>
      </c>
    </row>
    <row r="233" spans="1:3" x14ac:dyDescent="0.3">
      <c r="A233">
        <v>1</v>
      </c>
      <c r="B233">
        <v>232</v>
      </c>
      <c r="C233">
        <v>5</v>
      </c>
    </row>
    <row r="234" spans="1:3" x14ac:dyDescent="0.3">
      <c r="A234">
        <v>1</v>
      </c>
      <c r="B234">
        <v>233</v>
      </c>
      <c r="C234">
        <v>5</v>
      </c>
    </row>
    <row r="235" spans="1:3" x14ac:dyDescent="0.3">
      <c r="A235">
        <v>1</v>
      </c>
      <c r="B235">
        <v>234</v>
      </c>
      <c r="C235">
        <v>13</v>
      </c>
    </row>
    <row r="236" spans="1:3" x14ac:dyDescent="0.3">
      <c r="A236">
        <v>1</v>
      </c>
      <c r="B236">
        <v>235</v>
      </c>
      <c r="C236">
        <v>7</v>
      </c>
    </row>
    <row r="237" spans="1:3" x14ac:dyDescent="0.3">
      <c r="A237">
        <v>1</v>
      </c>
      <c r="B237">
        <v>236</v>
      </c>
      <c r="C237">
        <v>18</v>
      </c>
    </row>
    <row r="238" spans="1:3" x14ac:dyDescent="0.3">
      <c r="A238">
        <v>1</v>
      </c>
      <c r="B238">
        <v>237</v>
      </c>
      <c r="C238">
        <v>26</v>
      </c>
    </row>
    <row r="239" spans="1:3" x14ac:dyDescent="0.3">
      <c r="A239">
        <v>1</v>
      </c>
      <c r="B239">
        <v>238</v>
      </c>
      <c r="C239">
        <v>20</v>
      </c>
    </row>
    <row r="240" spans="1:3" x14ac:dyDescent="0.3">
      <c r="A240">
        <v>1</v>
      </c>
      <c r="B240">
        <v>239</v>
      </c>
      <c r="C240">
        <v>28</v>
      </c>
    </row>
    <row r="241" spans="1:3" x14ac:dyDescent="0.3">
      <c r="A241">
        <v>1</v>
      </c>
      <c r="B241">
        <v>240</v>
      </c>
      <c r="C241">
        <v>17</v>
      </c>
    </row>
    <row r="242" spans="1:3" x14ac:dyDescent="0.3">
      <c r="A242">
        <v>1</v>
      </c>
      <c r="B242">
        <v>241</v>
      </c>
      <c r="C242">
        <v>17</v>
      </c>
    </row>
    <row r="243" spans="1:3" x14ac:dyDescent="0.3">
      <c r="A243">
        <v>1</v>
      </c>
      <c r="B243">
        <v>242</v>
      </c>
      <c r="C243">
        <v>10</v>
      </c>
    </row>
    <row r="244" spans="1:3" x14ac:dyDescent="0.3">
      <c r="A244">
        <v>1</v>
      </c>
      <c r="B244">
        <v>243</v>
      </c>
      <c r="C244">
        <v>11</v>
      </c>
    </row>
    <row r="245" spans="1:3" x14ac:dyDescent="0.3">
      <c r="A245">
        <v>1</v>
      </c>
      <c r="B245">
        <v>244</v>
      </c>
      <c r="C245">
        <v>10</v>
      </c>
    </row>
    <row r="246" spans="1:3" x14ac:dyDescent="0.3">
      <c r="A246">
        <v>1</v>
      </c>
      <c r="B246">
        <v>245</v>
      </c>
      <c r="C246">
        <v>3</v>
      </c>
    </row>
    <row r="247" spans="1:3" x14ac:dyDescent="0.3">
      <c r="A247">
        <v>1</v>
      </c>
      <c r="B247">
        <v>246</v>
      </c>
      <c r="C247">
        <v>0</v>
      </c>
    </row>
    <row r="248" spans="1:3" x14ac:dyDescent="0.3">
      <c r="A248">
        <v>1</v>
      </c>
      <c r="B248">
        <v>247</v>
      </c>
      <c r="C248">
        <v>15</v>
      </c>
    </row>
    <row r="249" spans="1:3" x14ac:dyDescent="0.3">
      <c r="A249">
        <v>1</v>
      </c>
      <c r="B249">
        <v>248</v>
      </c>
      <c r="C249">
        <v>14</v>
      </c>
    </row>
    <row r="250" spans="1:3" x14ac:dyDescent="0.3">
      <c r="A250">
        <v>1</v>
      </c>
      <c r="B250">
        <v>249</v>
      </c>
      <c r="C250">
        <v>27</v>
      </c>
    </row>
    <row r="251" spans="1:3" x14ac:dyDescent="0.3">
      <c r="A251">
        <v>1</v>
      </c>
      <c r="B251">
        <v>250</v>
      </c>
      <c r="C251">
        <v>3</v>
      </c>
    </row>
    <row r="252" spans="1:3" x14ac:dyDescent="0.3">
      <c r="A252">
        <v>1</v>
      </c>
      <c r="B252">
        <v>251</v>
      </c>
      <c r="C252">
        <v>2</v>
      </c>
    </row>
    <row r="253" spans="1:3" x14ac:dyDescent="0.3">
      <c r="A253">
        <v>1</v>
      </c>
      <c r="B253">
        <v>252</v>
      </c>
      <c r="C253">
        <v>28</v>
      </c>
    </row>
    <row r="254" spans="1:3" x14ac:dyDescent="0.3">
      <c r="A254">
        <v>1</v>
      </c>
      <c r="B254">
        <v>253</v>
      </c>
      <c r="C254">
        <v>16</v>
      </c>
    </row>
    <row r="255" spans="1:3" x14ac:dyDescent="0.3">
      <c r="A255">
        <v>1</v>
      </c>
      <c r="B255">
        <v>254</v>
      </c>
      <c r="C255">
        <v>24</v>
      </c>
    </row>
    <row r="256" spans="1:3" x14ac:dyDescent="0.3">
      <c r="A256">
        <v>1</v>
      </c>
      <c r="B256">
        <v>255</v>
      </c>
      <c r="C256">
        <v>13</v>
      </c>
    </row>
    <row r="257" spans="1:3" x14ac:dyDescent="0.3">
      <c r="A257">
        <v>1</v>
      </c>
      <c r="B257">
        <v>256</v>
      </c>
      <c r="C257">
        <v>20</v>
      </c>
    </row>
    <row r="258" spans="1:3" x14ac:dyDescent="0.3">
      <c r="A258">
        <v>1</v>
      </c>
      <c r="B258">
        <v>257</v>
      </c>
      <c r="C258">
        <v>17</v>
      </c>
    </row>
    <row r="259" spans="1:3" x14ac:dyDescent="0.3">
      <c r="A259">
        <v>1</v>
      </c>
      <c r="B259">
        <v>258</v>
      </c>
      <c r="C259">
        <v>25</v>
      </c>
    </row>
    <row r="260" spans="1:3" x14ac:dyDescent="0.3">
      <c r="A260">
        <v>1</v>
      </c>
      <c r="B260">
        <v>259</v>
      </c>
      <c r="C260">
        <v>10</v>
      </c>
    </row>
    <row r="261" spans="1:3" x14ac:dyDescent="0.3">
      <c r="A261">
        <v>1</v>
      </c>
      <c r="B261">
        <v>260</v>
      </c>
      <c r="C261">
        <v>20</v>
      </c>
    </row>
    <row r="262" spans="1:3" x14ac:dyDescent="0.3">
      <c r="A262">
        <v>1</v>
      </c>
      <c r="B262">
        <v>261</v>
      </c>
      <c r="C262">
        <v>3</v>
      </c>
    </row>
    <row r="263" spans="1:3" x14ac:dyDescent="0.3">
      <c r="A263">
        <v>1</v>
      </c>
      <c r="B263">
        <v>262</v>
      </c>
      <c r="C263">
        <v>6</v>
      </c>
    </row>
    <row r="264" spans="1:3" x14ac:dyDescent="0.3">
      <c r="A264">
        <v>1</v>
      </c>
      <c r="B264">
        <v>263</v>
      </c>
      <c r="C264">
        <v>21</v>
      </c>
    </row>
    <row r="265" spans="1:3" x14ac:dyDescent="0.3">
      <c r="A265">
        <v>1</v>
      </c>
      <c r="B265">
        <v>264</v>
      </c>
      <c r="C265">
        <v>16</v>
      </c>
    </row>
    <row r="266" spans="1:3" x14ac:dyDescent="0.3">
      <c r="A266">
        <v>1</v>
      </c>
      <c r="B266">
        <v>265</v>
      </c>
      <c r="C266">
        <v>28</v>
      </c>
    </row>
    <row r="267" spans="1:3" x14ac:dyDescent="0.3">
      <c r="A267">
        <v>1</v>
      </c>
      <c r="B267">
        <v>266</v>
      </c>
      <c r="C267">
        <v>1</v>
      </c>
    </row>
    <row r="268" spans="1:3" x14ac:dyDescent="0.3">
      <c r="A268">
        <v>1</v>
      </c>
      <c r="B268">
        <v>267</v>
      </c>
      <c r="C268">
        <v>27</v>
      </c>
    </row>
    <row r="269" spans="1:3" x14ac:dyDescent="0.3">
      <c r="A269">
        <v>1</v>
      </c>
      <c r="B269">
        <v>268</v>
      </c>
      <c r="C269">
        <v>23</v>
      </c>
    </row>
    <row r="270" spans="1:3" x14ac:dyDescent="0.3">
      <c r="A270">
        <v>1</v>
      </c>
      <c r="B270">
        <v>269</v>
      </c>
      <c r="C270">
        <v>22</v>
      </c>
    </row>
    <row r="271" spans="1:3" x14ac:dyDescent="0.3">
      <c r="A271">
        <v>1</v>
      </c>
      <c r="B271">
        <v>270</v>
      </c>
      <c r="C271">
        <v>16</v>
      </c>
    </row>
    <row r="272" spans="1:3" x14ac:dyDescent="0.3">
      <c r="A272">
        <v>1</v>
      </c>
      <c r="B272">
        <v>271</v>
      </c>
      <c r="C272">
        <v>6</v>
      </c>
    </row>
    <row r="273" spans="1:3" x14ac:dyDescent="0.3">
      <c r="A273">
        <v>1</v>
      </c>
      <c r="B273">
        <v>272</v>
      </c>
      <c r="C273">
        <v>14</v>
      </c>
    </row>
    <row r="274" spans="1:3" x14ac:dyDescent="0.3">
      <c r="A274">
        <v>1</v>
      </c>
      <c r="B274">
        <v>273</v>
      </c>
      <c r="C274">
        <v>20</v>
      </c>
    </row>
    <row r="275" spans="1:3" x14ac:dyDescent="0.3">
      <c r="A275">
        <v>1</v>
      </c>
      <c r="B275">
        <v>274</v>
      </c>
      <c r="C275">
        <v>19</v>
      </c>
    </row>
    <row r="276" spans="1:3" x14ac:dyDescent="0.3">
      <c r="A276">
        <v>1</v>
      </c>
      <c r="B276">
        <v>275</v>
      </c>
      <c r="C276">
        <v>28</v>
      </c>
    </row>
    <row r="277" spans="1:3" x14ac:dyDescent="0.3">
      <c r="A277">
        <v>1</v>
      </c>
      <c r="B277">
        <v>276</v>
      </c>
      <c r="C277">
        <v>7</v>
      </c>
    </row>
    <row r="278" spans="1:3" x14ac:dyDescent="0.3">
      <c r="A278">
        <v>1</v>
      </c>
      <c r="B278">
        <v>277</v>
      </c>
      <c r="C278">
        <v>13</v>
      </c>
    </row>
    <row r="279" spans="1:3" x14ac:dyDescent="0.3">
      <c r="A279">
        <v>1</v>
      </c>
      <c r="B279">
        <v>278</v>
      </c>
      <c r="C279">
        <v>17</v>
      </c>
    </row>
    <row r="280" spans="1:3" x14ac:dyDescent="0.3">
      <c r="A280">
        <v>1</v>
      </c>
      <c r="B280">
        <v>279</v>
      </c>
      <c r="C280">
        <v>17</v>
      </c>
    </row>
    <row r="281" spans="1:3" x14ac:dyDescent="0.3">
      <c r="A281">
        <v>1</v>
      </c>
      <c r="B281">
        <v>280</v>
      </c>
      <c r="C281">
        <v>23</v>
      </c>
    </row>
    <row r="282" spans="1:3" x14ac:dyDescent="0.3">
      <c r="A282">
        <v>1</v>
      </c>
      <c r="B282">
        <v>281</v>
      </c>
      <c r="C282">
        <v>11</v>
      </c>
    </row>
    <row r="283" spans="1:3" x14ac:dyDescent="0.3">
      <c r="A283">
        <v>1</v>
      </c>
      <c r="B283">
        <v>282</v>
      </c>
      <c r="C283">
        <v>6</v>
      </c>
    </row>
    <row r="284" spans="1:3" x14ac:dyDescent="0.3">
      <c r="A284">
        <v>1</v>
      </c>
      <c r="B284">
        <v>283</v>
      </c>
      <c r="C284">
        <v>10</v>
      </c>
    </row>
    <row r="285" spans="1:3" x14ac:dyDescent="0.3">
      <c r="A285">
        <v>1</v>
      </c>
      <c r="B285">
        <v>284</v>
      </c>
      <c r="C285">
        <v>27</v>
      </c>
    </row>
    <row r="286" spans="1:3" x14ac:dyDescent="0.3">
      <c r="A286">
        <v>1</v>
      </c>
      <c r="B286">
        <v>285</v>
      </c>
      <c r="C286">
        <v>20</v>
      </c>
    </row>
    <row r="287" spans="1:3" x14ac:dyDescent="0.3">
      <c r="A287">
        <v>1</v>
      </c>
      <c r="B287">
        <v>286</v>
      </c>
      <c r="C287">
        <v>28</v>
      </c>
    </row>
    <row r="288" spans="1:3" x14ac:dyDescent="0.3">
      <c r="A288">
        <v>1</v>
      </c>
      <c r="B288">
        <v>287</v>
      </c>
      <c r="C288">
        <v>2</v>
      </c>
    </row>
    <row r="289" spans="1:3" x14ac:dyDescent="0.3">
      <c r="A289">
        <v>1</v>
      </c>
      <c r="B289">
        <v>288</v>
      </c>
      <c r="C289">
        <v>9</v>
      </c>
    </row>
    <row r="290" spans="1:3" x14ac:dyDescent="0.3">
      <c r="A290">
        <v>1</v>
      </c>
      <c r="B290">
        <v>289</v>
      </c>
      <c r="C290">
        <v>2</v>
      </c>
    </row>
    <row r="291" spans="1:3" x14ac:dyDescent="0.3">
      <c r="A291">
        <v>1</v>
      </c>
      <c r="B291">
        <v>290</v>
      </c>
      <c r="C291">
        <v>8</v>
      </c>
    </row>
    <row r="292" spans="1:3" x14ac:dyDescent="0.3">
      <c r="A292">
        <v>1</v>
      </c>
      <c r="B292">
        <v>291</v>
      </c>
      <c r="C292">
        <v>9</v>
      </c>
    </row>
    <row r="293" spans="1:3" x14ac:dyDescent="0.3">
      <c r="A293">
        <v>1</v>
      </c>
      <c r="B293">
        <v>292</v>
      </c>
      <c r="C293">
        <v>30</v>
      </c>
    </row>
    <row r="294" spans="1:3" x14ac:dyDescent="0.3">
      <c r="A294">
        <v>1</v>
      </c>
      <c r="B294">
        <v>293</v>
      </c>
      <c r="C294">
        <v>18</v>
      </c>
    </row>
    <row r="295" spans="1:3" x14ac:dyDescent="0.3">
      <c r="A295">
        <v>1</v>
      </c>
      <c r="B295">
        <v>294</v>
      </c>
      <c r="C295">
        <v>3</v>
      </c>
    </row>
    <row r="296" spans="1:3" x14ac:dyDescent="0.3">
      <c r="A296">
        <v>1</v>
      </c>
      <c r="B296">
        <v>295</v>
      </c>
      <c r="C296">
        <v>24</v>
      </c>
    </row>
    <row r="297" spans="1:3" x14ac:dyDescent="0.3">
      <c r="A297">
        <v>1</v>
      </c>
      <c r="B297">
        <v>296</v>
      </c>
      <c r="C297">
        <v>9</v>
      </c>
    </row>
    <row r="298" spans="1:3" x14ac:dyDescent="0.3">
      <c r="A298">
        <v>1</v>
      </c>
      <c r="B298">
        <v>297</v>
      </c>
      <c r="C298">
        <v>22</v>
      </c>
    </row>
    <row r="299" spans="1:3" x14ac:dyDescent="0.3">
      <c r="A299">
        <v>1</v>
      </c>
      <c r="B299">
        <v>298</v>
      </c>
      <c r="C299">
        <v>26</v>
      </c>
    </row>
    <row r="300" spans="1:3" x14ac:dyDescent="0.3">
      <c r="A300">
        <v>1</v>
      </c>
      <c r="B300">
        <v>299</v>
      </c>
      <c r="C300">
        <v>18</v>
      </c>
    </row>
    <row r="301" spans="1:3" x14ac:dyDescent="0.3">
      <c r="A301">
        <v>1</v>
      </c>
      <c r="B301">
        <v>300</v>
      </c>
      <c r="C301">
        <v>7</v>
      </c>
    </row>
    <row r="302" spans="1:3" x14ac:dyDescent="0.3">
      <c r="A302">
        <v>1</v>
      </c>
      <c r="B302">
        <v>301</v>
      </c>
      <c r="C302">
        <v>10</v>
      </c>
    </row>
    <row r="303" spans="1:3" x14ac:dyDescent="0.3">
      <c r="A303">
        <v>1</v>
      </c>
      <c r="B303">
        <v>302</v>
      </c>
      <c r="C303">
        <v>0</v>
      </c>
    </row>
    <row r="304" spans="1:3" x14ac:dyDescent="0.3">
      <c r="A304">
        <v>1</v>
      </c>
      <c r="B304">
        <v>303</v>
      </c>
      <c r="C304">
        <v>12</v>
      </c>
    </row>
    <row r="305" spans="1:3" x14ac:dyDescent="0.3">
      <c r="A305">
        <v>1</v>
      </c>
      <c r="B305">
        <v>304</v>
      </c>
      <c r="C305">
        <v>15</v>
      </c>
    </row>
    <row r="306" spans="1:3" x14ac:dyDescent="0.3">
      <c r="A306">
        <v>1</v>
      </c>
      <c r="B306">
        <v>305</v>
      </c>
      <c r="C306">
        <v>23</v>
      </c>
    </row>
    <row r="307" spans="1:3" x14ac:dyDescent="0.3">
      <c r="A307">
        <v>1</v>
      </c>
      <c r="B307">
        <v>306</v>
      </c>
      <c r="C307">
        <v>21</v>
      </c>
    </row>
    <row r="308" spans="1:3" x14ac:dyDescent="0.3">
      <c r="A308">
        <v>1</v>
      </c>
      <c r="B308">
        <v>307</v>
      </c>
      <c r="C308">
        <v>17</v>
      </c>
    </row>
    <row r="309" spans="1:3" x14ac:dyDescent="0.3">
      <c r="A309">
        <v>1</v>
      </c>
      <c r="B309">
        <v>308</v>
      </c>
      <c r="C309">
        <v>23</v>
      </c>
    </row>
    <row r="310" spans="1:3" x14ac:dyDescent="0.3">
      <c r="A310">
        <v>1</v>
      </c>
      <c r="B310">
        <v>309</v>
      </c>
      <c r="C310">
        <v>7</v>
      </c>
    </row>
    <row r="311" spans="1:3" x14ac:dyDescent="0.3">
      <c r="A311">
        <v>1</v>
      </c>
      <c r="B311">
        <v>310</v>
      </c>
      <c r="C311">
        <v>18</v>
      </c>
    </row>
    <row r="312" spans="1:3" x14ac:dyDescent="0.3">
      <c r="A312">
        <v>1</v>
      </c>
      <c r="B312">
        <v>311</v>
      </c>
      <c r="C312">
        <v>20</v>
      </c>
    </row>
    <row r="313" spans="1:3" x14ac:dyDescent="0.3">
      <c r="A313">
        <v>1</v>
      </c>
      <c r="B313">
        <v>312</v>
      </c>
      <c r="C313">
        <v>23</v>
      </c>
    </row>
    <row r="314" spans="1:3" x14ac:dyDescent="0.3">
      <c r="A314">
        <v>1</v>
      </c>
      <c r="B314">
        <v>313</v>
      </c>
      <c r="C314">
        <v>14</v>
      </c>
    </row>
    <row r="315" spans="1:3" x14ac:dyDescent="0.3">
      <c r="A315">
        <v>2</v>
      </c>
      <c r="B315">
        <v>1</v>
      </c>
      <c r="C315">
        <v>14</v>
      </c>
    </row>
    <row r="316" spans="1:3" x14ac:dyDescent="0.3">
      <c r="A316">
        <v>2</v>
      </c>
      <c r="B316">
        <v>2</v>
      </c>
      <c r="C316">
        <v>16</v>
      </c>
    </row>
    <row r="317" spans="1:3" x14ac:dyDescent="0.3">
      <c r="A317">
        <v>2</v>
      </c>
      <c r="B317">
        <v>3</v>
      </c>
      <c r="C317">
        <v>28</v>
      </c>
    </row>
    <row r="318" spans="1:3" x14ac:dyDescent="0.3">
      <c r="A318">
        <v>2</v>
      </c>
      <c r="B318">
        <v>4</v>
      </c>
      <c r="C318">
        <v>2</v>
      </c>
    </row>
    <row r="319" spans="1:3" x14ac:dyDescent="0.3">
      <c r="A319">
        <v>2</v>
      </c>
      <c r="B319">
        <v>5</v>
      </c>
      <c r="C319">
        <v>1</v>
      </c>
    </row>
    <row r="320" spans="1:3" x14ac:dyDescent="0.3">
      <c r="A320">
        <v>2</v>
      </c>
      <c r="B320">
        <v>6</v>
      </c>
      <c r="C320">
        <v>11</v>
      </c>
    </row>
    <row r="321" spans="1:3" x14ac:dyDescent="0.3">
      <c r="A321">
        <v>2</v>
      </c>
      <c r="B321">
        <v>7</v>
      </c>
      <c r="C321">
        <v>8</v>
      </c>
    </row>
    <row r="322" spans="1:3" x14ac:dyDescent="0.3">
      <c r="A322">
        <v>2</v>
      </c>
      <c r="B322">
        <v>8</v>
      </c>
      <c r="C322">
        <v>1</v>
      </c>
    </row>
    <row r="323" spans="1:3" x14ac:dyDescent="0.3">
      <c r="A323">
        <v>2</v>
      </c>
      <c r="B323">
        <v>9</v>
      </c>
      <c r="C323">
        <v>17</v>
      </c>
    </row>
    <row r="324" spans="1:3" x14ac:dyDescent="0.3">
      <c r="A324">
        <v>2</v>
      </c>
      <c r="B324">
        <v>10</v>
      </c>
      <c r="C324">
        <v>13</v>
      </c>
    </row>
    <row r="325" spans="1:3" x14ac:dyDescent="0.3">
      <c r="A325">
        <v>2</v>
      </c>
      <c r="B325">
        <v>11</v>
      </c>
      <c r="C325">
        <v>21</v>
      </c>
    </row>
    <row r="326" spans="1:3" x14ac:dyDescent="0.3">
      <c r="A326">
        <v>2</v>
      </c>
      <c r="B326">
        <v>12</v>
      </c>
      <c r="C326">
        <v>2</v>
      </c>
    </row>
    <row r="327" spans="1:3" x14ac:dyDescent="0.3">
      <c r="A327">
        <v>2</v>
      </c>
      <c r="B327">
        <v>13</v>
      </c>
      <c r="C327">
        <v>1</v>
      </c>
    </row>
    <row r="328" spans="1:3" x14ac:dyDescent="0.3">
      <c r="A328">
        <v>2</v>
      </c>
      <c r="B328">
        <v>14</v>
      </c>
      <c r="C328">
        <v>18</v>
      </c>
    </row>
    <row r="329" spans="1:3" x14ac:dyDescent="0.3">
      <c r="A329">
        <v>2</v>
      </c>
      <c r="B329">
        <v>15</v>
      </c>
      <c r="C329">
        <v>6</v>
      </c>
    </row>
    <row r="330" spans="1:3" x14ac:dyDescent="0.3">
      <c r="A330">
        <v>2</v>
      </c>
      <c r="B330">
        <v>16</v>
      </c>
      <c r="C330">
        <v>20</v>
      </c>
    </row>
    <row r="331" spans="1:3" x14ac:dyDescent="0.3">
      <c r="A331">
        <v>2</v>
      </c>
      <c r="B331">
        <v>17</v>
      </c>
      <c r="C331">
        <v>3</v>
      </c>
    </row>
    <row r="332" spans="1:3" x14ac:dyDescent="0.3">
      <c r="A332">
        <v>2</v>
      </c>
      <c r="B332">
        <v>18</v>
      </c>
      <c r="C332">
        <v>13</v>
      </c>
    </row>
    <row r="333" spans="1:3" x14ac:dyDescent="0.3">
      <c r="A333">
        <v>2</v>
      </c>
      <c r="B333">
        <v>19</v>
      </c>
      <c r="C333">
        <v>15</v>
      </c>
    </row>
    <row r="334" spans="1:3" x14ac:dyDescent="0.3">
      <c r="A334">
        <v>2</v>
      </c>
      <c r="B334">
        <v>20</v>
      </c>
      <c r="C334">
        <v>20</v>
      </c>
    </row>
    <row r="335" spans="1:3" x14ac:dyDescent="0.3">
      <c r="A335">
        <v>2</v>
      </c>
      <c r="B335">
        <v>21</v>
      </c>
      <c r="C335">
        <v>16</v>
      </c>
    </row>
    <row r="336" spans="1:3" x14ac:dyDescent="0.3">
      <c r="A336">
        <v>2</v>
      </c>
      <c r="B336">
        <v>22</v>
      </c>
      <c r="C336">
        <v>0</v>
      </c>
    </row>
    <row r="337" spans="1:3" x14ac:dyDescent="0.3">
      <c r="A337">
        <v>2</v>
      </c>
      <c r="B337">
        <v>23</v>
      </c>
      <c r="C337">
        <v>12</v>
      </c>
    </row>
    <row r="338" spans="1:3" x14ac:dyDescent="0.3">
      <c r="A338">
        <v>2</v>
      </c>
      <c r="B338">
        <v>24</v>
      </c>
      <c r="C338">
        <v>16</v>
      </c>
    </row>
    <row r="339" spans="1:3" x14ac:dyDescent="0.3">
      <c r="A339">
        <v>2</v>
      </c>
      <c r="B339">
        <v>25</v>
      </c>
      <c r="C339">
        <v>18</v>
      </c>
    </row>
    <row r="340" spans="1:3" x14ac:dyDescent="0.3">
      <c r="A340">
        <v>2</v>
      </c>
      <c r="B340">
        <v>26</v>
      </c>
      <c r="C340">
        <v>2</v>
      </c>
    </row>
    <row r="341" spans="1:3" x14ac:dyDescent="0.3">
      <c r="A341">
        <v>2</v>
      </c>
      <c r="B341">
        <v>27</v>
      </c>
      <c r="C341">
        <v>10</v>
      </c>
    </row>
    <row r="342" spans="1:3" x14ac:dyDescent="0.3">
      <c r="A342">
        <v>2</v>
      </c>
      <c r="B342">
        <v>28</v>
      </c>
      <c r="C342">
        <v>25</v>
      </c>
    </row>
    <row r="343" spans="1:3" x14ac:dyDescent="0.3">
      <c r="A343">
        <v>2</v>
      </c>
      <c r="B343">
        <v>29</v>
      </c>
      <c r="C343">
        <v>29</v>
      </c>
    </row>
    <row r="344" spans="1:3" x14ac:dyDescent="0.3">
      <c r="A344">
        <v>2</v>
      </c>
      <c r="B344">
        <v>30</v>
      </c>
      <c r="C344">
        <v>17</v>
      </c>
    </row>
    <row r="345" spans="1:3" x14ac:dyDescent="0.3">
      <c r="A345">
        <v>2</v>
      </c>
      <c r="B345">
        <v>31</v>
      </c>
      <c r="C345">
        <v>10</v>
      </c>
    </row>
    <row r="346" spans="1:3" x14ac:dyDescent="0.3">
      <c r="A346">
        <v>2</v>
      </c>
      <c r="B346">
        <v>32</v>
      </c>
      <c r="C346">
        <v>13</v>
      </c>
    </row>
    <row r="347" spans="1:3" x14ac:dyDescent="0.3">
      <c r="A347">
        <v>2</v>
      </c>
      <c r="B347">
        <v>33</v>
      </c>
      <c r="C347">
        <v>8</v>
      </c>
    </row>
    <row r="348" spans="1:3" x14ac:dyDescent="0.3">
      <c r="A348">
        <v>2</v>
      </c>
      <c r="B348">
        <v>34</v>
      </c>
      <c r="C348">
        <v>24</v>
      </c>
    </row>
    <row r="349" spans="1:3" x14ac:dyDescent="0.3">
      <c r="A349">
        <v>2</v>
      </c>
      <c r="B349">
        <v>35</v>
      </c>
      <c r="C349">
        <v>25</v>
      </c>
    </row>
    <row r="350" spans="1:3" x14ac:dyDescent="0.3">
      <c r="A350">
        <v>2</v>
      </c>
      <c r="B350">
        <v>36</v>
      </c>
      <c r="C350">
        <v>15</v>
      </c>
    </row>
    <row r="351" spans="1:3" x14ac:dyDescent="0.3">
      <c r="A351">
        <v>2</v>
      </c>
      <c r="B351">
        <v>37</v>
      </c>
      <c r="C351">
        <v>5</v>
      </c>
    </row>
    <row r="352" spans="1:3" x14ac:dyDescent="0.3">
      <c r="A352">
        <v>2</v>
      </c>
      <c r="B352">
        <v>38</v>
      </c>
      <c r="C352">
        <v>18</v>
      </c>
    </row>
    <row r="353" spans="1:3" x14ac:dyDescent="0.3">
      <c r="A353">
        <v>2</v>
      </c>
      <c r="B353">
        <v>39</v>
      </c>
      <c r="C353">
        <v>28</v>
      </c>
    </row>
    <row r="354" spans="1:3" x14ac:dyDescent="0.3">
      <c r="A354">
        <v>2</v>
      </c>
      <c r="B354">
        <v>40</v>
      </c>
      <c r="C354">
        <v>15</v>
      </c>
    </row>
    <row r="355" spans="1:3" x14ac:dyDescent="0.3">
      <c r="A355">
        <v>2</v>
      </c>
      <c r="B355">
        <v>41</v>
      </c>
      <c r="C355">
        <v>6</v>
      </c>
    </row>
    <row r="356" spans="1:3" x14ac:dyDescent="0.3">
      <c r="A356">
        <v>2</v>
      </c>
      <c r="B356">
        <v>42</v>
      </c>
      <c r="C356">
        <v>16</v>
      </c>
    </row>
    <row r="357" spans="1:3" x14ac:dyDescent="0.3">
      <c r="A357">
        <v>2</v>
      </c>
      <c r="B357">
        <v>43</v>
      </c>
      <c r="C357">
        <v>2</v>
      </c>
    </row>
    <row r="358" spans="1:3" x14ac:dyDescent="0.3">
      <c r="A358">
        <v>2</v>
      </c>
      <c r="B358">
        <v>44</v>
      </c>
      <c r="C358">
        <v>24</v>
      </c>
    </row>
    <row r="359" spans="1:3" x14ac:dyDescent="0.3">
      <c r="A359">
        <v>2</v>
      </c>
      <c r="B359">
        <v>45</v>
      </c>
      <c r="C359">
        <v>13</v>
      </c>
    </row>
    <row r="360" spans="1:3" x14ac:dyDescent="0.3">
      <c r="A360">
        <v>2</v>
      </c>
      <c r="B360">
        <v>46</v>
      </c>
      <c r="C360">
        <v>18</v>
      </c>
    </row>
    <row r="361" spans="1:3" x14ac:dyDescent="0.3">
      <c r="A361">
        <v>2</v>
      </c>
      <c r="B361">
        <v>47</v>
      </c>
      <c r="C361">
        <v>0</v>
      </c>
    </row>
    <row r="362" spans="1:3" x14ac:dyDescent="0.3">
      <c r="A362">
        <v>2</v>
      </c>
      <c r="B362">
        <v>48</v>
      </c>
      <c r="C362">
        <v>20</v>
      </c>
    </row>
    <row r="363" spans="1:3" x14ac:dyDescent="0.3">
      <c r="A363">
        <v>2</v>
      </c>
      <c r="B363">
        <v>49</v>
      </c>
      <c r="C363">
        <v>4</v>
      </c>
    </row>
    <row r="364" spans="1:3" x14ac:dyDescent="0.3">
      <c r="A364">
        <v>2</v>
      </c>
      <c r="B364">
        <v>50</v>
      </c>
      <c r="C364">
        <v>7</v>
      </c>
    </row>
    <row r="365" spans="1:3" x14ac:dyDescent="0.3">
      <c r="A365">
        <v>2</v>
      </c>
      <c r="B365">
        <v>51</v>
      </c>
      <c r="C365">
        <v>8</v>
      </c>
    </row>
    <row r="366" spans="1:3" x14ac:dyDescent="0.3">
      <c r="A366">
        <v>2</v>
      </c>
      <c r="B366">
        <v>52</v>
      </c>
      <c r="C366">
        <v>23</v>
      </c>
    </row>
    <row r="367" spans="1:3" x14ac:dyDescent="0.3">
      <c r="A367">
        <v>2</v>
      </c>
      <c r="B367">
        <v>53</v>
      </c>
      <c r="C367">
        <v>19</v>
      </c>
    </row>
    <row r="368" spans="1:3" x14ac:dyDescent="0.3">
      <c r="A368">
        <v>2</v>
      </c>
      <c r="B368">
        <v>54</v>
      </c>
      <c r="C368">
        <v>6</v>
      </c>
    </row>
    <row r="369" spans="1:3" x14ac:dyDescent="0.3">
      <c r="A369">
        <v>2</v>
      </c>
      <c r="B369">
        <v>55</v>
      </c>
      <c r="C369">
        <v>5</v>
      </c>
    </row>
    <row r="370" spans="1:3" x14ac:dyDescent="0.3">
      <c r="A370">
        <v>2</v>
      </c>
      <c r="B370">
        <v>56</v>
      </c>
      <c r="C370">
        <v>20</v>
      </c>
    </row>
    <row r="371" spans="1:3" x14ac:dyDescent="0.3">
      <c r="A371">
        <v>2</v>
      </c>
      <c r="B371">
        <v>57</v>
      </c>
      <c r="C371">
        <v>27</v>
      </c>
    </row>
    <row r="372" spans="1:3" x14ac:dyDescent="0.3">
      <c r="A372">
        <v>2</v>
      </c>
      <c r="B372">
        <v>58</v>
      </c>
      <c r="C372">
        <v>15</v>
      </c>
    </row>
    <row r="373" spans="1:3" x14ac:dyDescent="0.3">
      <c r="A373">
        <v>2</v>
      </c>
      <c r="B373">
        <v>59</v>
      </c>
      <c r="C373">
        <v>17</v>
      </c>
    </row>
    <row r="374" spans="1:3" x14ac:dyDescent="0.3">
      <c r="A374">
        <v>2</v>
      </c>
      <c r="B374">
        <v>60</v>
      </c>
      <c r="C374">
        <v>1</v>
      </c>
    </row>
    <row r="375" spans="1:3" x14ac:dyDescent="0.3">
      <c r="A375">
        <v>2</v>
      </c>
      <c r="B375">
        <v>61</v>
      </c>
      <c r="C375">
        <v>20</v>
      </c>
    </row>
    <row r="376" spans="1:3" x14ac:dyDescent="0.3">
      <c r="A376">
        <v>2</v>
      </c>
      <c r="B376">
        <v>62</v>
      </c>
      <c r="C376">
        <v>4</v>
      </c>
    </row>
    <row r="377" spans="1:3" x14ac:dyDescent="0.3">
      <c r="A377">
        <v>2</v>
      </c>
      <c r="B377">
        <v>63</v>
      </c>
      <c r="C377">
        <v>5</v>
      </c>
    </row>
    <row r="378" spans="1:3" x14ac:dyDescent="0.3">
      <c r="A378">
        <v>2</v>
      </c>
      <c r="B378">
        <v>64</v>
      </c>
      <c r="C378">
        <v>30</v>
      </c>
    </row>
    <row r="379" spans="1:3" x14ac:dyDescent="0.3">
      <c r="A379">
        <v>2</v>
      </c>
      <c r="B379">
        <v>65</v>
      </c>
      <c r="C379">
        <v>16</v>
      </c>
    </row>
    <row r="380" spans="1:3" x14ac:dyDescent="0.3">
      <c r="A380">
        <v>2</v>
      </c>
      <c r="B380">
        <v>66</v>
      </c>
      <c r="C380">
        <v>22</v>
      </c>
    </row>
    <row r="381" spans="1:3" x14ac:dyDescent="0.3">
      <c r="A381">
        <v>2</v>
      </c>
      <c r="B381">
        <v>67</v>
      </c>
      <c r="C381">
        <v>8</v>
      </c>
    </row>
    <row r="382" spans="1:3" x14ac:dyDescent="0.3">
      <c r="A382">
        <v>2</v>
      </c>
      <c r="B382">
        <v>68</v>
      </c>
      <c r="C382">
        <v>23</v>
      </c>
    </row>
    <row r="383" spans="1:3" x14ac:dyDescent="0.3">
      <c r="A383">
        <v>2</v>
      </c>
      <c r="B383">
        <v>69</v>
      </c>
      <c r="C383">
        <v>22</v>
      </c>
    </row>
    <row r="384" spans="1:3" x14ac:dyDescent="0.3">
      <c r="A384">
        <v>2</v>
      </c>
      <c r="B384">
        <v>70</v>
      </c>
      <c r="C384">
        <v>6</v>
      </c>
    </row>
    <row r="385" spans="1:3" x14ac:dyDescent="0.3">
      <c r="A385">
        <v>2</v>
      </c>
      <c r="B385">
        <v>71</v>
      </c>
      <c r="C385">
        <v>30</v>
      </c>
    </row>
    <row r="386" spans="1:3" x14ac:dyDescent="0.3">
      <c r="A386">
        <v>2</v>
      </c>
      <c r="B386">
        <v>72</v>
      </c>
      <c r="C386">
        <v>1</v>
      </c>
    </row>
    <row r="387" spans="1:3" x14ac:dyDescent="0.3">
      <c r="A387">
        <v>2</v>
      </c>
      <c r="B387">
        <v>73</v>
      </c>
      <c r="C387">
        <v>20</v>
      </c>
    </row>
    <row r="388" spans="1:3" x14ac:dyDescent="0.3">
      <c r="A388">
        <v>2</v>
      </c>
      <c r="B388">
        <v>74</v>
      </c>
      <c r="C388">
        <v>23</v>
      </c>
    </row>
    <row r="389" spans="1:3" x14ac:dyDescent="0.3">
      <c r="A389">
        <v>2</v>
      </c>
      <c r="B389">
        <v>75</v>
      </c>
      <c r="C389">
        <v>11</v>
      </c>
    </row>
    <row r="390" spans="1:3" x14ac:dyDescent="0.3">
      <c r="A390">
        <v>2</v>
      </c>
      <c r="B390">
        <v>76</v>
      </c>
      <c r="C390">
        <v>20</v>
      </c>
    </row>
    <row r="391" spans="1:3" x14ac:dyDescent="0.3">
      <c r="A391">
        <v>2</v>
      </c>
      <c r="B391">
        <v>77</v>
      </c>
      <c r="C391">
        <v>25</v>
      </c>
    </row>
    <row r="392" spans="1:3" x14ac:dyDescent="0.3">
      <c r="A392">
        <v>2</v>
      </c>
      <c r="B392">
        <v>78</v>
      </c>
      <c r="C392">
        <v>4</v>
      </c>
    </row>
    <row r="393" spans="1:3" x14ac:dyDescent="0.3">
      <c r="A393">
        <v>2</v>
      </c>
      <c r="B393">
        <v>79</v>
      </c>
      <c r="C393">
        <v>29</v>
      </c>
    </row>
    <row r="394" spans="1:3" x14ac:dyDescent="0.3">
      <c r="A394">
        <v>2</v>
      </c>
      <c r="B394">
        <v>80</v>
      </c>
      <c r="C394">
        <v>27</v>
      </c>
    </row>
    <row r="395" spans="1:3" x14ac:dyDescent="0.3">
      <c r="A395">
        <v>2</v>
      </c>
      <c r="B395">
        <v>81</v>
      </c>
      <c r="C395">
        <v>19</v>
      </c>
    </row>
    <row r="396" spans="1:3" x14ac:dyDescent="0.3">
      <c r="A396">
        <v>2</v>
      </c>
      <c r="B396">
        <v>82</v>
      </c>
      <c r="C396">
        <v>4</v>
      </c>
    </row>
    <row r="397" spans="1:3" x14ac:dyDescent="0.3">
      <c r="A397">
        <v>2</v>
      </c>
      <c r="B397">
        <v>83</v>
      </c>
      <c r="C397">
        <v>21</v>
      </c>
    </row>
    <row r="398" spans="1:3" x14ac:dyDescent="0.3">
      <c r="A398">
        <v>2</v>
      </c>
      <c r="B398">
        <v>84</v>
      </c>
      <c r="C398">
        <v>22</v>
      </c>
    </row>
    <row r="399" spans="1:3" x14ac:dyDescent="0.3">
      <c r="A399">
        <v>2</v>
      </c>
      <c r="B399">
        <v>85</v>
      </c>
      <c r="C399">
        <v>6</v>
      </c>
    </row>
    <row r="400" spans="1:3" x14ac:dyDescent="0.3">
      <c r="A400">
        <v>2</v>
      </c>
      <c r="B400">
        <v>86</v>
      </c>
      <c r="C400">
        <v>24</v>
      </c>
    </row>
    <row r="401" spans="1:3" x14ac:dyDescent="0.3">
      <c r="A401">
        <v>2</v>
      </c>
      <c r="B401">
        <v>87</v>
      </c>
      <c r="C401">
        <v>14</v>
      </c>
    </row>
    <row r="402" spans="1:3" x14ac:dyDescent="0.3">
      <c r="A402">
        <v>2</v>
      </c>
      <c r="B402">
        <v>88</v>
      </c>
      <c r="C402">
        <v>8</v>
      </c>
    </row>
    <row r="403" spans="1:3" x14ac:dyDescent="0.3">
      <c r="A403">
        <v>2</v>
      </c>
      <c r="B403">
        <v>89</v>
      </c>
      <c r="C403">
        <v>8</v>
      </c>
    </row>
    <row r="404" spans="1:3" x14ac:dyDescent="0.3">
      <c r="A404">
        <v>2</v>
      </c>
      <c r="B404">
        <v>90</v>
      </c>
      <c r="C404">
        <v>26</v>
      </c>
    </row>
    <row r="405" spans="1:3" x14ac:dyDescent="0.3">
      <c r="A405">
        <v>2</v>
      </c>
      <c r="B405">
        <v>91</v>
      </c>
      <c r="C405">
        <v>0</v>
      </c>
    </row>
    <row r="406" spans="1:3" x14ac:dyDescent="0.3">
      <c r="A406">
        <v>2</v>
      </c>
      <c r="B406">
        <v>92</v>
      </c>
      <c r="C406">
        <v>22</v>
      </c>
    </row>
    <row r="407" spans="1:3" x14ac:dyDescent="0.3">
      <c r="A407">
        <v>2</v>
      </c>
      <c r="B407">
        <v>93</v>
      </c>
      <c r="C407">
        <v>22</v>
      </c>
    </row>
    <row r="408" spans="1:3" x14ac:dyDescent="0.3">
      <c r="A408">
        <v>2</v>
      </c>
      <c r="B408">
        <v>94</v>
      </c>
      <c r="C408">
        <v>2</v>
      </c>
    </row>
    <row r="409" spans="1:3" x14ac:dyDescent="0.3">
      <c r="A409">
        <v>2</v>
      </c>
      <c r="B409">
        <v>95</v>
      </c>
      <c r="C409">
        <v>10</v>
      </c>
    </row>
    <row r="410" spans="1:3" x14ac:dyDescent="0.3">
      <c r="A410">
        <v>2</v>
      </c>
      <c r="B410">
        <v>96</v>
      </c>
      <c r="C410">
        <v>22</v>
      </c>
    </row>
    <row r="411" spans="1:3" x14ac:dyDescent="0.3">
      <c r="A411">
        <v>2</v>
      </c>
      <c r="B411">
        <v>97</v>
      </c>
      <c r="C411">
        <v>15</v>
      </c>
    </row>
    <row r="412" spans="1:3" x14ac:dyDescent="0.3">
      <c r="A412">
        <v>2</v>
      </c>
      <c r="B412">
        <v>98</v>
      </c>
      <c r="C412">
        <v>14</v>
      </c>
    </row>
    <row r="413" spans="1:3" x14ac:dyDescent="0.3">
      <c r="A413">
        <v>2</v>
      </c>
      <c r="B413">
        <v>99</v>
      </c>
      <c r="C413">
        <v>24</v>
      </c>
    </row>
    <row r="414" spans="1:3" x14ac:dyDescent="0.3">
      <c r="A414">
        <v>2</v>
      </c>
      <c r="B414">
        <v>100</v>
      </c>
      <c r="C414">
        <v>12</v>
      </c>
    </row>
    <row r="415" spans="1:3" x14ac:dyDescent="0.3">
      <c r="A415">
        <v>2</v>
      </c>
      <c r="B415">
        <v>101</v>
      </c>
      <c r="C415">
        <v>4</v>
      </c>
    </row>
    <row r="416" spans="1:3" x14ac:dyDescent="0.3">
      <c r="A416">
        <v>2</v>
      </c>
      <c r="B416">
        <v>102</v>
      </c>
      <c r="C416">
        <v>12</v>
      </c>
    </row>
    <row r="417" spans="1:3" x14ac:dyDescent="0.3">
      <c r="A417">
        <v>2</v>
      </c>
      <c r="B417">
        <v>103</v>
      </c>
      <c r="C417">
        <v>1</v>
      </c>
    </row>
    <row r="418" spans="1:3" x14ac:dyDescent="0.3">
      <c r="A418">
        <v>2</v>
      </c>
      <c r="B418">
        <v>104</v>
      </c>
      <c r="C418">
        <v>26</v>
      </c>
    </row>
    <row r="419" spans="1:3" x14ac:dyDescent="0.3">
      <c r="A419">
        <v>2</v>
      </c>
      <c r="B419">
        <v>105</v>
      </c>
      <c r="C419">
        <v>3</v>
      </c>
    </row>
    <row r="420" spans="1:3" x14ac:dyDescent="0.3">
      <c r="A420">
        <v>2</v>
      </c>
      <c r="B420">
        <v>106</v>
      </c>
      <c r="C420">
        <v>7</v>
      </c>
    </row>
    <row r="421" spans="1:3" x14ac:dyDescent="0.3">
      <c r="A421">
        <v>2</v>
      </c>
      <c r="B421">
        <v>107</v>
      </c>
      <c r="C421">
        <v>29</v>
      </c>
    </row>
    <row r="422" spans="1:3" x14ac:dyDescent="0.3">
      <c r="A422">
        <v>2</v>
      </c>
      <c r="B422">
        <v>108</v>
      </c>
      <c r="C422">
        <v>29</v>
      </c>
    </row>
    <row r="423" spans="1:3" x14ac:dyDescent="0.3">
      <c r="A423">
        <v>2</v>
      </c>
      <c r="B423">
        <v>109</v>
      </c>
      <c r="C423">
        <v>25</v>
      </c>
    </row>
    <row r="424" spans="1:3" x14ac:dyDescent="0.3">
      <c r="A424">
        <v>2</v>
      </c>
      <c r="B424">
        <v>110</v>
      </c>
      <c r="C424">
        <v>7</v>
      </c>
    </row>
    <row r="425" spans="1:3" x14ac:dyDescent="0.3">
      <c r="A425">
        <v>2</v>
      </c>
      <c r="B425">
        <v>111</v>
      </c>
      <c r="C425">
        <v>6</v>
      </c>
    </row>
    <row r="426" spans="1:3" x14ac:dyDescent="0.3">
      <c r="A426">
        <v>2</v>
      </c>
      <c r="B426">
        <v>112</v>
      </c>
      <c r="C426">
        <v>1</v>
      </c>
    </row>
    <row r="427" spans="1:3" x14ac:dyDescent="0.3">
      <c r="A427">
        <v>2</v>
      </c>
      <c r="B427">
        <v>113</v>
      </c>
      <c r="C427">
        <v>7</v>
      </c>
    </row>
    <row r="428" spans="1:3" x14ac:dyDescent="0.3">
      <c r="A428">
        <v>2</v>
      </c>
      <c r="B428">
        <v>114</v>
      </c>
      <c r="C428">
        <v>12</v>
      </c>
    </row>
    <row r="429" spans="1:3" x14ac:dyDescent="0.3">
      <c r="A429">
        <v>2</v>
      </c>
      <c r="B429">
        <v>115</v>
      </c>
      <c r="C429">
        <v>19</v>
      </c>
    </row>
    <row r="430" spans="1:3" x14ac:dyDescent="0.3">
      <c r="A430">
        <v>2</v>
      </c>
      <c r="B430">
        <v>116</v>
      </c>
      <c r="C430">
        <v>17</v>
      </c>
    </row>
    <row r="431" spans="1:3" x14ac:dyDescent="0.3">
      <c r="A431">
        <v>2</v>
      </c>
      <c r="B431">
        <v>117</v>
      </c>
      <c r="C431">
        <v>18</v>
      </c>
    </row>
    <row r="432" spans="1:3" x14ac:dyDescent="0.3">
      <c r="A432">
        <v>2</v>
      </c>
      <c r="B432">
        <v>118</v>
      </c>
      <c r="C432">
        <v>25</v>
      </c>
    </row>
    <row r="433" spans="1:3" x14ac:dyDescent="0.3">
      <c r="A433">
        <v>2</v>
      </c>
      <c r="B433">
        <v>119</v>
      </c>
      <c r="C433">
        <v>23</v>
      </c>
    </row>
    <row r="434" spans="1:3" x14ac:dyDescent="0.3">
      <c r="A434">
        <v>2</v>
      </c>
      <c r="B434">
        <v>120</v>
      </c>
      <c r="C434">
        <v>16</v>
      </c>
    </row>
    <row r="435" spans="1:3" x14ac:dyDescent="0.3">
      <c r="A435">
        <v>2</v>
      </c>
      <c r="B435">
        <v>121</v>
      </c>
      <c r="C435">
        <v>3</v>
      </c>
    </row>
    <row r="436" spans="1:3" x14ac:dyDescent="0.3">
      <c r="A436">
        <v>2</v>
      </c>
      <c r="B436">
        <v>122</v>
      </c>
      <c r="C436">
        <v>11</v>
      </c>
    </row>
    <row r="437" spans="1:3" x14ac:dyDescent="0.3">
      <c r="A437">
        <v>2</v>
      </c>
      <c r="B437">
        <v>123</v>
      </c>
      <c r="C437">
        <v>18</v>
      </c>
    </row>
    <row r="438" spans="1:3" x14ac:dyDescent="0.3">
      <c r="A438">
        <v>2</v>
      </c>
      <c r="B438">
        <v>124</v>
      </c>
      <c r="C438">
        <v>4</v>
      </c>
    </row>
    <row r="439" spans="1:3" x14ac:dyDescent="0.3">
      <c r="A439">
        <v>2</v>
      </c>
      <c r="B439">
        <v>125</v>
      </c>
      <c r="C439">
        <v>10</v>
      </c>
    </row>
    <row r="440" spans="1:3" x14ac:dyDescent="0.3">
      <c r="A440">
        <v>2</v>
      </c>
      <c r="B440">
        <v>126</v>
      </c>
      <c r="C440">
        <v>13</v>
      </c>
    </row>
    <row r="441" spans="1:3" x14ac:dyDescent="0.3">
      <c r="A441">
        <v>2</v>
      </c>
      <c r="B441">
        <v>127</v>
      </c>
      <c r="C441">
        <v>12</v>
      </c>
    </row>
    <row r="442" spans="1:3" x14ac:dyDescent="0.3">
      <c r="A442">
        <v>2</v>
      </c>
      <c r="B442">
        <v>128</v>
      </c>
      <c r="C442">
        <v>28</v>
      </c>
    </row>
    <row r="443" spans="1:3" x14ac:dyDescent="0.3">
      <c r="A443">
        <v>2</v>
      </c>
      <c r="B443">
        <v>129</v>
      </c>
      <c r="C443">
        <v>21</v>
      </c>
    </row>
    <row r="444" spans="1:3" x14ac:dyDescent="0.3">
      <c r="A444">
        <v>2</v>
      </c>
      <c r="B444">
        <v>130</v>
      </c>
      <c r="C444">
        <v>17</v>
      </c>
    </row>
    <row r="445" spans="1:3" x14ac:dyDescent="0.3">
      <c r="A445">
        <v>2</v>
      </c>
      <c r="B445">
        <v>131</v>
      </c>
      <c r="C445">
        <v>9</v>
      </c>
    </row>
    <row r="446" spans="1:3" x14ac:dyDescent="0.3">
      <c r="A446">
        <v>2</v>
      </c>
      <c r="B446">
        <v>132</v>
      </c>
      <c r="C446">
        <v>6</v>
      </c>
    </row>
    <row r="447" spans="1:3" x14ac:dyDescent="0.3">
      <c r="A447">
        <v>2</v>
      </c>
      <c r="B447">
        <v>133</v>
      </c>
      <c r="C447">
        <v>28</v>
      </c>
    </row>
    <row r="448" spans="1:3" x14ac:dyDescent="0.3">
      <c r="A448">
        <v>2</v>
      </c>
      <c r="B448">
        <v>134</v>
      </c>
      <c r="C448">
        <v>13</v>
      </c>
    </row>
    <row r="449" spans="1:3" x14ac:dyDescent="0.3">
      <c r="A449">
        <v>2</v>
      </c>
      <c r="B449">
        <v>135</v>
      </c>
      <c r="C449">
        <v>30</v>
      </c>
    </row>
    <row r="450" spans="1:3" x14ac:dyDescent="0.3">
      <c r="A450">
        <v>2</v>
      </c>
      <c r="B450">
        <v>136</v>
      </c>
      <c r="C450">
        <v>8</v>
      </c>
    </row>
    <row r="451" spans="1:3" x14ac:dyDescent="0.3">
      <c r="A451">
        <v>2</v>
      </c>
      <c r="B451">
        <v>137</v>
      </c>
      <c r="C451">
        <v>1</v>
      </c>
    </row>
    <row r="452" spans="1:3" x14ac:dyDescent="0.3">
      <c r="A452">
        <v>2</v>
      </c>
      <c r="B452">
        <v>138</v>
      </c>
      <c r="C452">
        <v>16</v>
      </c>
    </row>
    <row r="453" spans="1:3" x14ac:dyDescent="0.3">
      <c r="A453">
        <v>2</v>
      </c>
      <c r="B453">
        <v>139</v>
      </c>
      <c r="C453">
        <v>24</v>
      </c>
    </row>
    <row r="454" spans="1:3" x14ac:dyDescent="0.3">
      <c r="A454">
        <v>2</v>
      </c>
      <c r="B454">
        <v>140</v>
      </c>
      <c r="C454">
        <v>13</v>
      </c>
    </row>
    <row r="455" spans="1:3" x14ac:dyDescent="0.3">
      <c r="A455">
        <v>2</v>
      </c>
      <c r="B455">
        <v>141</v>
      </c>
      <c r="C455">
        <v>28</v>
      </c>
    </row>
    <row r="456" spans="1:3" x14ac:dyDescent="0.3">
      <c r="A456">
        <v>2</v>
      </c>
      <c r="B456">
        <v>142</v>
      </c>
      <c r="C456">
        <v>24</v>
      </c>
    </row>
    <row r="457" spans="1:3" x14ac:dyDescent="0.3">
      <c r="A457">
        <v>2</v>
      </c>
      <c r="B457">
        <v>143</v>
      </c>
      <c r="C457">
        <v>12</v>
      </c>
    </row>
    <row r="458" spans="1:3" x14ac:dyDescent="0.3">
      <c r="A458">
        <v>2</v>
      </c>
      <c r="B458">
        <v>144</v>
      </c>
      <c r="C458">
        <v>4</v>
      </c>
    </row>
    <row r="459" spans="1:3" x14ac:dyDescent="0.3">
      <c r="A459">
        <v>2</v>
      </c>
      <c r="B459">
        <v>145</v>
      </c>
      <c r="C459">
        <v>23</v>
      </c>
    </row>
    <row r="460" spans="1:3" x14ac:dyDescent="0.3">
      <c r="A460">
        <v>2</v>
      </c>
      <c r="B460">
        <v>146</v>
      </c>
      <c r="C460">
        <v>3</v>
      </c>
    </row>
    <row r="461" spans="1:3" x14ac:dyDescent="0.3">
      <c r="A461">
        <v>2</v>
      </c>
      <c r="B461">
        <v>147</v>
      </c>
      <c r="C461">
        <v>13</v>
      </c>
    </row>
    <row r="462" spans="1:3" x14ac:dyDescent="0.3">
      <c r="A462">
        <v>2</v>
      </c>
      <c r="B462">
        <v>148</v>
      </c>
      <c r="C462">
        <v>27</v>
      </c>
    </row>
    <row r="463" spans="1:3" x14ac:dyDescent="0.3">
      <c r="A463">
        <v>2</v>
      </c>
      <c r="B463">
        <v>149</v>
      </c>
      <c r="C463">
        <v>22</v>
      </c>
    </row>
    <row r="464" spans="1:3" x14ac:dyDescent="0.3">
      <c r="A464">
        <v>2</v>
      </c>
      <c r="B464">
        <v>150</v>
      </c>
      <c r="C464">
        <v>7</v>
      </c>
    </row>
    <row r="465" spans="1:3" x14ac:dyDescent="0.3">
      <c r="A465">
        <v>2</v>
      </c>
      <c r="B465">
        <v>151</v>
      </c>
      <c r="C465">
        <v>2</v>
      </c>
    </row>
    <row r="466" spans="1:3" x14ac:dyDescent="0.3">
      <c r="A466">
        <v>2</v>
      </c>
      <c r="B466">
        <v>152</v>
      </c>
      <c r="C466">
        <v>21</v>
      </c>
    </row>
    <row r="467" spans="1:3" x14ac:dyDescent="0.3">
      <c r="A467">
        <v>2</v>
      </c>
      <c r="B467">
        <v>153</v>
      </c>
      <c r="C467">
        <v>21</v>
      </c>
    </row>
    <row r="468" spans="1:3" x14ac:dyDescent="0.3">
      <c r="A468">
        <v>2</v>
      </c>
      <c r="B468">
        <v>154</v>
      </c>
      <c r="C468">
        <v>9</v>
      </c>
    </row>
    <row r="469" spans="1:3" x14ac:dyDescent="0.3">
      <c r="A469">
        <v>2</v>
      </c>
      <c r="B469">
        <v>155</v>
      </c>
      <c r="C469">
        <v>21</v>
      </c>
    </row>
    <row r="470" spans="1:3" x14ac:dyDescent="0.3">
      <c r="A470">
        <v>2</v>
      </c>
      <c r="B470">
        <v>156</v>
      </c>
      <c r="C470">
        <v>8</v>
      </c>
    </row>
    <row r="471" spans="1:3" x14ac:dyDescent="0.3">
      <c r="A471">
        <v>2</v>
      </c>
      <c r="B471">
        <v>157</v>
      </c>
      <c r="C471">
        <v>28</v>
      </c>
    </row>
    <row r="472" spans="1:3" x14ac:dyDescent="0.3">
      <c r="A472">
        <v>2</v>
      </c>
      <c r="B472">
        <v>158</v>
      </c>
      <c r="C472">
        <v>0</v>
      </c>
    </row>
    <row r="473" spans="1:3" x14ac:dyDescent="0.3">
      <c r="A473">
        <v>2</v>
      </c>
      <c r="B473">
        <v>159</v>
      </c>
      <c r="C473">
        <v>30</v>
      </c>
    </row>
    <row r="474" spans="1:3" x14ac:dyDescent="0.3">
      <c r="A474">
        <v>2</v>
      </c>
      <c r="B474">
        <v>160</v>
      </c>
      <c r="C474">
        <v>4</v>
      </c>
    </row>
    <row r="475" spans="1:3" x14ac:dyDescent="0.3">
      <c r="A475">
        <v>2</v>
      </c>
      <c r="B475">
        <v>161</v>
      </c>
      <c r="C475">
        <v>9</v>
      </c>
    </row>
    <row r="476" spans="1:3" x14ac:dyDescent="0.3">
      <c r="A476">
        <v>2</v>
      </c>
      <c r="B476">
        <v>162</v>
      </c>
      <c r="C476">
        <v>18</v>
      </c>
    </row>
    <row r="477" spans="1:3" x14ac:dyDescent="0.3">
      <c r="A477">
        <v>2</v>
      </c>
      <c r="B477">
        <v>163</v>
      </c>
      <c r="C477">
        <v>30</v>
      </c>
    </row>
    <row r="478" spans="1:3" x14ac:dyDescent="0.3">
      <c r="A478">
        <v>2</v>
      </c>
      <c r="B478">
        <v>164</v>
      </c>
      <c r="C478">
        <v>9</v>
      </c>
    </row>
    <row r="479" spans="1:3" x14ac:dyDescent="0.3">
      <c r="A479">
        <v>2</v>
      </c>
      <c r="B479">
        <v>165</v>
      </c>
      <c r="C479">
        <v>6</v>
      </c>
    </row>
    <row r="480" spans="1:3" x14ac:dyDescent="0.3">
      <c r="A480">
        <v>2</v>
      </c>
      <c r="B480">
        <v>166</v>
      </c>
      <c r="C480">
        <v>27</v>
      </c>
    </row>
    <row r="481" spans="1:3" x14ac:dyDescent="0.3">
      <c r="A481">
        <v>2</v>
      </c>
      <c r="B481">
        <v>167</v>
      </c>
      <c r="C481">
        <v>1</v>
      </c>
    </row>
    <row r="482" spans="1:3" x14ac:dyDescent="0.3">
      <c r="A482">
        <v>2</v>
      </c>
      <c r="B482">
        <v>168</v>
      </c>
      <c r="C482">
        <v>29</v>
      </c>
    </row>
    <row r="483" spans="1:3" x14ac:dyDescent="0.3">
      <c r="A483">
        <v>2</v>
      </c>
      <c r="B483">
        <v>169</v>
      </c>
      <c r="C483">
        <v>1</v>
      </c>
    </row>
    <row r="484" spans="1:3" x14ac:dyDescent="0.3">
      <c r="A484">
        <v>2</v>
      </c>
      <c r="B484">
        <v>170</v>
      </c>
      <c r="C484">
        <v>2</v>
      </c>
    </row>
    <row r="485" spans="1:3" x14ac:dyDescent="0.3">
      <c r="A485">
        <v>2</v>
      </c>
      <c r="B485">
        <v>171</v>
      </c>
      <c r="C485">
        <v>28</v>
      </c>
    </row>
    <row r="486" spans="1:3" x14ac:dyDescent="0.3">
      <c r="A486">
        <v>2</v>
      </c>
      <c r="B486">
        <v>172</v>
      </c>
      <c r="C486">
        <v>16</v>
      </c>
    </row>
    <row r="487" spans="1:3" x14ac:dyDescent="0.3">
      <c r="A487">
        <v>2</v>
      </c>
      <c r="B487">
        <v>173</v>
      </c>
      <c r="C487">
        <v>17</v>
      </c>
    </row>
    <row r="488" spans="1:3" x14ac:dyDescent="0.3">
      <c r="A488">
        <v>2</v>
      </c>
      <c r="B488">
        <v>174</v>
      </c>
      <c r="C488">
        <v>8</v>
      </c>
    </row>
    <row r="489" spans="1:3" x14ac:dyDescent="0.3">
      <c r="A489">
        <v>2</v>
      </c>
      <c r="B489">
        <v>175</v>
      </c>
      <c r="C489">
        <v>0</v>
      </c>
    </row>
    <row r="490" spans="1:3" x14ac:dyDescent="0.3">
      <c r="A490">
        <v>2</v>
      </c>
      <c r="B490">
        <v>176</v>
      </c>
      <c r="C490">
        <v>26</v>
      </c>
    </row>
    <row r="491" spans="1:3" x14ac:dyDescent="0.3">
      <c r="A491">
        <v>2</v>
      </c>
      <c r="B491">
        <v>177</v>
      </c>
      <c r="C491">
        <v>9</v>
      </c>
    </row>
    <row r="492" spans="1:3" x14ac:dyDescent="0.3">
      <c r="A492">
        <v>2</v>
      </c>
      <c r="B492">
        <v>178</v>
      </c>
      <c r="C492">
        <v>1</v>
      </c>
    </row>
    <row r="493" spans="1:3" x14ac:dyDescent="0.3">
      <c r="A493">
        <v>2</v>
      </c>
      <c r="B493">
        <v>179</v>
      </c>
      <c r="C493">
        <v>16</v>
      </c>
    </row>
    <row r="494" spans="1:3" x14ac:dyDescent="0.3">
      <c r="A494">
        <v>2</v>
      </c>
      <c r="B494">
        <v>180</v>
      </c>
      <c r="C494">
        <v>3</v>
      </c>
    </row>
    <row r="495" spans="1:3" x14ac:dyDescent="0.3">
      <c r="A495">
        <v>2</v>
      </c>
      <c r="B495">
        <v>181</v>
      </c>
      <c r="C495">
        <v>29</v>
      </c>
    </row>
    <row r="496" spans="1:3" x14ac:dyDescent="0.3">
      <c r="A496">
        <v>2</v>
      </c>
      <c r="B496">
        <v>182</v>
      </c>
      <c r="C496">
        <v>21</v>
      </c>
    </row>
    <row r="497" spans="1:3" x14ac:dyDescent="0.3">
      <c r="A497">
        <v>2</v>
      </c>
      <c r="B497">
        <v>183</v>
      </c>
      <c r="C497">
        <v>26</v>
      </c>
    </row>
    <row r="498" spans="1:3" x14ac:dyDescent="0.3">
      <c r="A498">
        <v>2</v>
      </c>
      <c r="B498">
        <v>184</v>
      </c>
      <c r="C498">
        <v>0</v>
      </c>
    </row>
    <row r="499" spans="1:3" x14ac:dyDescent="0.3">
      <c r="A499">
        <v>2</v>
      </c>
      <c r="B499">
        <v>185</v>
      </c>
      <c r="C499">
        <v>4</v>
      </c>
    </row>
    <row r="500" spans="1:3" x14ac:dyDescent="0.3">
      <c r="A500">
        <v>2</v>
      </c>
      <c r="B500">
        <v>186</v>
      </c>
      <c r="C500">
        <v>16</v>
      </c>
    </row>
    <row r="501" spans="1:3" x14ac:dyDescent="0.3">
      <c r="A501">
        <v>2</v>
      </c>
      <c r="B501">
        <v>187</v>
      </c>
      <c r="C501">
        <v>10</v>
      </c>
    </row>
    <row r="502" spans="1:3" x14ac:dyDescent="0.3">
      <c r="A502">
        <v>2</v>
      </c>
      <c r="B502">
        <v>188</v>
      </c>
      <c r="C502">
        <v>27</v>
      </c>
    </row>
    <row r="503" spans="1:3" x14ac:dyDescent="0.3">
      <c r="A503">
        <v>2</v>
      </c>
      <c r="B503">
        <v>189</v>
      </c>
      <c r="C503">
        <v>13</v>
      </c>
    </row>
    <row r="504" spans="1:3" x14ac:dyDescent="0.3">
      <c r="A504">
        <v>2</v>
      </c>
      <c r="B504">
        <v>190</v>
      </c>
      <c r="C504">
        <v>18</v>
      </c>
    </row>
    <row r="505" spans="1:3" x14ac:dyDescent="0.3">
      <c r="A505">
        <v>2</v>
      </c>
      <c r="B505">
        <v>191</v>
      </c>
      <c r="C505">
        <v>15</v>
      </c>
    </row>
    <row r="506" spans="1:3" x14ac:dyDescent="0.3">
      <c r="A506">
        <v>2</v>
      </c>
      <c r="B506">
        <v>192</v>
      </c>
      <c r="C506">
        <v>0</v>
      </c>
    </row>
    <row r="507" spans="1:3" x14ac:dyDescent="0.3">
      <c r="A507">
        <v>2</v>
      </c>
      <c r="B507">
        <v>193</v>
      </c>
      <c r="C507">
        <v>21</v>
      </c>
    </row>
    <row r="508" spans="1:3" x14ac:dyDescent="0.3">
      <c r="A508">
        <v>2</v>
      </c>
      <c r="B508">
        <v>194</v>
      </c>
      <c r="C508">
        <v>15</v>
      </c>
    </row>
    <row r="509" spans="1:3" x14ac:dyDescent="0.3">
      <c r="A509">
        <v>2</v>
      </c>
      <c r="B509">
        <v>195</v>
      </c>
      <c r="C509">
        <v>19</v>
      </c>
    </row>
    <row r="510" spans="1:3" x14ac:dyDescent="0.3">
      <c r="A510">
        <v>2</v>
      </c>
      <c r="B510">
        <v>196</v>
      </c>
      <c r="C510">
        <v>28</v>
      </c>
    </row>
    <row r="511" spans="1:3" x14ac:dyDescent="0.3">
      <c r="A511">
        <v>2</v>
      </c>
      <c r="B511">
        <v>197</v>
      </c>
      <c r="C511">
        <v>10</v>
      </c>
    </row>
    <row r="512" spans="1:3" x14ac:dyDescent="0.3">
      <c r="A512">
        <v>2</v>
      </c>
      <c r="B512">
        <v>198</v>
      </c>
      <c r="C512">
        <v>0</v>
      </c>
    </row>
    <row r="513" spans="1:3" x14ac:dyDescent="0.3">
      <c r="A513">
        <v>2</v>
      </c>
      <c r="B513">
        <v>199</v>
      </c>
      <c r="C513">
        <v>13</v>
      </c>
    </row>
    <row r="514" spans="1:3" x14ac:dyDescent="0.3">
      <c r="A514">
        <v>2</v>
      </c>
      <c r="B514">
        <v>200</v>
      </c>
      <c r="C514">
        <v>11</v>
      </c>
    </row>
    <row r="515" spans="1:3" x14ac:dyDescent="0.3">
      <c r="A515">
        <v>2</v>
      </c>
      <c r="B515">
        <v>201</v>
      </c>
      <c r="C515">
        <v>24</v>
      </c>
    </row>
    <row r="516" spans="1:3" x14ac:dyDescent="0.3">
      <c r="A516">
        <v>2</v>
      </c>
      <c r="B516">
        <v>202</v>
      </c>
      <c r="C516">
        <v>1</v>
      </c>
    </row>
    <row r="517" spans="1:3" x14ac:dyDescent="0.3">
      <c r="A517">
        <v>2</v>
      </c>
      <c r="B517">
        <v>203</v>
      </c>
      <c r="C517">
        <v>7</v>
      </c>
    </row>
    <row r="518" spans="1:3" x14ac:dyDescent="0.3">
      <c r="A518">
        <v>2</v>
      </c>
      <c r="B518">
        <v>204</v>
      </c>
      <c r="C518">
        <v>25</v>
      </c>
    </row>
    <row r="519" spans="1:3" x14ac:dyDescent="0.3">
      <c r="A519">
        <v>2</v>
      </c>
      <c r="B519">
        <v>205</v>
      </c>
      <c r="C519">
        <v>13</v>
      </c>
    </row>
    <row r="520" spans="1:3" x14ac:dyDescent="0.3">
      <c r="A520">
        <v>2</v>
      </c>
      <c r="B520">
        <v>206</v>
      </c>
      <c r="C520">
        <v>9</v>
      </c>
    </row>
    <row r="521" spans="1:3" x14ac:dyDescent="0.3">
      <c r="A521">
        <v>2</v>
      </c>
      <c r="B521">
        <v>207</v>
      </c>
      <c r="C521">
        <v>8</v>
      </c>
    </row>
    <row r="522" spans="1:3" x14ac:dyDescent="0.3">
      <c r="A522">
        <v>2</v>
      </c>
      <c r="B522">
        <v>208</v>
      </c>
      <c r="C522">
        <v>12</v>
      </c>
    </row>
    <row r="523" spans="1:3" x14ac:dyDescent="0.3">
      <c r="A523">
        <v>2</v>
      </c>
      <c r="B523">
        <v>209</v>
      </c>
      <c r="C523">
        <v>11</v>
      </c>
    </row>
    <row r="524" spans="1:3" x14ac:dyDescent="0.3">
      <c r="A524">
        <v>2</v>
      </c>
      <c r="B524">
        <v>210</v>
      </c>
      <c r="C524">
        <v>10</v>
      </c>
    </row>
    <row r="525" spans="1:3" x14ac:dyDescent="0.3">
      <c r="A525">
        <v>2</v>
      </c>
      <c r="B525">
        <v>211</v>
      </c>
      <c r="C525">
        <v>4</v>
      </c>
    </row>
    <row r="526" spans="1:3" x14ac:dyDescent="0.3">
      <c r="A526">
        <v>2</v>
      </c>
      <c r="B526">
        <v>212</v>
      </c>
      <c r="C526">
        <v>22</v>
      </c>
    </row>
    <row r="527" spans="1:3" x14ac:dyDescent="0.3">
      <c r="A527">
        <v>2</v>
      </c>
      <c r="B527">
        <v>213</v>
      </c>
      <c r="C527">
        <v>10</v>
      </c>
    </row>
    <row r="528" spans="1:3" x14ac:dyDescent="0.3">
      <c r="A528">
        <v>2</v>
      </c>
      <c r="B528">
        <v>214</v>
      </c>
      <c r="C528">
        <v>7</v>
      </c>
    </row>
    <row r="529" spans="1:3" x14ac:dyDescent="0.3">
      <c r="A529">
        <v>2</v>
      </c>
      <c r="B529">
        <v>215</v>
      </c>
      <c r="C529">
        <v>11</v>
      </c>
    </row>
    <row r="530" spans="1:3" x14ac:dyDescent="0.3">
      <c r="A530">
        <v>2</v>
      </c>
      <c r="B530">
        <v>216</v>
      </c>
      <c r="C530">
        <v>19</v>
      </c>
    </row>
    <row r="531" spans="1:3" x14ac:dyDescent="0.3">
      <c r="A531">
        <v>2</v>
      </c>
      <c r="B531">
        <v>217</v>
      </c>
      <c r="C531">
        <v>22</v>
      </c>
    </row>
    <row r="532" spans="1:3" x14ac:dyDescent="0.3">
      <c r="A532">
        <v>2</v>
      </c>
      <c r="B532">
        <v>218</v>
      </c>
      <c r="C532">
        <v>26</v>
      </c>
    </row>
    <row r="533" spans="1:3" x14ac:dyDescent="0.3">
      <c r="A533">
        <v>2</v>
      </c>
      <c r="B533">
        <v>219</v>
      </c>
      <c r="C533">
        <v>16</v>
      </c>
    </row>
    <row r="534" spans="1:3" x14ac:dyDescent="0.3">
      <c r="A534">
        <v>2</v>
      </c>
      <c r="B534">
        <v>220</v>
      </c>
      <c r="C534">
        <v>6</v>
      </c>
    </row>
    <row r="535" spans="1:3" x14ac:dyDescent="0.3">
      <c r="A535">
        <v>2</v>
      </c>
      <c r="B535">
        <v>221</v>
      </c>
      <c r="C535">
        <v>12</v>
      </c>
    </row>
    <row r="536" spans="1:3" x14ac:dyDescent="0.3">
      <c r="A536">
        <v>2</v>
      </c>
      <c r="B536">
        <v>222</v>
      </c>
      <c r="C536">
        <v>30</v>
      </c>
    </row>
    <row r="537" spans="1:3" x14ac:dyDescent="0.3">
      <c r="A537">
        <v>2</v>
      </c>
      <c r="B537">
        <v>223</v>
      </c>
      <c r="C537">
        <v>7</v>
      </c>
    </row>
    <row r="538" spans="1:3" x14ac:dyDescent="0.3">
      <c r="A538">
        <v>2</v>
      </c>
      <c r="B538">
        <v>224</v>
      </c>
      <c r="C538">
        <v>4</v>
      </c>
    </row>
    <row r="539" spans="1:3" x14ac:dyDescent="0.3">
      <c r="A539">
        <v>2</v>
      </c>
      <c r="B539">
        <v>225</v>
      </c>
      <c r="C539">
        <v>11</v>
      </c>
    </row>
    <row r="540" spans="1:3" x14ac:dyDescent="0.3">
      <c r="A540">
        <v>2</v>
      </c>
      <c r="B540">
        <v>226</v>
      </c>
      <c r="C540">
        <v>5</v>
      </c>
    </row>
    <row r="541" spans="1:3" x14ac:dyDescent="0.3">
      <c r="A541">
        <v>2</v>
      </c>
      <c r="B541">
        <v>227</v>
      </c>
      <c r="C541">
        <v>12</v>
      </c>
    </row>
    <row r="542" spans="1:3" x14ac:dyDescent="0.3">
      <c r="A542">
        <v>2</v>
      </c>
      <c r="B542">
        <v>228</v>
      </c>
      <c r="C542">
        <v>7</v>
      </c>
    </row>
    <row r="543" spans="1:3" x14ac:dyDescent="0.3">
      <c r="A543">
        <v>2</v>
      </c>
      <c r="B543">
        <v>229</v>
      </c>
      <c r="C543">
        <v>29</v>
      </c>
    </row>
    <row r="544" spans="1:3" x14ac:dyDescent="0.3">
      <c r="A544">
        <v>2</v>
      </c>
      <c r="B544">
        <v>230</v>
      </c>
      <c r="C544">
        <v>25</v>
      </c>
    </row>
    <row r="545" spans="1:3" x14ac:dyDescent="0.3">
      <c r="A545">
        <v>2</v>
      </c>
      <c r="B545">
        <v>231</v>
      </c>
      <c r="C545">
        <v>8</v>
      </c>
    </row>
    <row r="546" spans="1:3" x14ac:dyDescent="0.3">
      <c r="A546">
        <v>2</v>
      </c>
      <c r="B546">
        <v>232</v>
      </c>
      <c r="C546">
        <v>11</v>
      </c>
    </row>
    <row r="547" spans="1:3" x14ac:dyDescent="0.3">
      <c r="A547">
        <v>2</v>
      </c>
      <c r="B547">
        <v>233</v>
      </c>
      <c r="C547">
        <v>25</v>
      </c>
    </row>
    <row r="548" spans="1:3" x14ac:dyDescent="0.3">
      <c r="A548">
        <v>2</v>
      </c>
      <c r="B548">
        <v>234</v>
      </c>
      <c r="C548">
        <v>12</v>
      </c>
    </row>
    <row r="549" spans="1:3" x14ac:dyDescent="0.3">
      <c r="A549">
        <v>2</v>
      </c>
      <c r="B549">
        <v>235</v>
      </c>
      <c r="C549">
        <v>4</v>
      </c>
    </row>
    <row r="550" spans="1:3" x14ac:dyDescent="0.3">
      <c r="A550">
        <v>2</v>
      </c>
      <c r="B550">
        <v>236</v>
      </c>
      <c r="C550">
        <v>7</v>
      </c>
    </row>
    <row r="551" spans="1:3" x14ac:dyDescent="0.3">
      <c r="A551">
        <v>2</v>
      </c>
      <c r="B551">
        <v>237</v>
      </c>
      <c r="C551">
        <v>30</v>
      </c>
    </row>
    <row r="552" spans="1:3" x14ac:dyDescent="0.3">
      <c r="A552">
        <v>2</v>
      </c>
      <c r="B552">
        <v>238</v>
      </c>
      <c r="C552">
        <v>6</v>
      </c>
    </row>
    <row r="553" spans="1:3" x14ac:dyDescent="0.3">
      <c r="A553">
        <v>2</v>
      </c>
      <c r="B553">
        <v>239</v>
      </c>
      <c r="C553">
        <v>17</v>
      </c>
    </row>
    <row r="554" spans="1:3" x14ac:dyDescent="0.3">
      <c r="A554">
        <v>2</v>
      </c>
      <c r="B554">
        <v>240</v>
      </c>
      <c r="C554">
        <v>19</v>
      </c>
    </row>
    <row r="555" spans="1:3" x14ac:dyDescent="0.3">
      <c r="A555">
        <v>2</v>
      </c>
      <c r="B555">
        <v>241</v>
      </c>
      <c r="C555">
        <v>24</v>
      </c>
    </row>
    <row r="556" spans="1:3" x14ac:dyDescent="0.3">
      <c r="A556">
        <v>2</v>
      </c>
      <c r="B556">
        <v>242</v>
      </c>
      <c r="C556">
        <v>2</v>
      </c>
    </row>
    <row r="557" spans="1:3" x14ac:dyDescent="0.3">
      <c r="A557">
        <v>2</v>
      </c>
      <c r="B557">
        <v>243</v>
      </c>
      <c r="C557">
        <v>18</v>
      </c>
    </row>
    <row r="558" spans="1:3" x14ac:dyDescent="0.3">
      <c r="A558">
        <v>2</v>
      </c>
      <c r="B558">
        <v>244</v>
      </c>
      <c r="C558">
        <v>1</v>
      </c>
    </row>
    <row r="559" spans="1:3" x14ac:dyDescent="0.3">
      <c r="A559">
        <v>2</v>
      </c>
      <c r="B559">
        <v>245</v>
      </c>
      <c r="C559">
        <v>18</v>
      </c>
    </row>
    <row r="560" spans="1:3" x14ac:dyDescent="0.3">
      <c r="A560">
        <v>2</v>
      </c>
      <c r="B560">
        <v>246</v>
      </c>
      <c r="C560">
        <v>10</v>
      </c>
    </row>
    <row r="561" spans="1:3" x14ac:dyDescent="0.3">
      <c r="A561">
        <v>2</v>
      </c>
      <c r="B561">
        <v>247</v>
      </c>
      <c r="C561">
        <v>16</v>
      </c>
    </row>
    <row r="562" spans="1:3" x14ac:dyDescent="0.3">
      <c r="A562">
        <v>2</v>
      </c>
      <c r="B562">
        <v>248</v>
      </c>
      <c r="C562">
        <v>26</v>
      </c>
    </row>
    <row r="563" spans="1:3" x14ac:dyDescent="0.3">
      <c r="A563">
        <v>2</v>
      </c>
      <c r="B563">
        <v>249</v>
      </c>
      <c r="C563">
        <v>10</v>
      </c>
    </row>
    <row r="564" spans="1:3" x14ac:dyDescent="0.3">
      <c r="A564">
        <v>2</v>
      </c>
      <c r="B564">
        <v>250</v>
      </c>
      <c r="C564">
        <v>23</v>
      </c>
    </row>
    <row r="565" spans="1:3" x14ac:dyDescent="0.3">
      <c r="A565">
        <v>2</v>
      </c>
      <c r="B565">
        <v>251</v>
      </c>
      <c r="C565">
        <v>0</v>
      </c>
    </row>
    <row r="566" spans="1:3" x14ac:dyDescent="0.3">
      <c r="A566">
        <v>2</v>
      </c>
      <c r="B566">
        <v>252</v>
      </c>
      <c r="C566">
        <v>20</v>
      </c>
    </row>
    <row r="567" spans="1:3" x14ac:dyDescent="0.3">
      <c r="A567">
        <v>2</v>
      </c>
      <c r="B567">
        <v>253</v>
      </c>
      <c r="C567">
        <v>29</v>
      </c>
    </row>
    <row r="568" spans="1:3" x14ac:dyDescent="0.3">
      <c r="A568">
        <v>2</v>
      </c>
      <c r="B568">
        <v>254</v>
      </c>
      <c r="C568">
        <v>7</v>
      </c>
    </row>
    <row r="569" spans="1:3" x14ac:dyDescent="0.3">
      <c r="A569">
        <v>2</v>
      </c>
      <c r="B569">
        <v>255</v>
      </c>
      <c r="C569">
        <v>12</v>
      </c>
    </row>
    <row r="570" spans="1:3" x14ac:dyDescent="0.3">
      <c r="A570">
        <v>2</v>
      </c>
      <c r="B570">
        <v>256</v>
      </c>
      <c r="C570">
        <v>8</v>
      </c>
    </row>
    <row r="571" spans="1:3" x14ac:dyDescent="0.3">
      <c r="A571">
        <v>2</v>
      </c>
      <c r="B571">
        <v>257</v>
      </c>
      <c r="C571">
        <v>5</v>
      </c>
    </row>
    <row r="572" spans="1:3" x14ac:dyDescent="0.3">
      <c r="A572">
        <v>2</v>
      </c>
      <c r="B572">
        <v>258</v>
      </c>
      <c r="C572">
        <v>10</v>
      </c>
    </row>
    <row r="573" spans="1:3" x14ac:dyDescent="0.3">
      <c r="A573">
        <v>2</v>
      </c>
      <c r="B573">
        <v>259</v>
      </c>
      <c r="C573">
        <v>16</v>
      </c>
    </row>
    <row r="574" spans="1:3" x14ac:dyDescent="0.3">
      <c r="A574">
        <v>2</v>
      </c>
      <c r="B574">
        <v>260</v>
      </c>
      <c r="C574">
        <v>20</v>
      </c>
    </row>
    <row r="575" spans="1:3" x14ac:dyDescent="0.3">
      <c r="A575">
        <v>2</v>
      </c>
      <c r="B575">
        <v>261</v>
      </c>
      <c r="C575">
        <v>4</v>
      </c>
    </row>
    <row r="576" spans="1:3" x14ac:dyDescent="0.3">
      <c r="A576">
        <v>2</v>
      </c>
      <c r="B576">
        <v>262</v>
      </c>
      <c r="C576">
        <v>8</v>
      </c>
    </row>
    <row r="577" spans="1:3" x14ac:dyDescent="0.3">
      <c r="A577">
        <v>2</v>
      </c>
      <c r="B577">
        <v>263</v>
      </c>
      <c r="C577">
        <v>4</v>
      </c>
    </row>
    <row r="578" spans="1:3" x14ac:dyDescent="0.3">
      <c r="A578">
        <v>2</v>
      </c>
      <c r="B578">
        <v>264</v>
      </c>
      <c r="C578">
        <v>13</v>
      </c>
    </row>
    <row r="579" spans="1:3" x14ac:dyDescent="0.3">
      <c r="A579">
        <v>2</v>
      </c>
      <c r="B579">
        <v>265</v>
      </c>
      <c r="C579">
        <v>4</v>
      </c>
    </row>
    <row r="580" spans="1:3" x14ac:dyDescent="0.3">
      <c r="A580">
        <v>2</v>
      </c>
      <c r="B580">
        <v>266</v>
      </c>
      <c r="C580">
        <v>18</v>
      </c>
    </row>
    <row r="581" spans="1:3" x14ac:dyDescent="0.3">
      <c r="A581">
        <v>2</v>
      </c>
      <c r="B581">
        <v>267</v>
      </c>
      <c r="C581">
        <v>21</v>
      </c>
    </row>
    <row r="582" spans="1:3" x14ac:dyDescent="0.3">
      <c r="A582">
        <v>2</v>
      </c>
      <c r="B582">
        <v>268</v>
      </c>
      <c r="C582">
        <v>3</v>
      </c>
    </row>
    <row r="583" spans="1:3" x14ac:dyDescent="0.3">
      <c r="A583">
        <v>2</v>
      </c>
      <c r="B583">
        <v>269</v>
      </c>
      <c r="C583">
        <v>4</v>
      </c>
    </row>
    <row r="584" spans="1:3" x14ac:dyDescent="0.3">
      <c r="A584">
        <v>2</v>
      </c>
      <c r="B584">
        <v>270</v>
      </c>
      <c r="C584">
        <v>15</v>
      </c>
    </row>
    <row r="585" spans="1:3" x14ac:dyDescent="0.3">
      <c r="A585">
        <v>2</v>
      </c>
      <c r="B585">
        <v>271</v>
      </c>
      <c r="C585">
        <v>26</v>
      </c>
    </row>
    <row r="586" spans="1:3" x14ac:dyDescent="0.3">
      <c r="A586">
        <v>2</v>
      </c>
      <c r="B586">
        <v>272</v>
      </c>
      <c r="C586">
        <v>1</v>
      </c>
    </row>
    <row r="587" spans="1:3" x14ac:dyDescent="0.3">
      <c r="A587">
        <v>2</v>
      </c>
      <c r="B587">
        <v>273</v>
      </c>
      <c r="C587">
        <v>28</v>
      </c>
    </row>
    <row r="588" spans="1:3" x14ac:dyDescent="0.3">
      <c r="A588">
        <v>2</v>
      </c>
      <c r="B588">
        <v>274</v>
      </c>
      <c r="C588">
        <v>15</v>
      </c>
    </row>
    <row r="589" spans="1:3" x14ac:dyDescent="0.3">
      <c r="A589">
        <v>2</v>
      </c>
      <c r="B589">
        <v>275</v>
      </c>
      <c r="C589">
        <v>3</v>
      </c>
    </row>
    <row r="590" spans="1:3" x14ac:dyDescent="0.3">
      <c r="A590">
        <v>2</v>
      </c>
      <c r="B590">
        <v>276</v>
      </c>
      <c r="C590">
        <v>9</v>
      </c>
    </row>
    <row r="591" spans="1:3" x14ac:dyDescent="0.3">
      <c r="A591">
        <v>2</v>
      </c>
      <c r="B591">
        <v>277</v>
      </c>
      <c r="C591">
        <v>4</v>
      </c>
    </row>
    <row r="592" spans="1:3" x14ac:dyDescent="0.3">
      <c r="A592">
        <v>2</v>
      </c>
      <c r="B592">
        <v>278</v>
      </c>
      <c r="C592">
        <v>8</v>
      </c>
    </row>
    <row r="593" spans="1:3" x14ac:dyDescent="0.3">
      <c r="A593">
        <v>2</v>
      </c>
      <c r="B593">
        <v>279</v>
      </c>
      <c r="C593">
        <v>18</v>
      </c>
    </row>
    <row r="594" spans="1:3" x14ac:dyDescent="0.3">
      <c r="A594">
        <v>2</v>
      </c>
      <c r="B594">
        <v>280</v>
      </c>
      <c r="C594">
        <v>11</v>
      </c>
    </row>
    <row r="595" spans="1:3" x14ac:dyDescent="0.3">
      <c r="A595">
        <v>2</v>
      </c>
      <c r="B595">
        <v>281</v>
      </c>
      <c r="C595">
        <v>3</v>
      </c>
    </row>
    <row r="596" spans="1:3" x14ac:dyDescent="0.3">
      <c r="A596">
        <v>2</v>
      </c>
      <c r="B596">
        <v>282</v>
      </c>
      <c r="C596">
        <v>8</v>
      </c>
    </row>
    <row r="597" spans="1:3" x14ac:dyDescent="0.3">
      <c r="A597">
        <v>2</v>
      </c>
      <c r="B597">
        <v>283</v>
      </c>
      <c r="C597">
        <v>28</v>
      </c>
    </row>
    <row r="598" spans="1:3" x14ac:dyDescent="0.3">
      <c r="A598">
        <v>2</v>
      </c>
      <c r="B598">
        <v>284</v>
      </c>
      <c r="C598">
        <v>6</v>
      </c>
    </row>
    <row r="599" spans="1:3" x14ac:dyDescent="0.3">
      <c r="A599">
        <v>2</v>
      </c>
      <c r="B599">
        <v>285</v>
      </c>
      <c r="C599">
        <v>22</v>
      </c>
    </row>
    <row r="600" spans="1:3" x14ac:dyDescent="0.3">
      <c r="A600">
        <v>2</v>
      </c>
      <c r="B600">
        <v>286</v>
      </c>
      <c r="C600">
        <v>3</v>
      </c>
    </row>
    <row r="601" spans="1:3" x14ac:dyDescent="0.3">
      <c r="A601">
        <v>2</v>
      </c>
      <c r="B601">
        <v>287</v>
      </c>
      <c r="C601">
        <v>15</v>
      </c>
    </row>
    <row r="602" spans="1:3" x14ac:dyDescent="0.3">
      <c r="A602">
        <v>2</v>
      </c>
      <c r="B602">
        <v>288</v>
      </c>
      <c r="C602">
        <v>13</v>
      </c>
    </row>
    <row r="603" spans="1:3" x14ac:dyDescent="0.3">
      <c r="A603">
        <v>2</v>
      </c>
      <c r="B603">
        <v>289</v>
      </c>
      <c r="C603">
        <v>5</v>
      </c>
    </row>
    <row r="604" spans="1:3" x14ac:dyDescent="0.3">
      <c r="A604">
        <v>2</v>
      </c>
      <c r="B604">
        <v>290</v>
      </c>
      <c r="C604">
        <v>29</v>
      </c>
    </row>
    <row r="605" spans="1:3" x14ac:dyDescent="0.3">
      <c r="A605">
        <v>2</v>
      </c>
      <c r="B605">
        <v>291</v>
      </c>
      <c r="C605">
        <v>22</v>
      </c>
    </row>
    <row r="606" spans="1:3" x14ac:dyDescent="0.3">
      <c r="A606">
        <v>2</v>
      </c>
      <c r="B606">
        <v>292</v>
      </c>
      <c r="C606">
        <v>22</v>
      </c>
    </row>
    <row r="607" spans="1:3" x14ac:dyDescent="0.3">
      <c r="A607">
        <v>2</v>
      </c>
      <c r="B607">
        <v>293</v>
      </c>
      <c r="C607">
        <v>12</v>
      </c>
    </row>
    <row r="608" spans="1:3" x14ac:dyDescent="0.3">
      <c r="A608">
        <v>2</v>
      </c>
      <c r="B608">
        <v>294</v>
      </c>
      <c r="C608">
        <v>7</v>
      </c>
    </row>
    <row r="609" spans="1:3" x14ac:dyDescent="0.3">
      <c r="A609">
        <v>2</v>
      </c>
      <c r="B609">
        <v>295</v>
      </c>
      <c r="C609">
        <v>15</v>
      </c>
    </row>
    <row r="610" spans="1:3" x14ac:dyDescent="0.3">
      <c r="A610">
        <v>2</v>
      </c>
      <c r="B610">
        <v>296</v>
      </c>
      <c r="C610">
        <v>8</v>
      </c>
    </row>
    <row r="611" spans="1:3" x14ac:dyDescent="0.3">
      <c r="A611">
        <v>2</v>
      </c>
      <c r="B611">
        <v>297</v>
      </c>
      <c r="C611">
        <v>7</v>
      </c>
    </row>
    <row r="612" spans="1:3" x14ac:dyDescent="0.3">
      <c r="A612">
        <v>2</v>
      </c>
      <c r="B612">
        <v>298</v>
      </c>
      <c r="C612">
        <v>27</v>
      </c>
    </row>
    <row r="613" spans="1:3" x14ac:dyDescent="0.3">
      <c r="A613">
        <v>2</v>
      </c>
      <c r="B613">
        <v>299</v>
      </c>
      <c r="C613">
        <v>0</v>
      </c>
    </row>
    <row r="614" spans="1:3" x14ac:dyDescent="0.3">
      <c r="A614">
        <v>2</v>
      </c>
      <c r="B614">
        <v>300</v>
      </c>
      <c r="C614">
        <v>13</v>
      </c>
    </row>
    <row r="615" spans="1:3" x14ac:dyDescent="0.3">
      <c r="A615">
        <v>2</v>
      </c>
      <c r="B615">
        <v>301</v>
      </c>
      <c r="C615">
        <v>26</v>
      </c>
    </row>
    <row r="616" spans="1:3" x14ac:dyDescent="0.3">
      <c r="A616">
        <v>2</v>
      </c>
      <c r="B616">
        <v>302</v>
      </c>
      <c r="C616">
        <v>6</v>
      </c>
    </row>
    <row r="617" spans="1:3" x14ac:dyDescent="0.3">
      <c r="A617">
        <v>2</v>
      </c>
      <c r="B617">
        <v>303</v>
      </c>
      <c r="C617">
        <v>23</v>
      </c>
    </row>
    <row r="618" spans="1:3" x14ac:dyDescent="0.3">
      <c r="A618">
        <v>2</v>
      </c>
      <c r="B618">
        <v>304</v>
      </c>
      <c r="C618">
        <v>6</v>
      </c>
    </row>
    <row r="619" spans="1:3" x14ac:dyDescent="0.3">
      <c r="A619">
        <v>2</v>
      </c>
      <c r="B619">
        <v>305</v>
      </c>
      <c r="C619">
        <v>21</v>
      </c>
    </row>
    <row r="620" spans="1:3" x14ac:dyDescent="0.3">
      <c r="A620">
        <v>2</v>
      </c>
      <c r="B620">
        <v>306</v>
      </c>
      <c r="C620">
        <v>17</v>
      </c>
    </row>
    <row r="621" spans="1:3" x14ac:dyDescent="0.3">
      <c r="A621">
        <v>2</v>
      </c>
      <c r="B621">
        <v>307</v>
      </c>
      <c r="C621">
        <v>18</v>
      </c>
    </row>
    <row r="622" spans="1:3" x14ac:dyDescent="0.3">
      <c r="A622">
        <v>2</v>
      </c>
      <c r="B622">
        <v>308</v>
      </c>
      <c r="C622">
        <v>15</v>
      </c>
    </row>
    <row r="623" spans="1:3" x14ac:dyDescent="0.3">
      <c r="A623">
        <v>2</v>
      </c>
      <c r="B623">
        <v>309</v>
      </c>
      <c r="C623">
        <v>9</v>
      </c>
    </row>
    <row r="624" spans="1:3" x14ac:dyDescent="0.3">
      <c r="A624">
        <v>2</v>
      </c>
      <c r="B624">
        <v>310</v>
      </c>
      <c r="C624">
        <v>5</v>
      </c>
    </row>
    <row r="625" spans="1:3" x14ac:dyDescent="0.3">
      <c r="A625">
        <v>2</v>
      </c>
      <c r="B625">
        <v>311</v>
      </c>
      <c r="C625">
        <v>27</v>
      </c>
    </row>
    <row r="626" spans="1:3" x14ac:dyDescent="0.3">
      <c r="A626">
        <v>2</v>
      </c>
      <c r="B626">
        <v>312</v>
      </c>
      <c r="C626">
        <v>2</v>
      </c>
    </row>
    <row r="627" spans="1:3" x14ac:dyDescent="0.3">
      <c r="A627">
        <v>2</v>
      </c>
      <c r="B627">
        <v>313</v>
      </c>
      <c r="C627">
        <v>24</v>
      </c>
    </row>
    <row r="628" spans="1:3" x14ac:dyDescent="0.3">
      <c r="A628">
        <v>3</v>
      </c>
      <c r="B628">
        <v>1</v>
      </c>
      <c r="C628">
        <v>14</v>
      </c>
    </row>
    <row r="629" spans="1:3" x14ac:dyDescent="0.3">
      <c r="A629">
        <v>3</v>
      </c>
      <c r="B629">
        <v>2</v>
      </c>
      <c r="C629">
        <v>24</v>
      </c>
    </row>
    <row r="630" spans="1:3" x14ac:dyDescent="0.3">
      <c r="A630">
        <v>3</v>
      </c>
      <c r="B630">
        <v>3</v>
      </c>
      <c r="C630">
        <v>0</v>
      </c>
    </row>
    <row r="631" spans="1:3" x14ac:dyDescent="0.3">
      <c r="A631">
        <v>3</v>
      </c>
      <c r="B631">
        <v>4</v>
      </c>
      <c r="C631">
        <v>11</v>
      </c>
    </row>
    <row r="632" spans="1:3" x14ac:dyDescent="0.3">
      <c r="A632">
        <v>3</v>
      </c>
      <c r="B632">
        <v>5</v>
      </c>
      <c r="C632">
        <v>3</v>
      </c>
    </row>
    <row r="633" spans="1:3" x14ac:dyDescent="0.3">
      <c r="A633">
        <v>3</v>
      </c>
      <c r="B633">
        <v>6</v>
      </c>
      <c r="C633">
        <v>27</v>
      </c>
    </row>
    <row r="634" spans="1:3" x14ac:dyDescent="0.3">
      <c r="A634">
        <v>3</v>
      </c>
      <c r="B634">
        <v>7</v>
      </c>
      <c r="C634">
        <v>12</v>
      </c>
    </row>
    <row r="635" spans="1:3" x14ac:dyDescent="0.3">
      <c r="A635">
        <v>3</v>
      </c>
      <c r="B635">
        <v>8</v>
      </c>
      <c r="C635">
        <v>12</v>
      </c>
    </row>
    <row r="636" spans="1:3" x14ac:dyDescent="0.3">
      <c r="A636">
        <v>3</v>
      </c>
      <c r="B636">
        <v>9</v>
      </c>
      <c r="C636">
        <v>23</v>
      </c>
    </row>
    <row r="637" spans="1:3" x14ac:dyDescent="0.3">
      <c r="A637">
        <v>3</v>
      </c>
      <c r="B637">
        <v>10</v>
      </c>
      <c r="C637">
        <v>21</v>
      </c>
    </row>
    <row r="638" spans="1:3" x14ac:dyDescent="0.3">
      <c r="A638">
        <v>3</v>
      </c>
      <c r="B638">
        <v>11</v>
      </c>
      <c r="C638">
        <v>30</v>
      </c>
    </row>
    <row r="639" spans="1:3" x14ac:dyDescent="0.3">
      <c r="A639">
        <v>3</v>
      </c>
      <c r="B639">
        <v>12</v>
      </c>
      <c r="C639">
        <v>30</v>
      </c>
    </row>
    <row r="640" spans="1:3" x14ac:dyDescent="0.3">
      <c r="A640">
        <v>3</v>
      </c>
      <c r="B640">
        <v>13</v>
      </c>
      <c r="C640">
        <v>19</v>
      </c>
    </row>
    <row r="641" spans="1:3" x14ac:dyDescent="0.3">
      <c r="A641">
        <v>3</v>
      </c>
      <c r="B641">
        <v>14</v>
      </c>
      <c r="C641">
        <v>4</v>
      </c>
    </row>
    <row r="642" spans="1:3" x14ac:dyDescent="0.3">
      <c r="A642">
        <v>3</v>
      </c>
      <c r="B642">
        <v>15</v>
      </c>
      <c r="C642">
        <v>22</v>
      </c>
    </row>
    <row r="643" spans="1:3" x14ac:dyDescent="0.3">
      <c r="A643">
        <v>3</v>
      </c>
      <c r="B643">
        <v>16</v>
      </c>
      <c r="C643">
        <v>19</v>
      </c>
    </row>
    <row r="644" spans="1:3" x14ac:dyDescent="0.3">
      <c r="A644">
        <v>3</v>
      </c>
      <c r="B644">
        <v>17</v>
      </c>
      <c r="C644">
        <v>22</v>
      </c>
    </row>
    <row r="645" spans="1:3" x14ac:dyDescent="0.3">
      <c r="A645">
        <v>3</v>
      </c>
      <c r="B645">
        <v>18</v>
      </c>
      <c r="C645">
        <v>5</v>
      </c>
    </row>
    <row r="646" spans="1:3" x14ac:dyDescent="0.3">
      <c r="A646">
        <v>3</v>
      </c>
      <c r="B646">
        <v>19</v>
      </c>
      <c r="C646">
        <v>24</v>
      </c>
    </row>
    <row r="647" spans="1:3" x14ac:dyDescent="0.3">
      <c r="A647">
        <v>3</v>
      </c>
      <c r="B647">
        <v>20</v>
      </c>
      <c r="C647">
        <v>19</v>
      </c>
    </row>
    <row r="648" spans="1:3" x14ac:dyDescent="0.3">
      <c r="A648">
        <v>3</v>
      </c>
      <c r="B648">
        <v>21</v>
      </c>
      <c r="C648">
        <v>8</v>
      </c>
    </row>
    <row r="649" spans="1:3" x14ac:dyDescent="0.3">
      <c r="A649">
        <v>3</v>
      </c>
      <c r="B649">
        <v>22</v>
      </c>
      <c r="C649">
        <v>20</v>
      </c>
    </row>
    <row r="650" spans="1:3" x14ac:dyDescent="0.3">
      <c r="A650">
        <v>3</v>
      </c>
      <c r="B650">
        <v>23</v>
      </c>
      <c r="C650">
        <v>8</v>
      </c>
    </row>
    <row r="651" spans="1:3" x14ac:dyDescent="0.3">
      <c r="A651">
        <v>3</v>
      </c>
      <c r="B651">
        <v>24</v>
      </c>
      <c r="C651">
        <v>18</v>
      </c>
    </row>
    <row r="652" spans="1:3" x14ac:dyDescent="0.3">
      <c r="A652">
        <v>3</v>
      </c>
      <c r="B652">
        <v>25</v>
      </c>
      <c r="C652">
        <v>15</v>
      </c>
    </row>
    <row r="653" spans="1:3" x14ac:dyDescent="0.3">
      <c r="A653">
        <v>3</v>
      </c>
      <c r="B653">
        <v>26</v>
      </c>
      <c r="C653">
        <v>27</v>
      </c>
    </row>
    <row r="654" spans="1:3" x14ac:dyDescent="0.3">
      <c r="A654">
        <v>3</v>
      </c>
      <c r="B654">
        <v>27</v>
      </c>
      <c r="C654">
        <v>21</v>
      </c>
    </row>
    <row r="655" spans="1:3" x14ac:dyDescent="0.3">
      <c r="A655">
        <v>3</v>
      </c>
      <c r="B655">
        <v>28</v>
      </c>
      <c r="C655">
        <v>20</v>
      </c>
    </row>
    <row r="656" spans="1:3" x14ac:dyDescent="0.3">
      <c r="A656">
        <v>3</v>
      </c>
      <c r="B656">
        <v>29</v>
      </c>
      <c r="C656">
        <v>11</v>
      </c>
    </row>
    <row r="657" spans="1:3" x14ac:dyDescent="0.3">
      <c r="A657">
        <v>3</v>
      </c>
      <c r="B657">
        <v>30</v>
      </c>
      <c r="C657">
        <v>23</v>
      </c>
    </row>
    <row r="658" spans="1:3" x14ac:dyDescent="0.3">
      <c r="A658">
        <v>3</v>
      </c>
      <c r="B658">
        <v>31</v>
      </c>
      <c r="C658">
        <v>10</v>
      </c>
    </row>
    <row r="659" spans="1:3" x14ac:dyDescent="0.3">
      <c r="A659">
        <v>3</v>
      </c>
      <c r="B659">
        <v>32</v>
      </c>
      <c r="C659">
        <v>14</v>
      </c>
    </row>
    <row r="660" spans="1:3" x14ac:dyDescent="0.3">
      <c r="A660">
        <v>3</v>
      </c>
      <c r="B660">
        <v>33</v>
      </c>
      <c r="C660">
        <v>14</v>
      </c>
    </row>
    <row r="661" spans="1:3" x14ac:dyDescent="0.3">
      <c r="A661">
        <v>3</v>
      </c>
      <c r="B661">
        <v>34</v>
      </c>
      <c r="C661">
        <v>6</v>
      </c>
    </row>
    <row r="662" spans="1:3" x14ac:dyDescent="0.3">
      <c r="A662">
        <v>3</v>
      </c>
      <c r="B662">
        <v>35</v>
      </c>
      <c r="C662">
        <v>3</v>
      </c>
    </row>
    <row r="663" spans="1:3" x14ac:dyDescent="0.3">
      <c r="A663">
        <v>3</v>
      </c>
      <c r="B663">
        <v>36</v>
      </c>
      <c r="C663">
        <v>28</v>
      </c>
    </row>
    <row r="664" spans="1:3" x14ac:dyDescent="0.3">
      <c r="A664">
        <v>3</v>
      </c>
      <c r="B664">
        <v>37</v>
      </c>
      <c r="C664">
        <v>30</v>
      </c>
    </row>
    <row r="665" spans="1:3" x14ac:dyDescent="0.3">
      <c r="A665">
        <v>3</v>
      </c>
      <c r="B665">
        <v>38</v>
      </c>
      <c r="C665">
        <v>23</v>
      </c>
    </row>
    <row r="666" spans="1:3" x14ac:dyDescent="0.3">
      <c r="A666">
        <v>3</v>
      </c>
      <c r="B666">
        <v>39</v>
      </c>
      <c r="C666">
        <v>22</v>
      </c>
    </row>
    <row r="667" spans="1:3" x14ac:dyDescent="0.3">
      <c r="A667">
        <v>3</v>
      </c>
      <c r="B667">
        <v>40</v>
      </c>
      <c r="C667">
        <v>2</v>
      </c>
    </row>
    <row r="668" spans="1:3" x14ac:dyDescent="0.3">
      <c r="A668">
        <v>3</v>
      </c>
      <c r="B668">
        <v>41</v>
      </c>
      <c r="C668">
        <v>25</v>
      </c>
    </row>
    <row r="669" spans="1:3" x14ac:dyDescent="0.3">
      <c r="A669">
        <v>3</v>
      </c>
      <c r="B669">
        <v>42</v>
      </c>
      <c r="C669">
        <v>9</v>
      </c>
    </row>
    <row r="670" spans="1:3" x14ac:dyDescent="0.3">
      <c r="A670">
        <v>3</v>
      </c>
      <c r="B670">
        <v>43</v>
      </c>
      <c r="C670">
        <v>26</v>
      </c>
    </row>
    <row r="671" spans="1:3" x14ac:dyDescent="0.3">
      <c r="A671">
        <v>3</v>
      </c>
      <c r="B671">
        <v>44</v>
      </c>
      <c r="C671">
        <v>26</v>
      </c>
    </row>
    <row r="672" spans="1:3" x14ac:dyDescent="0.3">
      <c r="A672">
        <v>3</v>
      </c>
      <c r="B672">
        <v>45</v>
      </c>
      <c r="C672">
        <v>1</v>
      </c>
    </row>
    <row r="673" spans="1:3" x14ac:dyDescent="0.3">
      <c r="A673">
        <v>3</v>
      </c>
      <c r="B673">
        <v>46</v>
      </c>
      <c r="C673">
        <v>16</v>
      </c>
    </row>
    <row r="674" spans="1:3" x14ac:dyDescent="0.3">
      <c r="A674">
        <v>3</v>
      </c>
      <c r="B674">
        <v>47</v>
      </c>
      <c r="C674">
        <v>14</v>
      </c>
    </row>
    <row r="675" spans="1:3" x14ac:dyDescent="0.3">
      <c r="A675">
        <v>3</v>
      </c>
      <c r="B675">
        <v>48</v>
      </c>
      <c r="C675">
        <v>2</v>
      </c>
    </row>
    <row r="676" spans="1:3" x14ac:dyDescent="0.3">
      <c r="A676">
        <v>3</v>
      </c>
      <c r="B676">
        <v>49</v>
      </c>
      <c r="C676">
        <v>4</v>
      </c>
    </row>
    <row r="677" spans="1:3" x14ac:dyDescent="0.3">
      <c r="A677">
        <v>3</v>
      </c>
      <c r="B677">
        <v>50</v>
      </c>
      <c r="C677">
        <v>25</v>
      </c>
    </row>
    <row r="678" spans="1:3" x14ac:dyDescent="0.3">
      <c r="A678">
        <v>3</v>
      </c>
      <c r="B678">
        <v>51</v>
      </c>
      <c r="C678">
        <v>2</v>
      </c>
    </row>
    <row r="679" spans="1:3" x14ac:dyDescent="0.3">
      <c r="A679">
        <v>3</v>
      </c>
      <c r="B679">
        <v>52</v>
      </c>
      <c r="C679">
        <v>8</v>
      </c>
    </row>
    <row r="680" spans="1:3" x14ac:dyDescent="0.3">
      <c r="A680">
        <v>3</v>
      </c>
      <c r="B680">
        <v>53</v>
      </c>
      <c r="C680">
        <v>6</v>
      </c>
    </row>
    <row r="681" spans="1:3" x14ac:dyDescent="0.3">
      <c r="A681">
        <v>3</v>
      </c>
      <c r="B681">
        <v>54</v>
      </c>
      <c r="C681">
        <v>13</v>
      </c>
    </row>
    <row r="682" spans="1:3" x14ac:dyDescent="0.3">
      <c r="A682">
        <v>3</v>
      </c>
      <c r="B682">
        <v>55</v>
      </c>
      <c r="C682">
        <v>5</v>
      </c>
    </row>
    <row r="683" spans="1:3" x14ac:dyDescent="0.3">
      <c r="A683">
        <v>3</v>
      </c>
      <c r="B683">
        <v>56</v>
      </c>
      <c r="C683">
        <v>19</v>
      </c>
    </row>
    <row r="684" spans="1:3" x14ac:dyDescent="0.3">
      <c r="A684">
        <v>3</v>
      </c>
      <c r="B684">
        <v>57</v>
      </c>
      <c r="C684">
        <v>9</v>
      </c>
    </row>
    <row r="685" spans="1:3" x14ac:dyDescent="0.3">
      <c r="A685">
        <v>3</v>
      </c>
      <c r="B685">
        <v>58</v>
      </c>
      <c r="C685">
        <v>27</v>
      </c>
    </row>
    <row r="686" spans="1:3" x14ac:dyDescent="0.3">
      <c r="A686">
        <v>3</v>
      </c>
      <c r="B686">
        <v>59</v>
      </c>
      <c r="C686">
        <v>0</v>
      </c>
    </row>
    <row r="687" spans="1:3" x14ac:dyDescent="0.3">
      <c r="A687">
        <v>3</v>
      </c>
      <c r="B687">
        <v>60</v>
      </c>
      <c r="C687">
        <v>7</v>
      </c>
    </row>
    <row r="688" spans="1:3" x14ac:dyDescent="0.3">
      <c r="A688">
        <v>3</v>
      </c>
      <c r="B688">
        <v>61</v>
      </c>
      <c r="C688">
        <v>28</v>
      </c>
    </row>
    <row r="689" spans="1:3" x14ac:dyDescent="0.3">
      <c r="A689">
        <v>3</v>
      </c>
      <c r="B689">
        <v>62</v>
      </c>
      <c r="C689">
        <v>4</v>
      </c>
    </row>
    <row r="690" spans="1:3" x14ac:dyDescent="0.3">
      <c r="A690">
        <v>3</v>
      </c>
      <c r="B690">
        <v>63</v>
      </c>
      <c r="C690">
        <v>8</v>
      </c>
    </row>
    <row r="691" spans="1:3" x14ac:dyDescent="0.3">
      <c r="A691">
        <v>3</v>
      </c>
      <c r="B691">
        <v>64</v>
      </c>
      <c r="C691">
        <v>22</v>
      </c>
    </row>
    <row r="692" spans="1:3" x14ac:dyDescent="0.3">
      <c r="A692">
        <v>3</v>
      </c>
      <c r="B692">
        <v>65</v>
      </c>
      <c r="C692">
        <v>1</v>
      </c>
    </row>
    <row r="693" spans="1:3" x14ac:dyDescent="0.3">
      <c r="A693">
        <v>3</v>
      </c>
      <c r="B693">
        <v>66</v>
      </c>
      <c r="C693">
        <v>3</v>
      </c>
    </row>
    <row r="694" spans="1:3" x14ac:dyDescent="0.3">
      <c r="A694">
        <v>3</v>
      </c>
      <c r="B694">
        <v>67</v>
      </c>
      <c r="C694">
        <v>6</v>
      </c>
    </row>
    <row r="695" spans="1:3" x14ac:dyDescent="0.3">
      <c r="A695">
        <v>3</v>
      </c>
      <c r="B695">
        <v>68</v>
      </c>
      <c r="C695">
        <v>18</v>
      </c>
    </row>
    <row r="696" spans="1:3" x14ac:dyDescent="0.3">
      <c r="A696">
        <v>3</v>
      </c>
      <c r="B696">
        <v>69</v>
      </c>
      <c r="C696">
        <v>29</v>
      </c>
    </row>
    <row r="697" spans="1:3" x14ac:dyDescent="0.3">
      <c r="A697">
        <v>3</v>
      </c>
      <c r="B697">
        <v>70</v>
      </c>
      <c r="C697">
        <v>2</v>
      </c>
    </row>
    <row r="698" spans="1:3" x14ac:dyDescent="0.3">
      <c r="A698">
        <v>3</v>
      </c>
      <c r="B698">
        <v>71</v>
      </c>
      <c r="C698">
        <v>13</v>
      </c>
    </row>
    <row r="699" spans="1:3" x14ac:dyDescent="0.3">
      <c r="A699">
        <v>3</v>
      </c>
      <c r="B699">
        <v>72</v>
      </c>
      <c r="C699">
        <v>6</v>
      </c>
    </row>
    <row r="700" spans="1:3" x14ac:dyDescent="0.3">
      <c r="A700">
        <v>3</v>
      </c>
      <c r="B700">
        <v>73</v>
      </c>
      <c r="C700">
        <v>3</v>
      </c>
    </row>
    <row r="701" spans="1:3" x14ac:dyDescent="0.3">
      <c r="A701">
        <v>3</v>
      </c>
      <c r="B701">
        <v>74</v>
      </c>
      <c r="C701">
        <v>17</v>
      </c>
    </row>
    <row r="702" spans="1:3" x14ac:dyDescent="0.3">
      <c r="A702">
        <v>3</v>
      </c>
      <c r="B702">
        <v>75</v>
      </c>
      <c r="C702">
        <v>29</v>
      </c>
    </row>
    <row r="703" spans="1:3" x14ac:dyDescent="0.3">
      <c r="A703">
        <v>3</v>
      </c>
      <c r="B703">
        <v>76</v>
      </c>
      <c r="C703">
        <v>23</v>
      </c>
    </row>
    <row r="704" spans="1:3" x14ac:dyDescent="0.3">
      <c r="A704">
        <v>3</v>
      </c>
      <c r="B704">
        <v>77</v>
      </c>
      <c r="C704">
        <v>23</v>
      </c>
    </row>
    <row r="705" spans="1:3" x14ac:dyDescent="0.3">
      <c r="A705">
        <v>3</v>
      </c>
      <c r="B705">
        <v>78</v>
      </c>
      <c r="C705">
        <v>19</v>
      </c>
    </row>
    <row r="706" spans="1:3" x14ac:dyDescent="0.3">
      <c r="A706">
        <v>3</v>
      </c>
      <c r="B706">
        <v>79</v>
      </c>
      <c r="C706">
        <v>29</v>
      </c>
    </row>
    <row r="707" spans="1:3" x14ac:dyDescent="0.3">
      <c r="A707">
        <v>3</v>
      </c>
      <c r="B707">
        <v>80</v>
      </c>
      <c r="C707">
        <v>22</v>
      </c>
    </row>
    <row r="708" spans="1:3" x14ac:dyDescent="0.3">
      <c r="A708">
        <v>3</v>
      </c>
      <c r="B708">
        <v>81</v>
      </c>
      <c r="C708">
        <v>18</v>
      </c>
    </row>
    <row r="709" spans="1:3" x14ac:dyDescent="0.3">
      <c r="A709">
        <v>3</v>
      </c>
      <c r="B709">
        <v>82</v>
      </c>
      <c r="C709">
        <v>7</v>
      </c>
    </row>
    <row r="710" spans="1:3" x14ac:dyDescent="0.3">
      <c r="A710">
        <v>3</v>
      </c>
      <c r="B710">
        <v>83</v>
      </c>
      <c r="C710">
        <v>23</v>
      </c>
    </row>
    <row r="711" spans="1:3" x14ac:dyDescent="0.3">
      <c r="A711">
        <v>3</v>
      </c>
      <c r="B711">
        <v>84</v>
      </c>
      <c r="C711">
        <v>15</v>
      </c>
    </row>
    <row r="712" spans="1:3" x14ac:dyDescent="0.3">
      <c r="A712">
        <v>3</v>
      </c>
      <c r="B712">
        <v>85</v>
      </c>
      <c r="C712">
        <v>15</v>
      </c>
    </row>
    <row r="713" spans="1:3" x14ac:dyDescent="0.3">
      <c r="A713">
        <v>3</v>
      </c>
      <c r="B713">
        <v>86</v>
      </c>
      <c r="C713">
        <v>27</v>
      </c>
    </row>
    <row r="714" spans="1:3" x14ac:dyDescent="0.3">
      <c r="A714">
        <v>3</v>
      </c>
      <c r="B714">
        <v>87</v>
      </c>
      <c r="C714">
        <v>16</v>
      </c>
    </row>
    <row r="715" spans="1:3" x14ac:dyDescent="0.3">
      <c r="A715">
        <v>3</v>
      </c>
      <c r="B715">
        <v>88</v>
      </c>
      <c r="C715">
        <v>28</v>
      </c>
    </row>
    <row r="716" spans="1:3" x14ac:dyDescent="0.3">
      <c r="A716">
        <v>3</v>
      </c>
      <c r="B716">
        <v>89</v>
      </c>
      <c r="C716">
        <v>22</v>
      </c>
    </row>
    <row r="717" spans="1:3" x14ac:dyDescent="0.3">
      <c r="A717">
        <v>3</v>
      </c>
      <c r="B717">
        <v>90</v>
      </c>
      <c r="C717">
        <v>9</v>
      </c>
    </row>
    <row r="718" spans="1:3" x14ac:dyDescent="0.3">
      <c r="A718">
        <v>3</v>
      </c>
      <c r="B718">
        <v>91</v>
      </c>
      <c r="C718">
        <v>8</v>
      </c>
    </row>
    <row r="719" spans="1:3" x14ac:dyDescent="0.3">
      <c r="A719">
        <v>3</v>
      </c>
      <c r="B719">
        <v>92</v>
      </c>
      <c r="C719">
        <v>28</v>
      </c>
    </row>
    <row r="720" spans="1:3" x14ac:dyDescent="0.3">
      <c r="A720">
        <v>3</v>
      </c>
      <c r="B720">
        <v>93</v>
      </c>
      <c r="C720">
        <v>18</v>
      </c>
    </row>
    <row r="721" spans="1:3" x14ac:dyDescent="0.3">
      <c r="A721">
        <v>3</v>
      </c>
      <c r="B721">
        <v>94</v>
      </c>
      <c r="C721">
        <v>15</v>
      </c>
    </row>
    <row r="722" spans="1:3" x14ac:dyDescent="0.3">
      <c r="A722">
        <v>3</v>
      </c>
      <c r="B722">
        <v>95</v>
      </c>
      <c r="C722">
        <v>14</v>
      </c>
    </row>
    <row r="723" spans="1:3" x14ac:dyDescent="0.3">
      <c r="A723">
        <v>3</v>
      </c>
      <c r="B723">
        <v>96</v>
      </c>
      <c r="C723">
        <v>1</v>
      </c>
    </row>
    <row r="724" spans="1:3" x14ac:dyDescent="0.3">
      <c r="A724">
        <v>3</v>
      </c>
      <c r="B724">
        <v>97</v>
      </c>
      <c r="C724">
        <v>28</v>
      </c>
    </row>
    <row r="725" spans="1:3" x14ac:dyDescent="0.3">
      <c r="A725">
        <v>3</v>
      </c>
      <c r="B725">
        <v>98</v>
      </c>
      <c r="C725">
        <v>5</v>
      </c>
    </row>
    <row r="726" spans="1:3" x14ac:dyDescent="0.3">
      <c r="A726">
        <v>3</v>
      </c>
      <c r="B726">
        <v>99</v>
      </c>
      <c r="C726">
        <v>19</v>
      </c>
    </row>
    <row r="727" spans="1:3" x14ac:dyDescent="0.3">
      <c r="A727">
        <v>3</v>
      </c>
      <c r="B727">
        <v>100</v>
      </c>
      <c r="C727">
        <v>28</v>
      </c>
    </row>
    <row r="728" spans="1:3" x14ac:dyDescent="0.3">
      <c r="A728">
        <v>3</v>
      </c>
      <c r="B728">
        <v>101</v>
      </c>
      <c r="C728">
        <v>17</v>
      </c>
    </row>
    <row r="729" spans="1:3" x14ac:dyDescent="0.3">
      <c r="A729">
        <v>3</v>
      </c>
      <c r="B729">
        <v>102</v>
      </c>
      <c r="C729">
        <v>22</v>
      </c>
    </row>
    <row r="730" spans="1:3" x14ac:dyDescent="0.3">
      <c r="A730">
        <v>3</v>
      </c>
      <c r="B730">
        <v>103</v>
      </c>
      <c r="C730">
        <v>10</v>
      </c>
    </row>
    <row r="731" spans="1:3" x14ac:dyDescent="0.3">
      <c r="A731">
        <v>3</v>
      </c>
      <c r="B731">
        <v>104</v>
      </c>
      <c r="C731">
        <v>22</v>
      </c>
    </row>
    <row r="732" spans="1:3" x14ac:dyDescent="0.3">
      <c r="A732">
        <v>3</v>
      </c>
      <c r="B732">
        <v>105</v>
      </c>
      <c r="C732">
        <v>1</v>
      </c>
    </row>
    <row r="733" spans="1:3" x14ac:dyDescent="0.3">
      <c r="A733">
        <v>3</v>
      </c>
      <c r="B733">
        <v>106</v>
      </c>
      <c r="C733">
        <v>1</v>
      </c>
    </row>
    <row r="734" spans="1:3" x14ac:dyDescent="0.3">
      <c r="A734">
        <v>3</v>
      </c>
      <c r="B734">
        <v>107</v>
      </c>
      <c r="C734">
        <v>11</v>
      </c>
    </row>
    <row r="735" spans="1:3" x14ac:dyDescent="0.3">
      <c r="A735">
        <v>3</v>
      </c>
      <c r="B735">
        <v>108</v>
      </c>
      <c r="C735">
        <v>23</v>
      </c>
    </row>
    <row r="736" spans="1:3" x14ac:dyDescent="0.3">
      <c r="A736">
        <v>3</v>
      </c>
      <c r="B736">
        <v>109</v>
      </c>
      <c r="C736">
        <v>24</v>
      </c>
    </row>
    <row r="737" spans="1:3" x14ac:dyDescent="0.3">
      <c r="A737">
        <v>3</v>
      </c>
      <c r="B737">
        <v>110</v>
      </c>
      <c r="C737">
        <v>11</v>
      </c>
    </row>
    <row r="738" spans="1:3" x14ac:dyDescent="0.3">
      <c r="A738">
        <v>3</v>
      </c>
      <c r="B738">
        <v>111</v>
      </c>
      <c r="C738">
        <v>29</v>
      </c>
    </row>
    <row r="739" spans="1:3" x14ac:dyDescent="0.3">
      <c r="A739">
        <v>3</v>
      </c>
      <c r="B739">
        <v>112</v>
      </c>
      <c r="C739">
        <v>24</v>
      </c>
    </row>
    <row r="740" spans="1:3" x14ac:dyDescent="0.3">
      <c r="A740">
        <v>3</v>
      </c>
      <c r="B740">
        <v>113</v>
      </c>
      <c r="C740">
        <v>23</v>
      </c>
    </row>
    <row r="741" spans="1:3" x14ac:dyDescent="0.3">
      <c r="A741">
        <v>3</v>
      </c>
      <c r="B741">
        <v>114</v>
      </c>
      <c r="C741">
        <v>12</v>
      </c>
    </row>
    <row r="742" spans="1:3" x14ac:dyDescent="0.3">
      <c r="A742">
        <v>3</v>
      </c>
      <c r="B742">
        <v>115</v>
      </c>
      <c r="C742">
        <v>25</v>
      </c>
    </row>
    <row r="743" spans="1:3" x14ac:dyDescent="0.3">
      <c r="A743">
        <v>3</v>
      </c>
      <c r="B743">
        <v>116</v>
      </c>
      <c r="C743">
        <v>30</v>
      </c>
    </row>
    <row r="744" spans="1:3" x14ac:dyDescent="0.3">
      <c r="A744">
        <v>3</v>
      </c>
      <c r="B744">
        <v>117</v>
      </c>
      <c r="C744">
        <v>23</v>
      </c>
    </row>
    <row r="745" spans="1:3" x14ac:dyDescent="0.3">
      <c r="A745">
        <v>3</v>
      </c>
      <c r="B745">
        <v>118</v>
      </c>
      <c r="C745">
        <v>9</v>
      </c>
    </row>
    <row r="746" spans="1:3" x14ac:dyDescent="0.3">
      <c r="A746">
        <v>3</v>
      </c>
      <c r="B746">
        <v>119</v>
      </c>
      <c r="C746">
        <v>29</v>
      </c>
    </row>
    <row r="747" spans="1:3" x14ac:dyDescent="0.3">
      <c r="A747">
        <v>3</v>
      </c>
      <c r="B747">
        <v>120</v>
      </c>
      <c r="C747">
        <v>25</v>
      </c>
    </row>
    <row r="748" spans="1:3" x14ac:dyDescent="0.3">
      <c r="A748">
        <v>3</v>
      </c>
      <c r="B748">
        <v>121</v>
      </c>
      <c r="C748">
        <v>4</v>
      </c>
    </row>
    <row r="749" spans="1:3" x14ac:dyDescent="0.3">
      <c r="A749">
        <v>3</v>
      </c>
      <c r="B749">
        <v>122</v>
      </c>
      <c r="C749">
        <v>8</v>
      </c>
    </row>
    <row r="750" spans="1:3" x14ac:dyDescent="0.3">
      <c r="A750">
        <v>3</v>
      </c>
      <c r="B750">
        <v>123</v>
      </c>
      <c r="C750">
        <v>15</v>
      </c>
    </row>
    <row r="751" spans="1:3" x14ac:dyDescent="0.3">
      <c r="A751">
        <v>3</v>
      </c>
      <c r="B751">
        <v>124</v>
      </c>
      <c r="C751">
        <v>11</v>
      </c>
    </row>
    <row r="752" spans="1:3" x14ac:dyDescent="0.3">
      <c r="A752">
        <v>3</v>
      </c>
      <c r="B752">
        <v>125</v>
      </c>
      <c r="C752">
        <v>2</v>
      </c>
    </row>
    <row r="753" spans="1:3" x14ac:dyDescent="0.3">
      <c r="A753">
        <v>3</v>
      </c>
      <c r="B753">
        <v>126</v>
      </c>
      <c r="C753">
        <v>5</v>
      </c>
    </row>
    <row r="754" spans="1:3" x14ac:dyDescent="0.3">
      <c r="A754">
        <v>3</v>
      </c>
      <c r="B754">
        <v>127</v>
      </c>
      <c r="C754">
        <v>4</v>
      </c>
    </row>
    <row r="755" spans="1:3" x14ac:dyDescent="0.3">
      <c r="A755">
        <v>3</v>
      </c>
      <c r="B755">
        <v>128</v>
      </c>
      <c r="C755">
        <v>20</v>
      </c>
    </row>
    <row r="756" spans="1:3" x14ac:dyDescent="0.3">
      <c r="A756">
        <v>3</v>
      </c>
      <c r="B756">
        <v>129</v>
      </c>
      <c r="C756">
        <v>10</v>
      </c>
    </row>
    <row r="757" spans="1:3" x14ac:dyDescent="0.3">
      <c r="A757">
        <v>3</v>
      </c>
      <c r="B757">
        <v>130</v>
      </c>
      <c r="C757">
        <v>20</v>
      </c>
    </row>
    <row r="758" spans="1:3" x14ac:dyDescent="0.3">
      <c r="A758">
        <v>3</v>
      </c>
      <c r="B758">
        <v>131</v>
      </c>
      <c r="C758">
        <v>23</v>
      </c>
    </row>
    <row r="759" spans="1:3" x14ac:dyDescent="0.3">
      <c r="A759">
        <v>3</v>
      </c>
      <c r="B759">
        <v>132</v>
      </c>
      <c r="C759">
        <v>16</v>
      </c>
    </row>
    <row r="760" spans="1:3" x14ac:dyDescent="0.3">
      <c r="A760">
        <v>3</v>
      </c>
      <c r="B760">
        <v>133</v>
      </c>
      <c r="C760">
        <v>16</v>
      </c>
    </row>
    <row r="761" spans="1:3" x14ac:dyDescent="0.3">
      <c r="A761">
        <v>3</v>
      </c>
      <c r="B761">
        <v>134</v>
      </c>
      <c r="C761">
        <v>17</v>
      </c>
    </row>
    <row r="762" spans="1:3" x14ac:dyDescent="0.3">
      <c r="A762">
        <v>3</v>
      </c>
      <c r="B762">
        <v>135</v>
      </c>
      <c r="C762">
        <v>15</v>
      </c>
    </row>
    <row r="763" spans="1:3" x14ac:dyDescent="0.3">
      <c r="A763">
        <v>3</v>
      </c>
      <c r="B763">
        <v>136</v>
      </c>
      <c r="C763">
        <v>4</v>
      </c>
    </row>
    <row r="764" spans="1:3" x14ac:dyDescent="0.3">
      <c r="A764">
        <v>3</v>
      </c>
      <c r="B764">
        <v>137</v>
      </c>
      <c r="C764">
        <v>17</v>
      </c>
    </row>
    <row r="765" spans="1:3" x14ac:dyDescent="0.3">
      <c r="A765">
        <v>3</v>
      </c>
      <c r="B765">
        <v>138</v>
      </c>
      <c r="C765">
        <v>17</v>
      </c>
    </row>
    <row r="766" spans="1:3" x14ac:dyDescent="0.3">
      <c r="A766">
        <v>3</v>
      </c>
      <c r="B766">
        <v>139</v>
      </c>
      <c r="C766">
        <v>21</v>
      </c>
    </row>
    <row r="767" spans="1:3" x14ac:dyDescent="0.3">
      <c r="A767">
        <v>3</v>
      </c>
      <c r="B767">
        <v>140</v>
      </c>
      <c r="C767">
        <v>3</v>
      </c>
    </row>
    <row r="768" spans="1:3" x14ac:dyDescent="0.3">
      <c r="A768">
        <v>3</v>
      </c>
      <c r="B768">
        <v>141</v>
      </c>
      <c r="C768">
        <v>4</v>
      </c>
    </row>
    <row r="769" spans="1:3" x14ac:dyDescent="0.3">
      <c r="A769">
        <v>3</v>
      </c>
      <c r="B769">
        <v>142</v>
      </c>
      <c r="C769">
        <v>29</v>
      </c>
    </row>
    <row r="770" spans="1:3" x14ac:dyDescent="0.3">
      <c r="A770">
        <v>3</v>
      </c>
      <c r="B770">
        <v>143</v>
      </c>
      <c r="C770">
        <v>9</v>
      </c>
    </row>
    <row r="771" spans="1:3" x14ac:dyDescent="0.3">
      <c r="A771">
        <v>3</v>
      </c>
      <c r="B771">
        <v>144</v>
      </c>
      <c r="C771">
        <v>9</v>
      </c>
    </row>
    <row r="772" spans="1:3" x14ac:dyDescent="0.3">
      <c r="A772">
        <v>3</v>
      </c>
      <c r="B772">
        <v>145</v>
      </c>
      <c r="C772">
        <v>11</v>
      </c>
    </row>
    <row r="773" spans="1:3" x14ac:dyDescent="0.3">
      <c r="A773">
        <v>3</v>
      </c>
      <c r="B773">
        <v>146</v>
      </c>
      <c r="C773">
        <v>9</v>
      </c>
    </row>
    <row r="774" spans="1:3" x14ac:dyDescent="0.3">
      <c r="A774">
        <v>3</v>
      </c>
      <c r="B774">
        <v>147</v>
      </c>
      <c r="C774">
        <v>3</v>
      </c>
    </row>
    <row r="775" spans="1:3" x14ac:dyDescent="0.3">
      <c r="A775">
        <v>3</v>
      </c>
      <c r="B775">
        <v>148</v>
      </c>
      <c r="C775">
        <v>6</v>
      </c>
    </row>
    <row r="776" spans="1:3" x14ac:dyDescent="0.3">
      <c r="A776">
        <v>3</v>
      </c>
      <c r="B776">
        <v>149</v>
      </c>
      <c r="C776">
        <v>1</v>
      </c>
    </row>
    <row r="777" spans="1:3" x14ac:dyDescent="0.3">
      <c r="A777">
        <v>3</v>
      </c>
      <c r="B777">
        <v>150</v>
      </c>
      <c r="C777">
        <v>21</v>
      </c>
    </row>
    <row r="778" spans="1:3" x14ac:dyDescent="0.3">
      <c r="A778">
        <v>3</v>
      </c>
      <c r="B778">
        <v>151</v>
      </c>
      <c r="C778">
        <v>1</v>
      </c>
    </row>
    <row r="779" spans="1:3" x14ac:dyDescent="0.3">
      <c r="A779">
        <v>3</v>
      </c>
      <c r="B779">
        <v>152</v>
      </c>
      <c r="C779">
        <v>1</v>
      </c>
    </row>
    <row r="780" spans="1:3" x14ac:dyDescent="0.3">
      <c r="A780">
        <v>3</v>
      </c>
      <c r="B780">
        <v>153</v>
      </c>
      <c r="C780">
        <v>7</v>
      </c>
    </row>
    <row r="781" spans="1:3" x14ac:dyDescent="0.3">
      <c r="A781">
        <v>3</v>
      </c>
      <c r="B781">
        <v>154</v>
      </c>
      <c r="C781">
        <v>22</v>
      </c>
    </row>
    <row r="782" spans="1:3" x14ac:dyDescent="0.3">
      <c r="A782">
        <v>3</v>
      </c>
      <c r="B782">
        <v>155</v>
      </c>
      <c r="C782">
        <v>25</v>
      </c>
    </row>
    <row r="783" spans="1:3" x14ac:dyDescent="0.3">
      <c r="A783">
        <v>3</v>
      </c>
      <c r="B783">
        <v>156</v>
      </c>
      <c r="C783">
        <v>14</v>
      </c>
    </row>
    <row r="784" spans="1:3" x14ac:dyDescent="0.3">
      <c r="A784">
        <v>3</v>
      </c>
      <c r="B784">
        <v>157</v>
      </c>
      <c r="C784">
        <v>12</v>
      </c>
    </row>
    <row r="785" spans="1:3" x14ac:dyDescent="0.3">
      <c r="A785">
        <v>3</v>
      </c>
      <c r="B785">
        <v>158</v>
      </c>
      <c r="C785">
        <v>17</v>
      </c>
    </row>
    <row r="786" spans="1:3" x14ac:dyDescent="0.3">
      <c r="A786">
        <v>3</v>
      </c>
      <c r="B786">
        <v>159</v>
      </c>
      <c r="C786">
        <v>6</v>
      </c>
    </row>
    <row r="787" spans="1:3" x14ac:dyDescent="0.3">
      <c r="A787">
        <v>3</v>
      </c>
      <c r="B787">
        <v>160</v>
      </c>
      <c r="C787">
        <v>27</v>
      </c>
    </row>
    <row r="788" spans="1:3" x14ac:dyDescent="0.3">
      <c r="A788">
        <v>3</v>
      </c>
      <c r="B788">
        <v>161</v>
      </c>
      <c r="C788">
        <v>11</v>
      </c>
    </row>
    <row r="789" spans="1:3" x14ac:dyDescent="0.3">
      <c r="A789">
        <v>3</v>
      </c>
      <c r="B789">
        <v>162</v>
      </c>
      <c r="C789">
        <v>11</v>
      </c>
    </row>
    <row r="790" spans="1:3" x14ac:dyDescent="0.3">
      <c r="A790">
        <v>3</v>
      </c>
      <c r="B790">
        <v>163</v>
      </c>
      <c r="C790">
        <v>11</v>
      </c>
    </row>
    <row r="791" spans="1:3" x14ac:dyDescent="0.3">
      <c r="A791">
        <v>3</v>
      </c>
      <c r="B791">
        <v>164</v>
      </c>
      <c r="C791">
        <v>18</v>
      </c>
    </row>
    <row r="792" spans="1:3" x14ac:dyDescent="0.3">
      <c r="A792">
        <v>3</v>
      </c>
      <c r="B792">
        <v>165</v>
      </c>
      <c r="C792">
        <v>19</v>
      </c>
    </row>
    <row r="793" spans="1:3" x14ac:dyDescent="0.3">
      <c r="A793">
        <v>3</v>
      </c>
      <c r="B793">
        <v>166</v>
      </c>
      <c r="C793">
        <v>27</v>
      </c>
    </row>
    <row r="794" spans="1:3" x14ac:dyDescent="0.3">
      <c r="A794">
        <v>3</v>
      </c>
      <c r="B794">
        <v>167</v>
      </c>
      <c r="C794">
        <v>8</v>
      </c>
    </row>
    <row r="795" spans="1:3" x14ac:dyDescent="0.3">
      <c r="A795">
        <v>3</v>
      </c>
      <c r="B795">
        <v>168</v>
      </c>
      <c r="C795">
        <v>23</v>
      </c>
    </row>
    <row r="796" spans="1:3" x14ac:dyDescent="0.3">
      <c r="A796">
        <v>3</v>
      </c>
      <c r="B796">
        <v>169</v>
      </c>
      <c r="C796">
        <v>3</v>
      </c>
    </row>
    <row r="797" spans="1:3" x14ac:dyDescent="0.3">
      <c r="A797">
        <v>3</v>
      </c>
      <c r="B797">
        <v>170</v>
      </c>
      <c r="C797">
        <v>13</v>
      </c>
    </row>
    <row r="798" spans="1:3" x14ac:dyDescent="0.3">
      <c r="A798">
        <v>3</v>
      </c>
      <c r="B798">
        <v>171</v>
      </c>
      <c r="C798">
        <v>11</v>
      </c>
    </row>
    <row r="799" spans="1:3" x14ac:dyDescent="0.3">
      <c r="A799">
        <v>3</v>
      </c>
      <c r="B799">
        <v>172</v>
      </c>
      <c r="C799">
        <v>22</v>
      </c>
    </row>
    <row r="800" spans="1:3" x14ac:dyDescent="0.3">
      <c r="A800">
        <v>3</v>
      </c>
      <c r="B800">
        <v>173</v>
      </c>
      <c r="C800">
        <v>15</v>
      </c>
    </row>
    <row r="801" spans="1:3" x14ac:dyDescent="0.3">
      <c r="A801">
        <v>3</v>
      </c>
      <c r="B801">
        <v>174</v>
      </c>
      <c r="C801">
        <v>1</v>
      </c>
    </row>
    <row r="802" spans="1:3" x14ac:dyDescent="0.3">
      <c r="A802">
        <v>3</v>
      </c>
      <c r="B802">
        <v>175</v>
      </c>
      <c r="C802">
        <v>3</v>
      </c>
    </row>
    <row r="803" spans="1:3" x14ac:dyDescent="0.3">
      <c r="A803">
        <v>3</v>
      </c>
      <c r="B803">
        <v>176</v>
      </c>
      <c r="C803">
        <v>6</v>
      </c>
    </row>
    <row r="804" spans="1:3" x14ac:dyDescent="0.3">
      <c r="A804">
        <v>3</v>
      </c>
      <c r="B804">
        <v>177</v>
      </c>
      <c r="C804">
        <v>2</v>
      </c>
    </row>
    <row r="805" spans="1:3" x14ac:dyDescent="0.3">
      <c r="A805">
        <v>3</v>
      </c>
      <c r="B805">
        <v>178</v>
      </c>
      <c r="C805">
        <v>12</v>
      </c>
    </row>
    <row r="806" spans="1:3" x14ac:dyDescent="0.3">
      <c r="A806">
        <v>3</v>
      </c>
      <c r="B806">
        <v>179</v>
      </c>
      <c r="C806">
        <v>20</v>
      </c>
    </row>
    <row r="807" spans="1:3" x14ac:dyDescent="0.3">
      <c r="A807">
        <v>3</v>
      </c>
      <c r="B807">
        <v>180</v>
      </c>
      <c r="C807">
        <v>6</v>
      </c>
    </row>
    <row r="808" spans="1:3" x14ac:dyDescent="0.3">
      <c r="A808">
        <v>3</v>
      </c>
      <c r="B808">
        <v>181</v>
      </c>
      <c r="C808">
        <v>8</v>
      </c>
    </row>
    <row r="809" spans="1:3" x14ac:dyDescent="0.3">
      <c r="A809">
        <v>3</v>
      </c>
      <c r="B809">
        <v>182</v>
      </c>
      <c r="C809">
        <v>28</v>
      </c>
    </row>
    <row r="810" spans="1:3" x14ac:dyDescent="0.3">
      <c r="A810">
        <v>3</v>
      </c>
      <c r="B810">
        <v>183</v>
      </c>
      <c r="C810">
        <v>26</v>
      </c>
    </row>
    <row r="811" spans="1:3" x14ac:dyDescent="0.3">
      <c r="A811">
        <v>3</v>
      </c>
      <c r="B811">
        <v>184</v>
      </c>
      <c r="C811">
        <v>21</v>
      </c>
    </row>
    <row r="812" spans="1:3" x14ac:dyDescent="0.3">
      <c r="A812">
        <v>3</v>
      </c>
      <c r="B812">
        <v>185</v>
      </c>
      <c r="C812">
        <v>15</v>
      </c>
    </row>
    <row r="813" spans="1:3" x14ac:dyDescent="0.3">
      <c r="A813">
        <v>3</v>
      </c>
      <c r="B813">
        <v>186</v>
      </c>
      <c r="C813">
        <v>30</v>
      </c>
    </row>
    <row r="814" spans="1:3" x14ac:dyDescent="0.3">
      <c r="A814">
        <v>3</v>
      </c>
      <c r="B814">
        <v>187</v>
      </c>
      <c r="C814">
        <v>2</v>
      </c>
    </row>
    <row r="815" spans="1:3" x14ac:dyDescent="0.3">
      <c r="A815">
        <v>3</v>
      </c>
      <c r="B815">
        <v>188</v>
      </c>
      <c r="C815">
        <v>29</v>
      </c>
    </row>
    <row r="816" spans="1:3" x14ac:dyDescent="0.3">
      <c r="A816">
        <v>3</v>
      </c>
      <c r="B816">
        <v>189</v>
      </c>
      <c r="C816">
        <v>20</v>
      </c>
    </row>
    <row r="817" spans="1:3" x14ac:dyDescent="0.3">
      <c r="A817">
        <v>3</v>
      </c>
      <c r="B817">
        <v>190</v>
      </c>
      <c r="C817">
        <v>20</v>
      </c>
    </row>
    <row r="818" spans="1:3" x14ac:dyDescent="0.3">
      <c r="A818">
        <v>3</v>
      </c>
      <c r="B818">
        <v>191</v>
      </c>
      <c r="C818">
        <v>23</v>
      </c>
    </row>
    <row r="819" spans="1:3" x14ac:dyDescent="0.3">
      <c r="A819">
        <v>3</v>
      </c>
      <c r="B819">
        <v>192</v>
      </c>
      <c r="C819">
        <v>10</v>
      </c>
    </row>
    <row r="820" spans="1:3" x14ac:dyDescent="0.3">
      <c r="A820">
        <v>3</v>
      </c>
      <c r="B820">
        <v>193</v>
      </c>
      <c r="C820">
        <v>5</v>
      </c>
    </row>
    <row r="821" spans="1:3" x14ac:dyDescent="0.3">
      <c r="A821">
        <v>3</v>
      </c>
      <c r="B821">
        <v>194</v>
      </c>
      <c r="C821">
        <v>20</v>
      </c>
    </row>
    <row r="822" spans="1:3" x14ac:dyDescent="0.3">
      <c r="A822">
        <v>3</v>
      </c>
      <c r="B822">
        <v>195</v>
      </c>
      <c r="C822">
        <v>20</v>
      </c>
    </row>
    <row r="823" spans="1:3" x14ac:dyDescent="0.3">
      <c r="A823">
        <v>3</v>
      </c>
      <c r="B823">
        <v>196</v>
      </c>
      <c r="C823">
        <v>25</v>
      </c>
    </row>
    <row r="824" spans="1:3" x14ac:dyDescent="0.3">
      <c r="A824">
        <v>3</v>
      </c>
      <c r="B824">
        <v>197</v>
      </c>
      <c r="C824">
        <v>8</v>
      </c>
    </row>
    <row r="825" spans="1:3" x14ac:dyDescent="0.3">
      <c r="A825">
        <v>3</v>
      </c>
      <c r="B825">
        <v>198</v>
      </c>
      <c r="C825">
        <v>27</v>
      </c>
    </row>
    <row r="826" spans="1:3" x14ac:dyDescent="0.3">
      <c r="A826">
        <v>3</v>
      </c>
      <c r="B826">
        <v>199</v>
      </c>
      <c r="C826">
        <v>5</v>
      </c>
    </row>
    <row r="827" spans="1:3" x14ac:dyDescent="0.3">
      <c r="A827">
        <v>3</v>
      </c>
      <c r="B827">
        <v>200</v>
      </c>
      <c r="C827">
        <v>29</v>
      </c>
    </row>
    <row r="828" spans="1:3" x14ac:dyDescent="0.3">
      <c r="A828">
        <v>3</v>
      </c>
      <c r="B828">
        <v>201</v>
      </c>
      <c r="C828">
        <v>30</v>
      </c>
    </row>
    <row r="829" spans="1:3" x14ac:dyDescent="0.3">
      <c r="A829">
        <v>3</v>
      </c>
      <c r="B829">
        <v>202</v>
      </c>
      <c r="C829">
        <v>11</v>
      </c>
    </row>
    <row r="830" spans="1:3" x14ac:dyDescent="0.3">
      <c r="A830">
        <v>3</v>
      </c>
      <c r="B830">
        <v>203</v>
      </c>
      <c r="C830">
        <v>6</v>
      </c>
    </row>
    <row r="831" spans="1:3" x14ac:dyDescent="0.3">
      <c r="A831">
        <v>3</v>
      </c>
      <c r="B831">
        <v>204</v>
      </c>
      <c r="C831">
        <v>16</v>
      </c>
    </row>
    <row r="832" spans="1:3" x14ac:dyDescent="0.3">
      <c r="A832">
        <v>3</v>
      </c>
      <c r="B832">
        <v>205</v>
      </c>
      <c r="C832">
        <v>3</v>
      </c>
    </row>
    <row r="833" spans="1:3" x14ac:dyDescent="0.3">
      <c r="A833">
        <v>3</v>
      </c>
      <c r="B833">
        <v>206</v>
      </c>
      <c r="C833">
        <v>29</v>
      </c>
    </row>
    <row r="834" spans="1:3" x14ac:dyDescent="0.3">
      <c r="A834">
        <v>3</v>
      </c>
      <c r="B834">
        <v>207</v>
      </c>
      <c r="C834">
        <v>29</v>
      </c>
    </row>
    <row r="835" spans="1:3" x14ac:dyDescent="0.3">
      <c r="A835">
        <v>3</v>
      </c>
      <c r="B835">
        <v>208</v>
      </c>
      <c r="C835">
        <v>12</v>
      </c>
    </row>
    <row r="836" spans="1:3" x14ac:dyDescent="0.3">
      <c r="A836">
        <v>3</v>
      </c>
      <c r="B836">
        <v>209</v>
      </c>
      <c r="C836">
        <v>1</v>
      </c>
    </row>
    <row r="837" spans="1:3" x14ac:dyDescent="0.3">
      <c r="A837">
        <v>3</v>
      </c>
      <c r="B837">
        <v>210</v>
      </c>
      <c r="C837">
        <v>22</v>
      </c>
    </row>
    <row r="838" spans="1:3" x14ac:dyDescent="0.3">
      <c r="A838">
        <v>3</v>
      </c>
      <c r="B838">
        <v>211</v>
      </c>
      <c r="C838">
        <v>3</v>
      </c>
    </row>
    <row r="839" spans="1:3" x14ac:dyDescent="0.3">
      <c r="A839">
        <v>3</v>
      </c>
      <c r="B839">
        <v>212</v>
      </c>
      <c r="C839">
        <v>23</v>
      </c>
    </row>
    <row r="840" spans="1:3" x14ac:dyDescent="0.3">
      <c r="A840">
        <v>3</v>
      </c>
      <c r="B840">
        <v>213</v>
      </c>
      <c r="C840">
        <v>10</v>
      </c>
    </row>
    <row r="841" spans="1:3" x14ac:dyDescent="0.3">
      <c r="A841">
        <v>3</v>
      </c>
      <c r="B841">
        <v>214</v>
      </c>
      <c r="C841">
        <v>30</v>
      </c>
    </row>
    <row r="842" spans="1:3" x14ac:dyDescent="0.3">
      <c r="A842">
        <v>3</v>
      </c>
      <c r="B842">
        <v>215</v>
      </c>
      <c r="C842">
        <v>12</v>
      </c>
    </row>
    <row r="843" spans="1:3" x14ac:dyDescent="0.3">
      <c r="A843">
        <v>3</v>
      </c>
      <c r="B843">
        <v>216</v>
      </c>
      <c r="C843">
        <v>5</v>
      </c>
    </row>
    <row r="844" spans="1:3" x14ac:dyDescent="0.3">
      <c r="A844">
        <v>3</v>
      </c>
      <c r="B844">
        <v>217</v>
      </c>
      <c r="C844">
        <v>4</v>
      </c>
    </row>
    <row r="845" spans="1:3" x14ac:dyDescent="0.3">
      <c r="A845">
        <v>3</v>
      </c>
      <c r="B845">
        <v>218</v>
      </c>
      <c r="C845">
        <v>21</v>
      </c>
    </row>
    <row r="846" spans="1:3" x14ac:dyDescent="0.3">
      <c r="A846">
        <v>3</v>
      </c>
      <c r="B846">
        <v>219</v>
      </c>
      <c r="C846">
        <v>29</v>
      </c>
    </row>
    <row r="847" spans="1:3" x14ac:dyDescent="0.3">
      <c r="A847">
        <v>3</v>
      </c>
      <c r="B847">
        <v>220</v>
      </c>
      <c r="C847">
        <v>0</v>
      </c>
    </row>
    <row r="848" spans="1:3" x14ac:dyDescent="0.3">
      <c r="A848">
        <v>3</v>
      </c>
      <c r="B848">
        <v>221</v>
      </c>
      <c r="C848">
        <v>25</v>
      </c>
    </row>
    <row r="849" spans="1:3" x14ac:dyDescent="0.3">
      <c r="A849">
        <v>3</v>
      </c>
      <c r="B849">
        <v>222</v>
      </c>
      <c r="C849">
        <v>12</v>
      </c>
    </row>
    <row r="850" spans="1:3" x14ac:dyDescent="0.3">
      <c r="A850">
        <v>3</v>
      </c>
      <c r="B850">
        <v>223</v>
      </c>
      <c r="C850">
        <v>29</v>
      </c>
    </row>
    <row r="851" spans="1:3" x14ac:dyDescent="0.3">
      <c r="A851">
        <v>3</v>
      </c>
      <c r="B851">
        <v>224</v>
      </c>
      <c r="C851">
        <v>23</v>
      </c>
    </row>
    <row r="852" spans="1:3" x14ac:dyDescent="0.3">
      <c r="A852">
        <v>3</v>
      </c>
      <c r="B852">
        <v>225</v>
      </c>
      <c r="C852">
        <v>12</v>
      </c>
    </row>
    <row r="853" spans="1:3" x14ac:dyDescent="0.3">
      <c r="A853">
        <v>3</v>
      </c>
      <c r="B853">
        <v>226</v>
      </c>
      <c r="C853">
        <v>14</v>
      </c>
    </row>
    <row r="854" spans="1:3" x14ac:dyDescent="0.3">
      <c r="A854">
        <v>3</v>
      </c>
      <c r="B854">
        <v>227</v>
      </c>
      <c r="C854">
        <v>22</v>
      </c>
    </row>
    <row r="855" spans="1:3" x14ac:dyDescent="0.3">
      <c r="A855">
        <v>3</v>
      </c>
      <c r="B855">
        <v>228</v>
      </c>
      <c r="C855">
        <v>29</v>
      </c>
    </row>
    <row r="856" spans="1:3" x14ac:dyDescent="0.3">
      <c r="A856">
        <v>3</v>
      </c>
      <c r="B856">
        <v>229</v>
      </c>
      <c r="C856">
        <v>7</v>
      </c>
    </row>
    <row r="857" spans="1:3" x14ac:dyDescent="0.3">
      <c r="A857">
        <v>3</v>
      </c>
      <c r="B857">
        <v>230</v>
      </c>
      <c r="C857">
        <v>29</v>
      </c>
    </row>
    <row r="858" spans="1:3" x14ac:dyDescent="0.3">
      <c r="A858">
        <v>3</v>
      </c>
      <c r="B858">
        <v>231</v>
      </c>
      <c r="C858">
        <v>6</v>
      </c>
    </row>
    <row r="859" spans="1:3" x14ac:dyDescent="0.3">
      <c r="A859">
        <v>3</v>
      </c>
      <c r="B859">
        <v>232</v>
      </c>
      <c r="C859">
        <v>16</v>
      </c>
    </row>
    <row r="860" spans="1:3" x14ac:dyDescent="0.3">
      <c r="A860">
        <v>3</v>
      </c>
      <c r="B860">
        <v>233</v>
      </c>
      <c r="C860">
        <v>9</v>
      </c>
    </row>
    <row r="861" spans="1:3" x14ac:dyDescent="0.3">
      <c r="A861">
        <v>3</v>
      </c>
      <c r="B861">
        <v>234</v>
      </c>
      <c r="C861">
        <v>24</v>
      </c>
    </row>
    <row r="862" spans="1:3" x14ac:dyDescent="0.3">
      <c r="A862">
        <v>3</v>
      </c>
      <c r="B862">
        <v>235</v>
      </c>
      <c r="C862">
        <v>1</v>
      </c>
    </row>
    <row r="863" spans="1:3" x14ac:dyDescent="0.3">
      <c r="A863">
        <v>3</v>
      </c>
      <c r="B863">
        <v>236</v>
      </c>
      <c r="C863">
        <v>3</v>
      </c>
    </row>
    <row r="864" spans="1:3" x14ac:dyDescent="0.3">
      <c r="A864">
        <v>3</v>
      </c>
      <c r="B864">
        <v>237</v>
      </c>
      <c r="C864">
        <v>16</v>
      </c>
    </row>
    <row r="865" spans="1:3" x14ac:dyDescent="0.3">
      <c r="A865">
        <v>3</v>
      </c>
      <c r="B865">
        <v>238</v>
      </c>
      <c r="C865">
        <v>12</v>
      </c>
    </row>
    <row r="866" spans="1:3" x14ac:dyDescent="0.3">
      <c r="A866">
        <v>3</v>
      </c>
      <c r="B866">
        <v>239</v>
      </c>
      <c r="C866">
        <v>29</v>
      </c>
    </row>
    <row r="867" spans="1:3" x14ac:dyDescent="0.3">
      <c r="A867">
        <v>3</v>
      </c>
      <c r="B867">
        <v>240</v>
      </c>
      <c r="C867">
        <v>26</v>
      </c>
    </row>
    <row r="868" spans="1:3" x14ac:dyDescent="0.3">
      <c r="A868">
        <v>3</v>
      </c>
      <c r="B868">
        <v>241</v>
      </c>
      <c r="C868">
        <v>8</v>
      </c>
    </row>
    <row r="869" spans="1:3" x14ac:dyDescent="0.3">
      <c r="A869">
        <v>3</v>
      </c>
      <c r="B869">
        <v>242</v>
      </c>
      <c r="C869">
        <v>5</v>
      </c>
    </row>
    <row r="870" spans="1:3" x14ac:dyDescent="0.3">
      <c r="A870">
        <v>3</v>
      </c>
      <c r="B870">
        <v>243</v>
      </c>
      <c r="C870">
        <v>7</v>
      </c>
    </row>
    <row r="871" spans="1:3" x14ac:dyDescent="0.3">
      <c r="A871">
        <v>3</v>
      </c>
      <c r="B871">
        <v>244</v>
      </c>
      <c r="C871">
        <v>5</v>
      </c>
    </row>
    <row r="872" spans="1:3" x14ac:dyDescent="0.3">
      <c r="A872">
        <v>3</v>
      </c>
      <c r="B872">
        <v>245</v>
      </c>
      <c r="C872">
        <v>10</v>
      </c>
    </row>
    <row r="873" spans="1:3" x14ac:dyDescent="0.3">
      <c r="A873">
        <v>3</v>
      </c>
      <c r="B873">
        <v>246</v>
      </c>
      <c r="C873">
        <v>7</v>
      </c>
    </row>
    <row r="874" spans="1:3" x14ac:dyDescent="0.3">
      <c r="A874">
        <v>3</v>
      </c>
      <c r="B874">
        <v>247</v>
      </c>
      <c r="C874">
        <v>3</v>
      </c>
    </row>
    <row r="875" spans="1:3" x14ac:dyDescent="0.3">
      <c r="A875">
        <v>3</v>
      </c>
      <c r="B875">
        <v>248</v>
      </c>
      <c r="C875">
        <v>11</v>
      </c>
    </row>
    <row r="876" spans="1:3" x14ac:dyDescent="0.3">
      <c r="A876">
        <v>3</v>
      </c>
      <c r="B876">
        <v>249</v>
      </c>
      <c r="C876">
        <v>6</v>
      </c>
    </row>
    <row r="877" spans="1:3" x14ac:dyDescent="0.3">
      <c r="A877">
        <v>3</v>
      </c>
      <c r="B877">
        <v>250</v>
      </c>
      <c r="C877">
        <v>16</v>
      </c>
    </row>
    <row r="878" spans="1:3" x14ac:dyDescent="0.3">
      <c r="A878">
        <v>3</v>
      </c>
      <c r="B878">
        <v>251</v>
      </c>
      <c r="C878">
        <v>10</v>
      </c>
    </row>
    <row r="879" spans="1:3" x14ac:dyDescent="0.3">
      <c r="A879">
        <v>3</v>
      </c>
      <c r="B879">
        <v>252</v>
      </c>
      <c r="C879">
        <v>27</v>
      </c>
    </row>
    <row r="880" spans="1:3" x14ac:dyDescent="0.3">
      <c r="A880">
        <v>3</v>
      </c>
      <c r="B880">
        <v>253</v>
      </c>
      <c r="C880">
        <v>15</v>
      </c>
    </row>
    <row r="881" spans="1:3" x14ac:dyDescent="0.3">
      <c r="A881">
        <v>3</v>
      </c>
      <c r="B881">
        <v>254</v>
      </c>
      <c r="C881">
        <v>4</v>
      </c>
    </row>
    <row r="882" spans="1:3" x14ac:dyDescent="0.3">
      <c r="A882">
        <v>3</v>
      </c>
      <c r="B882">
        <v>255</v>
      </c>
      <c r="C882">
        <v>17</v>
      </c>
    </row>
    <row r="883" spans="1:3" x14ac:dyDescent="0.3">
      <c r="A883">
        <v>3</v>
      </c>
      <c r="B883">
        <v>256</v>
      </c>
      <c r="C883">
        <v>1</v>
      </c>
    </row>
    <row r="884" spans="1:3" x14ac:dyDescent="0.3">
      <c r="A884">
        <v>3</v>
      </c>
      <c r="B884">
        <v>257</v>
      </c>
      <c r="C884">
        <v>25</v>
      </c>
    </row>
    <row r="885" spans="1:3" x14ac:dyDescent="0.3">
      <c r="A885">
        <v>3</v>
      </c>
      <c r="B885">
        <v>258</v>
      </c>
      <c r="C885">
        <v>10</v>
      </c>
    </row>
    <row r="886" spans="1:3" x14ac:dyDescent="0.3">
      <c r="A886">
        <v>3</v>
      </c>
      <c r="B886">
        <v>259</v>
      </c>
      <c r="C886">
        <v>0</v>
      </c>
    </row>
    <row r="887" spans="1:3" x14ac:dyDescent="0.3">
      <c r="A887">
        <v>3</v>
      </c>
      <c r="B887">
        <v>260</v>
      </c>
      <c r="C887">
        <v>5</v>
      </c>
    </row>
    <row r="888" spans="1:3" x14ac:dyDescent="0.3">
      <c r="A888">
        <v>3</v>
      </c>
      <c r="B888">
        <v>261</v>
      </c>
      <c r="C888">
        <v>24</v>
      </c>
    </row>
    <row r="889" spans="1:3" x14ac:dyDescent="0.3">
      <c r="A889">
        <v>3</v>
      </c>
      <c r="B889">
        <v>262</v>
      </c>
      <c r="C889">
        <v>29</v>
      </c>
    </row>
    <row r="890" spans="1:3" x14ac:dyDescent="0.3">
      <c r="A890">
        <v>3</v>
      </c>
      <c r="B890">
        <v>263</v>
      </c>
      <c r="C890">
        <v>21</v>
      </c>
    </row>
    <row r="891" spans="1:3" x14ac:dyDescent="0.3">
      <c r="A891">
        <v>3</v>
      </c>
      <c r="B891">
        <v>264</v>
      </c>
      <c r="C891">
        <v>7</v>
      </c>
    </row>
    <row r="892" spans="1:3" x14ac:dyDescent="0.3">
      <c r="A892">
        <v>3</v>
      </c>
      <c r="B892">
        <v>265</v>
      </c>
      <c r="C892">
        <v>22</v>
      </c>
    </row>
    <row r="893" spans="1:3" x14ac:dyDescent="0.3">
      <c r="A893">
        <v>3</v>
      </c>
      <c r="B893">
        <v>266</v>
      </c>
      <c r="C893">
        <v>18</v>
      </c>
    </row>
    <row r="894" spans="1:3" x14ac:dyDescent="0.3">
      <c r="A894">
        <v>3</v>
      </c>
      <c r="B894">
        <v>267</v>
      </c>
      <c r="C894">
        <v>12</v>
      </c>
    </row>
    <row r="895" spans="1:3" x14ac:dyDescent="0.3">
      <c r="A895">
        <v>3</v>
      </c>
      <c r="B895">
        <v>268</v>
      </c>
      <c r="C895">
        <v>17</v>
      </c>
    </row>
    <row r="896" spans="1:3" x14ac:dyDescent="0.3">
      <c r="A896">
        <v>3</v>
      </c>
      <c r="B896">
        <v>269</v>
      </c>
      <c r="C896">
        <v>26</v>
      </c>
    </row>
    <row r="897" spans="1:3" x14ac:dyDescent="0.3">
      <c r="A897">
        <v>3</v>
      </c>
      <c r="B897">
        <v>270</v>
      </c>
      <c r="C897">
        <v>6</v>
      </c>
    </row>
    <row r="898" spans="1:3" x14ac:dyDescent="0.3">
      <c r="A898">
        <v>3</v>
      </c>
      <c r="B898">
        <v>271</v>
      </c>
      <c r="C898">
        <v>23</v>
      </c>
    </row>
    <row r="899" spans="1:3" x14ac:dyDescent="0.3">
      <c r="A899">
        <v>3</v>
      </c>
      <c r="B899">
        <v>272</v>
      </c>
      <c r="C899">
        <v>12</v>
      </c>
    </row>
    <row r="900" spans="1:3" x14ac:dyDescent="0.3">
      <c r="A900">
        <v>3</v>
      </c>
      <c r="B900">
        <v>273</v>
      </c>
      <c r="C900">
        <v>19</v>
      </c>
    </row>
    <row r="901" spans="1:3" x14ac:dyDescent="0.3">
      <c r="A901">
        <v>3</v>
      </c>
      <c r="B901">
        <v>274</v>
      </c>
      <c r="C901">
        <v>7</v>
      </c>
    </row>
    <row r="902" spans="1:3" x14ac:dyDescent="0.3">
      <c r="A902">
        <v>3</v>
      </c>
      <c r="B902">
        <v>275</v>
      </c>
      <c r="C902">
        <v>23</v>
      </c>
    </row>
    <row r="903" spans="1:3" x14ac:dyDescent="0.3">
      <c r="A903">
        <v>3</v>
      </c>
      <c r="B903">
        <v>276</v>
      </c>
      <c r="C903">
        <v>14</v>
      </c>
    </row>
    <row r="904" spans="1:3" x14ac:dyDescent="0.3">
      <c r="A904">
        <v>3</v>
      </c>
      <c r="B904">
        <v>277</v>
      </c>
      <c r="C904">
        <v>26</v>
      </c>
    </row>
    <row r="905" spans="1:3" x14ac:dyDescent="0.3">
      <c r="A905">
        <v>3</v>
      </c>
      <c r="B905">
        <v>278</v>
      </c>
      <c r="C905">
        <v>15</v>
      </c>
    </row>
    <row r="906" spans="1:3" x14ac:dyDescent="0.3">
      <c r="A906">
        <v>3</v>
      </c>
      <c r="B906">
        <v>279</v>
      </c>
      <c r="C906">
        <v>15</v>
      </c>
    </row>
    <row r="907" spans="1:3" x14ac:dyDescent="0.3">
      <c r="A907">
        <v>3</v>
      </c>
      <c r="B907">
        <v>280</v>
      </c>
      <c r="C907">
        <v>1</v>
      </c>
    </row>
    <row r="908" spans="1:3" x14ac:dyDescent="0.3">
      <c r="A908">
        <v>3</v>
      </c>
      <c r="B908">
        <v>281</v>
      </c>
      <c r="C908">
        <v>2</v>
      </c>
    </row>
    <row r="909" spans="1:3" x14ac:dyDescent="0.3">
      <c r="A909">
        <v>3</v>
      </c>
      <c r="B909">
        <v>282</v>
      </c>
      <c r="C909">
        <v>18</v>
      </c>
    </row>
    <row r="910" spans="1:3" x14ac:dyDescent="0.3">
      <c r="A910">
        <v>3</v>
      </c>
      <c r="B910">
        <v>283</v>
      </c>
      <c r="C910">
        <v>1</v>
      </c>
    </row>
    <row r="911" spans="1:3" x14ac:dyDescent="0.3">
      <c r="A911">
        <v>3</v>
      </c>
      <c r="B911">
        <v>284</v>
      </c>
      <c r="C911">
        <v>26</v>
      </c>
    </row>
    <row r="912" spans="1:3" x14ac:dyDescent="0.3">
      <c r="A912">
        <v>3</v>
      </c>
      <c r="B912">
        <v>285</v>
      </c>
      <c r="C912">
        <v>2</v>
      </c>
    </row>
    <row r="913" spans="1:3" x14ac:dyDescent="0.3">
      <c r="A913">
        <v>3</v>
      </c>
      <c r="B913">
        <v>286</v>
      </c>
      <c r="C913">
        <v>7</v>
      </c>
    </row>
    <row r="914" spans="1:3" x14ac:dyDescent="0.3">
      <c r="A914">
        <v>3</v>
      </c>
      <c r="B914">
        <v>287</v>
      </c>
      <c r="C914">
        <v>26</v>
      </c>
    </row>
    <row r="915" spans="1:3" x14ac:dyDescent="0.3">
      <c r="A915">
        <v>3</v>
      </c>
      <c r="B915">
        <v>288</v>
      </c>
      <c r="C915">
        <v>2</v>
      </c>
    </row>
    <row r="916" spans="1:3" x14ac:dyDescent="0.3">
      <c r="A916">
        <v>3</v>
      </c>
      <c r="B916">
        <v>289</v>
      </c>
      <c r="C916">
        <v>2</v>
      </c>
    </row>
    <row r="917" spans="1:3" x14ac:dyDescent="0.3">
      <c r="A917">
        <v>3</v>
      </c>
      <c r="B917">
        <v>290</v>
      </c>
      <c r="C917">
        <v>6</v>
      </c>
    </row>
    <row r="918" spans="1:3" x14ac:dyDescent="0.3">
      <c r="A918">
        <v>3</v>
      </c>
      <c r="B918">
        <v>291</v>
      </c>
      <c r="C918">
        <v>10</v>
      </c>
    </row>
    <row r="919" spans="1:3" x14ac:dyDescent="0.3">
      <c r="A919">
        <v>3</v>
      </c>
      <c r="B919">
        <v>292</v>
      </c>
      <c r="C919">
        <v>16</v>
      </c>
    </row>
    <row r="920" spans="1:3" x14ac:dyDescent="0.3">
      <c r="A920">
        <v>3</v>
      </c>
      <c r="B920">
        <v>293</v>
      </c>
      <c r="C920">
        <v>14</v>
      </c>
    </row>
    <row r="921" spans="1:3" x14ac:dyDescent="0.3">
      <c r="A921">
        <v>3</v>
      </c>
      <c r="B921">
        <v>294</v>
      </c>
      <c r="C921">
        <v>13</v>
      </c>
    </row>
    <row r="922" spans="1:3" x14ac:dyDescent="0.3">
      <c r="A922">
        <v>3</v>
      </c>
      <c r="B922">
        <v>295</v>
      </c>
      <c r="C922">
        <v>9</v>
      </c>
    </row>
    <row r="923" spans="1:3" x14ac:dyDescent="0.3">
      <c r="A923">
        <v>3</v>
      </c>
      <c r="B923">
        <v>296</v>
      </c>
      <c r="C923">
        <v>12</v>
      </c>
    </row>
    <row r="924" spans="1:3" x14ac:dyDescent="0.3">
      <c r="A924">
        <v>3</v>
      </c>
      <c r="B924">
        <v>297</v>
      </c>
      <c r="C924">
        <v>22</v>
      </c>
    </row>
    <row r="925" spans="1:3" x14ac:dyDescent="0.3">
      <c r="A925">
        <v>3</v>
      </c>
      <c r="B925">
        <v>298</v>
      </c>
      <c r="C925">
        <v>14</v>
      </c>
    </row>
    <row r="926" spans="1:3" x14ac:dyDescent="0.3">
      <c r="A926">
        <v>3</v>
      </c>
      <c r="B926">
        <v>299</v>
      </c>
      <c r="C926">
        <v>29</v>
      </c>
    </row>
    <row r="927" spans="1:3" x14ac:dyDescent="0.3">
      <c r="A927">
        <v>3</v>
      </c>
      <c r="B927">
        <v>300</v>
      </c>
      <c r="C927">
        <v>3</v>
      </c>
    </row>
    <row r="928" spans="1:3" x14ac:dyDescent="0.3">
      <c r="A928">
        <v>3</v>
      </c>
      <c r="B928">
        <v>301</v>
      </c>
      <c r="C928">
        <v>29</v>
      </c>
    </row>
    <row r="929" spans="1:3" x14ac:dyDescent="0.3">
      <c r="A929">
        <v>3</v>
      </c>
      <c r="B929">
        <v>302</v>
      </c>
      <c r="C929">
        <v>6</v>
      </c>
    </row>
    <row r="930" spans="1:3" x14ac:dyDescent="0.3">
      <c r="A930">
        <v>3</v>
      </c>
      <c r="B930">
        <v>303</v>
      </c>
      <c r="C930">
        <v>13</v>
      </c>
    </row>
    <row r="931" spans="1:3" x14ac:dyDescent="0.3">
      <c r="A931">
        <v>3</v>
      </c>
      <c r="B931">
        <v>304</v>
      </c>
      <c r="C931">
        <v>23</v>
      </c>
    </row>
    <row r="932" spans="1:3" x14ac:dyDescent="0.3">
      <c r="A932">
        <v>3</v>
      </c>
      <c r="B932">
        <v>305</v>
      </c>
      <c r="C932">
        <v>11</v>
      </c>
    </row>
    <row r="933" spans="1:3" x14ac:dyDescent="0.3">
      <c r="A933">
        <v>3</v>
      </c>
      <c r="B933">
        <v>306</v>
      </c>
      <c r="C933">
        <v>7</v>
      </c>
    </row>
    <row r="934" spans="1:3" x14ac:dyDescent="0.3">
      <c r="A934">
        <v>3</v>
      </c>
      <c r="B934">
        <v>307</v>
      </c>
      <c r="C934">
        <v>17</v>
      </c>
    </row>
    <row r="935" spans="1:3" x14ac:dyDescent="0.3">
      <c r="A935">
        <v>3</v>
      </c>
      <c r="B935">
        <v>308</v>
      </c>
      <c r="C935">
        <v>9</v>
      </c>
    </row>
    <row r="936" spans="1:3" x14ac:dyDescent="0.3">
      <c r="A936">
        <v>3</v>
      </c>
      <c r="B936">
        <v>309</v>
      </c>
      <c r="C936">
        <v>30</v>
      </c>
    </row>
    <row r="937" spans="1:3" x14ac:dyDescent="0.3">
      <c r="A937">
        <v>3</v>
      </c>
      <c r="B937">
        <v>310</v>
      </c>
      <c r="C937">
        <v>8</v>
      </c>
    </row>
    <row r="938" spans="1:3" x14ac:dyDescent="0.3">
      <c r="A938">
        <v>3</v>
      </c>
      <c r="B938">
        <v>311</v>
      </c>
      <c r="C938">
        <v>23</v>
      </c>
    </row>
    <row r="939" spans="1:3" x14ac:dyDescent="0.3">
      <c r="A939">
        <v>3</v>
      </c>
      <c r="B939">
        <v>312</v>
      </c>
      <c r="C939">
        <v>18</v>
      </c>
    </row>
    <row r="940" spans="1:3" x14ac:dyDescent="0.3">
      <c r="A940">
        <v>3</v>
      </c>
      <c r="B940">
        <v>313</v>
      </c>
      <c r="C940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556E8-44E5-4B36-8675-9074B300911D}">
  <dimension ref="A1:H11"/>
  <sheetViews>
    <sheetView workbookViewId="0"/>
  </sheetViews>
  <sheetFormatPr defaultRowHeight="14.4" x14ac:dyDescent="0.3"/>
  <cols>
    <col min="1" max="1" width="10.44140625" bestFit="1" customWidth="1"/>
    <col min="2" max="2" width="13.44140625" bestFit="1" customWidth="1"/>
    <col min="3" max="3" width="13.109375" bestFit="1" customWidth="1"/>
    <col min="4" max="4" width="30.6640625" bestFit="1" customWidth="1"/>
    <col min="5" max="5" width="13.6640625" bestFit="1" customWidth="1"/>
    <col min="6" max="6" width="8.88671875" bestFit="1" customWidth="1"/>
    <col min="7" max="7" width="11" bestFit="1" customWidth="1"/>
    <col min="8" max="8" width="13.6640625" bestFit="1" customWidth="1"/>
  </cols>
  <sheetData>
    <row r="1" spans="1:8" x14ac:dyDescent="0.3">
      <c r="A1" t="s">
        <v>5247</v>
      </c>
      <c r="B1" t="s">
        <v>1</v>
      </c>
      <c r="C1" t="s">
        <v>2</v>
      </c>
      <c r="D1" t="s">
        <v>4</v>
      </c>
      <c r="E1" t="s">
        <v>3</v>
      </c>
      <c r="F1" t="s">
        <v>5252</v>
      </c>
      <c r="G1" t="s">
        <v>5246</v>
      </c>
      <c r="H1" t="s">
        <v>5253</v>
      </c>
    </row>
    <row r="2" spans="1:8" x14ac:dyDescent="0.3">
      <c r="A2">
        <v>1</v>
      </c>
      <c r="B2" t="s">
        <v>5254</v>
      </c>
      <c r="C2" t="s">
        <v>253</v>
      </c>
      <c r="D2" t="s">
        <v>5255</v>
      </c>
      <c r="E2" t="s">
        <v>5256</v>
      </c>
      <c r="F2">
        <v>1</v>
      </c>
      <c r="G2">
        <v>1</v>
      </c>
      <c r="H2" t="s">
        <v>5257</v>
      </c>
    </row>
    <row r="3" spans="1:8" x14ac:dyDescent="0.3">
      <c r="A3">
        <v>2</v>
      </c>
      <c r="B3" t="s">
        <v>5258</v>
      </c>
      <c r="C3" t="s">
        <v>4558</v>
      </c>
      <c r="D3" t="s">
        <v>5259</v>
      </c>
      <c r="E3" t="s">
        <v>5260</v>
      </c>
      <c r="F3">
        <v>1</v>
      </c>
      <c r="G3">
        <v>1</v>
      </c>
      <c r="H3" t="s">
        <v>5261</v>
      </c>
    </row>
    <row r="4" spans="1:8" x14ac:dyDescent="0.3">
      <c r="A4">
        <v>3</v>
      </c>
      <c r="B4" t="s">
        <v>5262</v>
      </c>
      <c r="C4" t="s">
        <v>5263</v>
      </c>
      <c r="D4" t="s">
        <v>5264</v>
      </c>
      <c r="E4" t="s">
        <v>5265</v>
      </c>
      <c r="F4">
        <v>1</v>
      </c>
      <c r="G4">
        <v>1</v>
      </c>
      <c r="H4" t="s">
        <v>5266</v>
      </c>
    </row>
    <row r="5" spans="1:8" x14ac:dyDescent="0.3">
      <c r="A5">
        <v>4</v>
      </c>
      <c r="B5" t="s">
        <v>5267</v>
      </c>
      <c r="C5" t="s">
        <v>1421</v>
      </c>
      <c r="D5" t="s">
        <v>5268</v>
      </c>
      <c r="E5" t="s">
        <v>5269</v>
      </c>
      <c r="F5">
        <v>1</v>
      </c>
      <c r="G5">
        <v>1</v>
      </c>
      <c r="H5" t="s">
        <v>5266</v>
      </c>
    </row>
    <row r="6" spans="1:8" x14ac:dyDescent="0.3">
      <c r="A6">
        <v>5</v>
      </c>
      <c r="B6" t="s">
        <v>5270</v>
      </c>
      <c r="C6" t="s">
        <v>5271</v>
      </c>
      <c r="D6" t="s">
        <v>5272</v>
      </c>
      <c r="E6" t="s">
        <v>5273</v>
      </c>
      <c r="F6">
        <v>1</v>
      </c>
      <c r="G6">
        <v>2</v>
      </c>
      <c r="H6" t="s">
        <v>5261</v>
      </c>
    </row>
    <row r="7" spans="1:8" x14ac:dyDescent="0.3">
      <c r="A7">
        <v>6</v>
      </c>
      <c r="B7" t="s">
        <v>5274</v>
      </c>
      <c r="C7" t="s">
        <v>5275</v>
      </c>
      <c r="D7" t="s">
        <v>5276</v>
      </c>
      <c r="E7" t="s">
        <v>5277</v>
      </c>
      <c r="F7">
        <v>1</v>
      </c>
      <c r="G7">
        <v>2</v>
      </c>
      <c r="H7" t="s">
        <v>5278</v>
      </c>
    </row>
    <row r="8" spans="1:8" x14ac:dyDescent="0.3">
      <c r="A8">
        <v>7</v>
      </c>
      <c r="B8" t="s">
        <v>5279</v>
      </c>
      <c r="C8" t="s">
        <v>413</v>
      </c>
      <c r="D8" t="s">
        <v>5280</v>
      </c>
      <c r="E8" t="s">
        <v>5281</v>
      </c>
      <c r="F8">
        <v>1</v>
      </c>
      <c r="G8">
        <v>2</v>
      </c>
      <c r="H8" t="s">
        <v>5278</v>
      </c>
    </row>
    <row r="9" spans="1:8" x14ac:dyDescent="0.3">
      <c r="A9">
        <v>8</v>
      </c>
      <c r="B9" t="s">
        <v>5282</v>
      </c>
      <c r="C9" t="s">
        <v>427</v>
      </c>
      <c r="D9" t="s">
        <v>5283</v>
      </c>
      <c r="E9" t="s">
        <v>5284</v>
      </c>
      <c r="F9">
        <v>1</v>
      </c>
      <c r="G9">
        <v>3</v>
      </c>
      <c r="H9" t="s">
        <v>5261</v>
      </c>
    </row>
    <row r="10" spans="1:8" x14ac:dyDescent="0.3">
      <c r="A10">
        <v>9</v>
      </c>
      <c r="B10" t="s">
        <v>5285</v>
      </c>
      <c r="C10" t="s">
        <v>3043</v>
      </c>
      <c r="D10" t="s">
        <v>5286</v>
      </c>
      <c r="E10" t="s">
        <v>5287</v>
      </c>
      <c r="F10">
        <v>1</v>
      </c>
      <c r="G10">
        <v>3</v>
      </c>
      <c r="H10" t="s">
        <v>5288</v>
      </c>
    </row>
    <row r="11" spans="1:8" x14ac:dyDescent="0.3">
      <c r="A11">
        <v>10</v>
      </c>
      <c r="B11" t="s">
        <v>5289</v>
      </c>
      <c r="C11" t="s">
        <v>232</v>
      </c>
      <c r="D11" t="s">
        <v>5290</v>
      </c>
      <c r="E11" t="s">
        <v>5291</v>
      </c>
      <c r="F11">
        <v>1</v>
      </c>
      <c r="G11">
        <v>3</v>
      </c>
      <c r="H11" t="s">
        <v>5288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CB53C-9214-490F-B455-225F44A07BD2}">
  <dimension ref="A1:H1616"/>
  <sheetViews>
    <sheetView tabSelected="1" workbookViewId="0">
      <selection activeCell="C2" sqref="C2"/>
    </sheetView>
  </sheetViews>
  <sheetFormatPr defaultRowHeight="14.4" x14ac:dyDescent="0.3"/>
  <cols>
    <col min="1" max="1" width="11.33203125" bestFit="1" customWidth="1"/>
    <col min="2" max="2" width="15.109375" bestFit="1" customWidth="1"/>
    <col min="3" max="3" width="15" bestFit="1" customWidth="1"/>
    <col min="4" max="4" width="13.5546875" bestFit="1" customWidth="1"/>
    <col min="5" max="5" width="16.88671875" bestFit="1" customWidth="1"/>
    <col min="6" max="6" width="16" bestFit="1" customWidth="1"/>
    <col min="7" max="7" width="11" bestFit="1" customWidth="1"/>
    <col min="8" max="8" width="10.44140625" bestFit="1" customWidth="1"/>
  </cols>
  <sheetData>
    <row r="1" spans="1:8" x14ac:dyDescent="0.3">
      <c r="A1" t="s">
        <v>5240</v>
      </c>
      <c r="B1" t="s">
        <v>5241</v>
      </c>
      <c r="C1" t="s">
        <v>5242</v>
      </c>
      <c r="D1" t="s">
        <v>5243</v>
      </c>
      <c r="E1" t="s">
        <v>5244</v>
      </c>
      <c r="F1" t="s">
        <v>5245</v>
      </c>
      <c r="G1" t="s">
        <v>5246</v>
      </c>
      <c r="H1" t="s">
        <v>5247</v>
      </c>
    </row>
    <row r="2" spans="1:8" x14ac:dyDescent="0.3">
      <c r="A2">
        <v>1</v>
      </c>
      <c r="B2">
        <v>259</v>
      </c>
      <c r="C2" t="s">
        <v>5248</v>
      </c>
      <c r="D2" s="1">
        <v>42370</v>
      </c>
      <c r="E2" s="1">
        <v>42372</v>
      </c>
      <c r="F2" s="1">
        <v>42372</v>
      </c>
      <c r="G2">
        <v>1</v>
      </c>
      <c r="H2">
        <v>2</v>
      </c>
    </row>
    <row r="3" spans="1:8" x14ac:dyDescent="0.3">
      <c r="A3">
        <v>2</v>
      </c>
      <c r="B3">
        <v>1212</v>
      </c>
      <c r="C3" t="s">
        <v>5248</v>
      </c>
      <c r="D3" s="1">
        <v>42370</v>
      </c>
      <c r="E3" s="1">
        <v>42373</v>
      </c>
      <c r="F3" s="1">
        <v>42372</v>
      </c>
      <c r="G3">
        <v>2</v>
      </c>
      <c r="H3">
        <v>6</v>
      </c>
    </row>
    <row r="4" spans="1:8" x14ac:dyDescent="0.3">
      <c r="A4">
        <v>3</v>
      </c>
      <c r="B4">
        <v>523</v>
      </c>
      <c r="C4" t="s">
        <v>5248</v>
      </c>
      <c r="D4" s="1">
        <v>42371</v>
      </c>
      <c r="E4" s="1">
        <v>42374</v>
      </c>
      <c r="F4" s="1">
        <v>42372</v>
      </c>
      <c r="G4">
        <v>2</v>
      </c>
      <c r="H4">
        <v>7</v>
      </c>
    </row>
    <row r="5" spans="1:8" x14ac:dyDescent="0.3">
      <c r="A5">
        <v>4</v>
      </c>
      <c r="B5">
        <v>175</v>
      </c>
      <c r="C5" t="s">
        <v>5248</v>
      </c>
      <c r="D5" s="1">
        <v>42372</v>
      </c>
      <c r="E5" s="1">
        <v>42373</v>
      </c>
      <c r="F5" s="1">
        <v>42374</v>
      </c>
      <c r="G5">
        <v>1</v>
      </c>
      <c r="H5">
        <v>3</v>
      </c>
    </row>
    <row r="6" spans="1:8" x14ac:dyDescent="0.3">
      <c r="A6">
        <v>5</v>
      </c>
      <c r="B6">
        <v>1324</v>
      </c>
      <c r="C6" t="s">
        <v>5248</v>
      </c>
      <c r="D6" s="1">
        <v>42372</v>
      </c>
      <c r="E6" s="1">
        <v>42375</v>
      </c>
      <c r="F6" s="1">
        <v>42375</v>
      </c>
      <c r="G6">
        <v>2</v>
      </c>
      <c r="H6">
        <v>6</v>
      </c>
    </row>
    <row r="7" spans="1:8" x14ac:dyDescent="0.3">
      <c r="A7">
        <v>6</v>
      </c>
      <c r="B7">
        <v>94</v>
      </c>
      <c r="C7" t="s">
        <v>5248</v>
      </c>
      <c r="D7" s="1">
        <v>42373</v>
      </c>
      <c r="E7" s="1">
        <v>42376</v>
      </c>
      <c r="F7" s="1">
        <v>42374</v>
      </c>
      <c r="G7">
        <v>2</v>
      </c>
      <c r="H7">
        <v>6</v>
      </c>
    </row>
    <row r="8" spans="1:8" x14ac:dyDescent="0.3">
      <c r="A8">
        <v>7</v>
      </c>
      <c r="B8">
        <v>324</v>
      </c>
      <c r="C8" t="s">
        <v>5248</v>
      </c>
      <c r="D8" s="1">
        <v>42373</v>
      </c>
      <c r="E8" s="1">
        <v>42376</v>
      </c>
      <c r="F8" s="1">
        <v>42374</v>
      </c>
      <c r="G8">
        <v>2</v>
      </c>
      <c r="H8">
        <v>6</v>
      </c>
    </row>
    <row r="9" spans="1:8" x14ac:dyDescent="0.3">
      <c r="A9">
        <v>8</v>
      </c>
      <c r="B9">
        <v>1204</v>
      </c>
      <c r="C9" t="s">
        <v>5248</v>
      </c>
      <c r="D9" s="1">
        <v>42373</v>
      </c>
      <c r="E9" s="1">
        <v>42374</v>
      </c>
      <c r="F9" s="1">
        <v>42374</v>
      </c>
      <c r="G9">
        <v>2</v>
      </c>
      <c r="H9">
        <v>7</v>
      </c>
    </row>
    <row r="10" spans="1:8" x14ac:dyDescent="0.3">
      <c r="A10">
        <v>9</v>
      </c>
      <c r="B10">
        <v>60</v>
      </c>
      <c r="C10" t="s">
        <v>5248</v>
      </c>
      <c r="D10" s="1">
        <v>42374</v>
      </c>
      <c r="E10" s="1">
        <v>42377</v>
      </c>
      <c r="F10" s="1">
        <v>42377</v>
      </c>
      <c r="G10">
        <v>1</v>
      </c>
      <c r="H10">
        <v>2</v>
      </c>
    </row>
    <row r="11" spans="1:8" x14ac:dyDescent="0.3">
      <c r="A11">
        <v>10</v>
      </c>
      <c r="B11">
        <v>442</v>
      </c>
      <c r="C11" t="s">
        <v>5248</v>
      </c>
      <c r="D11" s="1">
        <v>42374</v>
      </c>
      <c r="E11" s="1">
        <v>42375</v>
      </c>
      <c r="F11" s="1">
        <v>42375</v>
      </c>
      <c r="G11">
        <v>2</v>
      </c>
      <c r="H11">
        <v>6</v>
      </c>
    </row>
    <row r="12" spans="1:8" x14ac:dyDescent="0.3">
      <c r="A12">
        <v>11</v>
      </c>
      <c r="B12">
        <v>1326</v>
      </c>
      <c r="C12" t="s">
        <v>5248</v>
      </c>
      <c r="D12" s="1">
        <v>42374</v>
      </c>
      <c r="E12" s="1">
        <v>42377</v>
      </c>
      <c r="F12" s="1">
        <v>42376</v>
      </c>
      <c r="G12">
        <v>2</v>
      </c>
      <c r="H12">
        <v>7</v>
      </c>
    </row>
    <row r="13" spans="1:8" x14ac:dyDescent="0.3">
      <c r="A13">
        <v>12</v>
      </c>
      <c r="B13">
        <v>91</v>
      </c>
      <c r="C13" t="s">
        <v>5248</v>
      </c>
      <c r="D13" s="1">
        <v>42375</v>
      </c>
      <c r="E13" s="1">
        <v>42377</v>
      </c>
      <c r="F13" s="1">
        <v>42378</v>
      </c>
      <c r="G13">
        <v>1</v>
      </c>
      <c r="H13">
        <v>2</v>
      </c>
    </row>
    <row r="14" spans="1:8" x14ac:dyDescent="0.3">
      <c r="A14">
        <v>13</v>
      </c>
      <c r="B14">
        <v>873</v>
      </c>
      <c r="C14" t="s">
        <v>5248</v>
      </c>
      <c r="D14" s="1">
        <v>42377</v>
      </c>
      <c r="E14" s="1">
        <v>42380</v>
      </c>
      <c r="F14" s="1">
        <v>42380</v>
      </c>
      <c r="G14">
        <v>2</v>
      </c>
      <c r="H14">
        <v>6</v>
      </c>
    </row>
    <row r="15" spans="1:8" x14ac:dyDescent="0.3">
      <c r="A15">
        <v>14</v>
      </c>
      <c r="B15">
        <v>258</v>
      </c>
      <c r="C15" t="s">
        <v>5248</v>
      </c>
      <c r="D15" s="1">
        <v>42378</v>
      </c>
      <c r="E15" s="1">
        <v>42380</v>
      </c>
      <c r="F15" s="1">
        <v>42381</v>
      </c>
      <c r="G15">
        <v>1</v>
      </c>
      <c r="H15">
        <v>3</v>
      </c>
    </row>
    <row r="16" spans="1:8" x14ac:dyDescent="0.3">
      <c r="A16">
        <v>15</v>
      </c>
      <c r="B16">
        <v>450</v>
      </c>
      <c r="C16" t="s">
        <v>5248</v>
      </c>
      <c r="D16" s="1">
        <v>42378</v>
      </c>
      <c r="E16" s="1">
        <v>42379</v>
      </c>
      <c r="F16" s="1">
        <v>42381</v>
      </c>
      <c r="G16">
        <v>2</v>
      </c>
      <c r="H16">
        <v>7</v>
      </c>
    </row>
    <row r="17" spans="1:8" x14ac:dyDescent="0.3">
      <c r="A17">
        <v>16</v>
      </c>
      <c r="B17">
        <v>552</v>
      </c>
      <c r="C17" t="s">
        <v>5248</v>
      </c>
      <c r="D17" s="1">
        <v>42381</v>
      </c>
      <c r="E17" s="1">
        <v>42384</v>
      </c>
      <c r="F17" s="1">
        <v>42384</v>
      </c>
      <c r="G17">
        <v>1</v>
      </c>
      <c r="H17">
        <v>3</v>
      </c>
    </row>
    <row r="18" spans="1:8" x14ac:dyDescent="0.3">
      <c r="A18">
        <v>17</v>
      </c>
      <c r="B18">
        <v>1175</v>
      </c>
      <c r="C18" t="s">
        <v>5248</v>
      </c>
      <c r="D18" s="1">
        <v>42381</v>
      </c>
      <c r="E18" s="1">
        <v>42383</v>
      </c>
      <c r="F18" s="1">
        <v>42383</v>
      </c>
      <c r="G18">
        <v>1</v>
      </c>
      <c r="H18">
        <v>3</v>
      </c>
    </row>
    <row r="19" spans="1:8" x14ac:dyDescent="0.3">
      <c r="A19">
        <v>18</v>
      </c>
      <c r="B19">
        <v>541</v>
      </c>
      <c r="C19" t="s">
        <v>5248</v>
      </c>
      <c r="D19" s="1">
        <v>42383</v>
      </c>
      <c r="E19" s="1">
        <v>42386</v>
      </c>
      <c r="F19" s="1">
        <v>42384</v>
      </c>
      <c r="G19">
        <v>1</v>
      </c>
      <c r="H19">
        <v>3</v>
      </c>
    </row>
    <row r="20" spans="1:8" x14ac:dyDescent="0.3">
      <c r="A20">
        <v>19</v>
      </c>
      <c r="B20">
        <v>696</v>
      </c>
      <c r="C20" t="s">
        <v>5248</v>
      </c>
      <c r="D20" s="1">
        <v>42383</v>
      </c>
      <c r="E20" s="1">
        <v>42386</v>
      </c>
      <c r="F20" s="1">
        <v>42385</v>
      </c>
      <c r="G20">
        <v>1</v>
      </c>
      <c r="H20">
        <v>2</v>
      </c>
    </row>
    <row r="21" spans="1:8" x14ac:dyDescent="0.3">
      <c r="A21">
        <v>20</v>
      </c>
      <c r="B21">
        <v>923</v>
      </c>
      <c r="C21" t="s">
        <v>5248</v>
      </c>
      <c r="D21" s="1">
        <v>42383</v>
      </c>
      <c r="E21" s="1">
        <v>42385</v>
      </c>
      <c r="F21" s="1">
        <v>42386</v>
      </c>
      <c r="G21">
        <v>1</v>
      </c>
      <c r="H21">
        <v>2</v>
      </c>
    </row>
    <row r="22" spans="1:8" x14ac:dyDescent="0.3">
      <c r="A22">
        <v>21</v>
      </c>
      <c r="B22">
        <v>1250</v>
      </c>
      <c r="C22" t="s">
        <v>5248</v>
      </c>
      <c r="D22" s="1">
        <v>42384</v>
      </c>
      <c r="E22" s="1">
        <v>42385</v>
      </c>
      <c r="F22" s="1">
        <v>42387</v>
      </c>
      <c r="G22">
        <v>2</v>
      </c>
      <c r="H22">
        <v>6</v>
      </c>
    </row>
    <row r="23" spans="1:8" x14ac:dyDescent="0.3">
      <c r="A23">
        <v>22</v>
      </c>
      <c r="B23">
        <v>1035</v>
      </c>
      <c r="C23" t="s">
        <v>5248</v>
      </c>
      <c r="D23" s="1">
        <v>42385</v>
      </c>
      <c r="E23" s="1">
        <v>42387</v>
      </c>
      <c r="F23" s="1">
        <v>42386</v>
      </c>
      <c r="G23">
        <v>1</v>
      </c>
      <c r="H23">
        <v>2</v>
      </c>
    </row>
    <row r="24" spans="1:8" x14ac:dyDescent="0.3">
      <c r="A24">
        <v>23</v>
      </c>
      <c r="B24">
        <v>1149</v>
      </c>
      <c r="C24" t="s">
        <v>5248</v>
      </c>
      <c r="D24" s="1">
        <v>42385</v>
      </c>
      <c r="E24" s="1">
        <v>42388</v>
      </c>
      <c r="F24" s="1">
        <v>42388</v>
      </c>
      <c r="G24">
        <v>1</v>
      </c>
      <c r="H24">
        <v>2</v>
      </c>
    </row>
    <row r="25" spans="1:8" x14ac:dyDescent="0.3">
      <c r="A25">
        <v>24</v>
      </c>
      <c r="B25">
        <v>636</v>
      </c>
      <c r="C25" t="s">
        <v>5248</v>
      </c>
      <c r="D25" s="1">
        <v>42387</v>
      </c>
      <c r="E25" s="1">
        <v>42389</v>
      </c>
      <c r="F25" s="1">
        <v>42388</v>
      </c>
      <c r="G25">
        <v>2</v>
      </c>
      <c r="H25">
        <v>7</v>
      </c>
    </row>
    <row r="26" spans="1:8" x14ac:dyDescent="0.3">
      <c r="A26">
        <v>25</v>
      </c>
      <c r="B26">
        <v>657</v>
      </c>
      <c r="C26" t="s">
        <v>5248</v>
      </c>
      <c r="D26" s="1">
        <v>42387</v>
      </c>
      <c r="E26" s="1">
        <v>42390</v>
      </c>
      <c r="F26" s="1">
        <v>42390</v>
      </c>
      <c r="G26">
        <v>2</v>
      </c>
      <c r="H26">
        <v>6</v>
      </c>
    </row>
    <row r="27" spans="1:8" x14ac:dyDescent="0.3">
      <c r="A27">
        <v>26</v>
      </c>
      <c r="B27">
        <v>1280</v>
      </c>
      <c r="C27" t="s">
        <v>5248</v>
      </c>
      <c r="D27" s="1">
        <v>42387</v>
      </c>
      <c r="E27" s="1">
        <v>42390</v>
      </c>
      <c r="F27" s="1">
        <v>42388</v>
      </c>
      <c r="G27">
        <v>2</v>
      </c>
      <c r="H27">
        <v>7</v>
      </c>
    </row>
    <row r="28" spans="1:8" x14ac:dyDescent="0.3">
      <c r="A28">
        <v>27</v>
      </c>
      <c r="B28">
        <v>57</v>
      </c>
      <c r="C28" t="s">
        <v>5248</v>
      </c>
      <c r="D28" s="1">
        <v>42388</v>
      </c>
      <c r="E28" s="1">
        <v>42390</v>
      </c>
      <c r="F28" s="1">
        <v>42389</v>
      </c>
      <c r="G28">
        <v>2</v>
      </c>
      <c r="H28">
        <v>7</v>
      </c>
    </row>
    <row r="29" spans="1:8" x14ac:dyDescent="0.3">
      <c r="A29">
        <v>28</v>
      </c>
      <c r="B29">
        <v>252</v>
      </c>
      <c r="C29" t="s">
        <v>5248</v>
      </c>
      <c r="D29" s="1">
        <v>42388</v>
      </c>
      <c r="E29" s="1">
        <v>42389</v>
      </c>
      <c r="F29" s="1">
        <v>42390</v>
      </c>
      <c r="G29">
        <v>2</v>
      </c>
      <c r="H29">
        <v>6</v>
      </c>
    </row>
    <row r="30" spans="1:8" x14ac:dyDescent="0.3">
      <c r="A30">
        <v>29</v>
      </c>
      <c r="B30">
        <v>437</v>
      </c>
      <c r="C30" t="s">
        <v>5248</v>
      </c>
      <c r="D30" s="1">
        <v>42389</v>
      </c>
      <c r="E30" s="1">
        <v>42391</v>
      </c>
      <c r="F30" s="1">
        <v>42390</v>
      </c>
      <c r="G30">
        <v>2</v>
      </c>
      <c r="H30">
        <v>6</v>
      </c>
    </row>
    <row r="31" spans="1:8" x14ac:dyDescent="0.3">
      <c r="A31">
        <v>30</v>
      </c>
      <c r="B31">
        <v>1348</v>
      </c>
      <c r="C31" t="s">
        <v>5248</v>
      </c>
      <c r="D31" s="1">
        <v>42389</v>
      </c>
      <c r="E31" s="1">
        <v>42390</v>
      </c>
      <c r="F31" s="1">
        <v>42390</v>
      </c>
      <c r="G31">
        <v>2</v>
      </c>
      <c r="H31">
        <v>6</v>
      </c>
    </row>
    <row r="32" spans="1:8" x14ac:dyDescent="0.3">
      <c r="A32">
        <v>31</v>
      </c>
      <c r="B32">
        <v>1238</v>
      </c>
      <c r="C32" t="s">
        <v>5248</v>
      </c>
      <c r="D32" s="1">
        <v>42389</v>
      </c>
      <c r="E32" s="1">
        <v>42391</v>
      </c>
      <c r="F32" s="1">
        <v>42391</v>
      </c>
      <c r="G32">
        <v>3</v>
      </c>
      <c r="H32">
        <v>8</v>
      </c>
    </row>
    <row r="33" spans="1:8" x14ac:dyDescent="0.3">
      <c r="A33">
        <v>32</v>
      </c>
      <c r="B33">
        <v>1259</v>
      </c>
      <c r="C33" t="s">
        <v>5248</v>
      </c>
      <c r="D33" s="1">
        <v>42390</v>
      </c>
      <c r="E33" s="1">
        <v>42393</v>
      </c>
      <c r="F33" s="1">
        <v>42391</v>
      </c>
      <c r="G33">
        <v>1</v>
      </c>
      <c r="H33">
        <v>3</v>
      </c>
    </row>
    <row r="34" spans="1:8" x14ac:dyDescent="0.3">
      <c r="A34">
        <v>33</v>
      </c>
      <c r="B34">
        <v>236</v>
      </c>
      <c r="C34" t="s">
        <v>5248</v>
      </c>
      <c r="D34" s="1">
        <v>42390</v>
      </c>
      <c r="E34" s="1">
        <v>42391</v>
      </c>
      <c r="F34" s="1">
        <v>42391</v>
      </c>
      <c r="G34">
        <v>2</v>
      </c>
      <c r="H34">
        <v>6</v>
      </c>
    </row>
    <row r="35" spans="1:8" x14ac:dyDescent="0.3">
      <c r="A35">
        <v>34</v>
      </c>
      <c r="B35">
        <v>80</v>
      </c>
      <c r="C35" t="s">
        <v>5248</v>
      </c>
      <c r="D35" s="1">
        <v>42391</v>
      </c>
      <c r="E35" s="1">
        <v>42394</v>
      </c>
      <c r="F35" s="1">
        <v>42392</v>
      </c>
      <c r="G35">
        <v>2</v>
      </c>
      <c r="H35">
        <v>6</v>
      </c>
    </row>
    <row r="36" spans="1:8" x14ac:dyDescent="0.3">
      <c r="A36">
        <v>35</v>
      </c>
      <c r="B36">
        <v>813</v>
      </c>
      <c r="C36" t="s">
        <v>5248</v>
      </c>
      <c r="D36" s="1">
        <v>42391</v>
      </c>
      <c r="E36" s="1">
        <v>42394</v>
      </c>
      <c r="F36" s="1">
        <v>42393</v>
      </c>
      <c r="G36">
        <v>2</v>
      </c>
      <c r="H36">
        <v>7</v>
      </c>
    </row>
    <row r="37" spans="1:8" x14ac:dyDescent="0.3">
      <c r="A37">
        <v>36</v>
      </c>
      <c r="B37">
        <v>1321</v>
      </c>
      <c r="C37" t="s">
        <v>5248</v>
      </c>
      <c r="D37" s="1">
        <v>42392</v>
      </c>
      <c r="E37" s="1">
        <v>42393</v>
      </c>
      <c r="F37" s="1">
        <v>42393</v>
      </c>
      <c r="G37">
        <v>2</v>
      </c>
      <c r="H37">
        <v>6</v>
      </c>
    </row>
    <row r="38" spans="1:8" x14ac:dyDescent="0.3">
      <c r="A38">
        <v>37</v>
      </c>
      <c r="B38">
        <v>164</v>
      </c>
      <c r="C38" t="s">
        <v>5248</v>
      </c>
      <c r="D38" s="1">
        <v>42394</v>
      </c>
      <c r="E38" s="1">
        <v>42397</v>
      </c>
      <c r="F38" s="1">
        <v>42395</v>
      </c>
      <c r="G38">
        <v>2</v>
      </c>
      <c r="H38">
        <v>6</v>
      </c>
    </row>
    <row r="39" spans="1:8" x14ac:dyDescent="0.3">
      <c r="A39">
        <v>38</v>
      </c>
      <c r="B39">
        <v>583</v>
      </c>
      <c r="C39" t="s">
        <v>5248</v>
      </c>
      <c r="D39" s="1">
        <v>42394</v>
      </c>
      <c r="E39" s="1">
        <v>42396</v>
      </c>
      <c r="F39" s="1">
        <v>42395</v>
      </c>
      <c r="G39">
        <v>2</v>
      </c>
      <c r="H39">
        <v>7</v>
      </c>
    </row>
    <row r="40" spans="1:8" x14ac:dyDescent="0.3">
      <c r="A40">
        <v>39</v>
      </c>
      <c r="B40">
        <v>1296</v>
      </c>
      <c r="C40" t="s">
        <v>5248</v>
      </c>
      <c r="D40" s="1">
        <v>42394</v>
      </c>
      <c r="E40" s="1">
        <v>42395</v>
      </c>
      <c r="F40" s="1">
        <v>42395</v>
      </c>
      <c r="G40">
        <v>2</v>
      </c>
      <c r="H40">
        <v>7</v>
      </c>
    </row>
    <row r="41" spans="1:8" x14ac:dyDescent="0.3">
      <c r="A41">
        <v>40</v>
      </c>
      <c r="B41">
        <v>348</v>
      </c>
      <c r="C41" t="s">
        <v>5248</v>
      </c>
      <c r="D41" s="1">
        <v>42396</v>
      </c>
      <c r="E41" s="1">
        <v>42397</v>
      </c>
      <c r="F41" s="1">
        <v>42398</v>
      </c>
      <c r="G41">
        <v>1</v>
      </c>
      <c r="H41">
        <v>3</v>
      </c>
    </row>
    <row r="42" spans="1:8" x14ac:dyDescent="0.3">
      <c r="A42">
        <v>41</v>
      </c>
      <c r="B42">
        <v>979</v>
      </c>
      <c r="C42" t="s">
        <v>5248</v>
      </c>
      <c r="D42" s="1">
        <v>42396</v>
      </c>
      <c r="E42" s="1">
        <v>42399</v>
      </c>
      <c r="F42" s="1">
        <v>42398</v>
      </c>
      <c r="G42">
        <v>2</v>
      </c>
      <c r="H42">
        <v>6</v>
      </c>
    </row>
    <row r="43" spans="1:8" x14ac:dyDescent="0.3">
      <c r="A43">
        <v>42</v>
      </c>
      <c r="B43">
        <v>1095</v>
      </c>
      <c r="C43" t="s">
        <v>5248</v>
      </c>
      <c r="D43" s="1">
        <v>42396</v>
      </c>
      <c r="E43" s="1">
        <v>42397</v>
      </c>
      <c r="F43" s="1">
        <v>42399</v>
      </c>
      <c r="G43">
        <v>2</v>
      </c>
      <c r="H43">
        <v>7</v>
      </c>
    </row>
    <row r="44" spans="1:8" x14ac:dyDescent="0.3">
      <c r="A44">
        <v>43</v>
      </c>
      <c r="B44">
        <v>1434</v>
      </c>
      <c r="C44" t="s">
        <v>5248</v>
      </c>
      <c r="D44" s="1">
        <v>42396</v>
      </c>
      <c r="E44" s="1">
        <v>42397</v>
      </c>
      <c r="F44" s="1">
        <v>42399</v>
      </c>
      <c r="G44">
        <v>2</v>
      </c>
      <c r="H44">
        <v>7</v>
      </c>
    </row>
    <row r="45" spans="1:8" x14ac:dyDescent="0.3">
      <c r="A45">
        <v>44</v>
      </c>
      <c r="B45">
        <v>861</v>
      </c>
      <c r="C45" t="s">
        <v>5248</v>
      </c>
      <c r="D45" s="1">
        <v>42397</v>
      </c>
      <c r="E45" s="1">
        <v>42400</v>
      </c>
      <c r="F45" s="1">
        <v>42399</v>
      </c>
      <c r="G45">
        <v>2</v>
      </c>
      <c r="H45">
        <v>7</v>
      </c>
    </row>
    <row r="46" spans="1:8" x14ac:dyDescent="0.3">
      <c r="A46">
        <v>45</v>
      </c>
      <c r="B46">
        <v>1220</v>
      </c>
      <c r="C46" t="s">
        <v>5248</v>
      </c>
      <c r="D46" s="1">
        <v>42397</v>
      </c>
      <c r="E46" s="1">
        <v>42400</v>
      </c>
      <c r="F46" s="1">
        <v>42400</v>
      </c>
      <c r="G46">
        <v>2</v>
      </c>
      <c r="H46">
        <v>7</v>
      </c>
    </row>
    <row r="47" spans="1:8" x14ac:dyDescent="0.3">
      <c r="A47">
        <v>46</v>
      </c>
      <c r="B47">
        <v>746</v>
      </c>
      <c r="C47" t="s">
        <v>5248</v>
      </c>
      <c r="D47" s="1">
        <v>42398</v>
      </c>
      <c r="E47" s="1">
        <v>42400</v>
      </c>
      <c r="F47" s="1">
        <v>42400</v>
      </c>
      <c r="G47">
        <v>2</v>
      </c>
      <c r="H47">
        <v>7</v>
      </c>
    </row>
    <row r="48" spans="1:8" x14ac:dyDescent="0.3">
      <c r="A48">
        <v>47</v>
      </c>
      <c r="B48">
        <v>1234</v>
      </c>
      <c r="C48" t="s">
        <v>5248</v>
      </c>
      <c r="D48" s="1">
        <v>42398</v>
      </c>
      <c r="E48" s="1">
        <v>42399</v>
      </c>
      <c r="F48" s="1">
        <v>42400</v>
      </c>
      <c r="G48">
        <v>2</v>
      </c>
      <c r="H48">
        <v>7</v>
      </c>
    </row>
    <row r="49" spans="1:8" x14ac:dyDescent="0.3">
      <c r="A49">
        <v>48</v>
      </c>
      <c r="B49">
        <v>1012</v>
      </c>
      <c r="C49" t="s">
        <v>5248</v>
      </c>
      <c r="D49" s="1">
        <v>42399</v>
      </c>
      <c r="E49" s="1">
        <v>42401</v>
      </c>
      <c r="F49" s="1">
        <v>42402</v>
      </c>
      <c r="G49">
        <v>2</v>
      </c>
      <c r="H49">
        <v>7</v>
      </c>
    </row>
    <row r="50" spans="1:8" x14ac:dyDescent="0.3">
      <c r="A50">
        <v>49</v>
      </c>
      <c r="B50">
        <v>608</v>
      </c>
      <c r="C50" t="s">
        <v>5248</v>
      </c>
      <c r="D50" s="1">
        <v>42400</v>
      </c>
      <c r="E50" s="1">
        <v>42401</v>
      </c>
      <c r="F50" s="1">
        <v>42402</v>
      </c>
      <c r="G50">
        <v>2</v>
      </c>
      <c r="H50">
        <v>6</v>
      </c>
    </row>
    <row r="51" spans="1:8" x14ac:dyDescent="0.3">
      <c r="A51">
        <v>50</v>
      </c>
      <c r="B51">
        <v>872</v>
      </c>
      <c r="C51" t="s">
        <v>5248</v>
      </c>
      <c r="D51" s="1">
        <v>42400</v>
      </c>
      <c r="E51" s="1">
        <v>42403</v>
      </c>
      <c r="F51" s="1">
        <v>42402</v>
      </c>
      <c r="G51">
        <v>3</v>
      </c>
      <c r="H51">
        <v>8</v>
      </c>
    </row>
    <row r="52" spans="1:8" x14ac:dyDescent="0.3">
      <c r="A52">
        <v>51</v>
      </c>
      <c r="B52">
        <v>1047</v>
      </c>
      <c r="C52" t="s">
        <v>5248</v>
      </c>
      <c r="D52" s="1">
        <v>42401</v>
      </c>
      <c r="E52" s="1">
        <v>42402</v>
      </c>
      <c r="F52" s="1">
        <v>42403</v>
      </c>
      <c r="G52">
        <v>2</v>
      </c>
      <c r="H52">
        <v>7</v>
      </c>
    </row>
    <row r="53" spans="1:8" x14ac:dyDescent="0.3">
      <c r="A53">
        <v>52</v>
      </c>
      <c r="B53">
        <v>767</v>
      </c>
      <c r="C53" t="s">
        <v>5248</v>
      </c>
      <c r="D53" s="1">
        <v>42403</v>
      </c>
      <c r="E53" s="1">
        <v>42404</v>
      </c>
      <c r="F53" s="1">
        <v>42405</v>
      </c>
      <c r="G53">
        <v>1</v>
      </c>
      <c r="H53">
        <v>2</v>
      </c>
    </row>
    <row r="54" spans="1:8" x14ac:dyDescent="0.3">
      <c r="A54">
        <v>53</v>
      </c>
      <c r="B54">
        <v>965</v>
      </c>
      <c r="C54" t="s">
        <v>5248</v>
      </c>
      <c r="D54" s="1">
        <v>42403</v>
      </c>
      <c r="E54" s="1">
        <v>42404</v>
      </c>
      <c r="F54" s="1">
        <v>42405</v>
      </c>
      <c r="G54">
        <v>2</v>
      </c>
      <c r="H54">
        <v>6</v>
      </c>
    </row>
    <row r="55" spans="1:8" x14ac:dyDescent="0.3">
      <c r="A55">
        <v>54</v>
      </c>
      <c r="B55">
        <v>535</v>
      </c>
      <c r="C55" t="s">
        <v>5248</v>
      </c>
      <c r="D55" s="1">
        <v>42404</v>
      </c>
      <c r="E55" s="1">
        <v>42407</v>
      </c>
      <c r="F55" s="1">
        <v>42407</v>
      </c>
      <c r="G55">
        <v>2</v>
      </c>
      <c r="H55">
        <v>7</v>
      </c>
    </row>
    <row r="56" spans="1:8" x14ac:dyDescent="0.3">
      <c r="A56">
        <v>55</v>
      </c>
      <c r="B56">
        <v>1173</v>
      </c>
      <c r="C56" t="s">
        <v>5248</v>
      </c>
      <c r="D56" s="1">
        <v>42404</v>
      </c>
      <c r="E56" s="1">
        <v>42407</v>
      </c>
      <c r="F56" s="1">
        <v>42406</v>
      </c>
      <c r="G56">
        <v>2</v>
      </c>
      <c r="H56">
        <v>6</v>
      </c>
    </row>
    <row r="57" spans="1:8" x14ac:dyDescent="0.3">
      <c r="A57">
        <v>56</v>
      </c>
      <c r="B57">
        <v>1241</v>
      </c>
      <c r="C57" t="s">
        <v>5248</v>
      </c>
      <c r="D57" s="1">
        <v>42404</v>
      </c>
      <c r="E57" s="1">
        <v>42406</v>
      </c>
      <c r="F57" s="1">
        <v>42407</v>
      </c>
      <c r="G57">
        <v>2</v>
      </c>
      <c r="H57">
        <v>6</v>
      </c>
    </row>
    <row r="58" spans="1:8" x14ac:dyDescent="0.3">
      <c r="A58">
        <v>57</v>
      </c>
      <c r="B58">
        <v>1305</v>
      </c>
      <c r="C58" t="s">
        <v>5248</v>
      </c>
      <c r="D58" s="1">
        <v>42404</v>
      </c>
      <c r="E58" s="1">
        <v>42406</v>
      </c>
      <c r="F58" s="1">
        <v>42406</v>
      </c>
      <c r="G58">
        <v>2</v>
      </c>
      <c r="H58">
        <v>7</v>
      </c>
    </row>
    <row r="59" spans="1:8" x14ac:dyDescent="0.3">
      <c r="A59">
        <v>58</v>
      </c>
      <c r="B59">
        <v>504</v>
      </c>
      <c r="C59" t="s">
        <v>5248</v>
      </c>
      <c r="D59" s="1">
        <v>42405</v>
      </c>
      <c r="E59" s="1">
        <v>42407</v>
      </c>
      <c r="F59" s="1">
        <v>42407</v>
      </c>
      <c r="G59">
        <v>2</v>
      </c>
      <c r="H59">
        <v>6</v>
      </c>
    </row>
    <row r="60" spans="1:8" x14ac:dyDescent="0.3">
      <c r="A60">
        <v>59</v>
      </c>
      <c r="B60">
        <v>563</v>
      </c>
      <c r="C60" t="s">
        <v>5248</v>
      </c>
      <c r="D60" s="1">
        <v>42405</v>
      </c>
      <c r="E60" s="1">
        <v>42407</v>
      </c>
      <c r="F60" s="1">
        <v>42406</v>
      </c>
      <c r="G60">
        <v>2</v>
      </c>
      <c r="H60">
        <v>7</v>
      </c>
    </row>
    <row r="61" spans="1:8" x14ac:dyDescent="0.3">
      <c r="A61">
        <v>60</v>
      </c>
      <c r="B61">
        <v>151</v>
      </c>
      <c r="C61" t="s">
        <v>5248</v>
      </c>
      <c r="D61" s="1">
        <v>42406</v>
      </c>
      <c r="E61" s="1">
        <v>42408</v>
      </c>
      <c r="F61" s="1">
        <v>42407</v>
      </c>
      <c r="G61">
        <v>1</v>
      </c>
      <c r="H61">
        <v>3</v>
      </c>
    </row>
    <row r="62" spans="1:8" x14ac:dyDescent="0.3">
      <c r="A62">
        <v>61</v>
      </c>
      <c r="B62">
        <v>277</v>
      </c>
      <c r="C62" t="s">
        <v>5248</v>
      </c>
      <c r="D62" s="1">
        <v>42406</v>
      </c>
      <c r="E62" s="1">
        <v>42409</v>
      </c>
      <c r="F62" s="1">
        <v>42409</v>
      </c>
      <c r="G62">
        <v>2</v>
      </c>
      <c r="H62">
        <v>7</v>
      </c>
    </row>
    <row r="63" spans="1:8" x14ac:dyDescent="0.3">
      <c r="A63">
        <v>62</v>
      </c>
      <c r="B63">
        <v>208</v>
      </c>
      <c r="C63" t="s">
        <v>5248</v>
      </c>
      <c r="D63" s="1">
        <v>42407</v>
      </c>
      <c r="E63" s="1">
        <v>42410</v>
      </c>
      <c r="F63" s="1">
        <v>42410</v>
      </c>
      <c r="G63">
        <v>1</v>
      </c>
      <c r="H63">
        <v>2</v>
      </c>
    </row>
    <row r="64" spans="1:8" x14ac:dyDescent="0.3">
      <c r="A64">
        <v>63</v>
      </c>
      <c r="B64">
        <v>1075</v>
      </c>
      <c r="C64" t="s">
        <v>5248</v>
      </c>
      <c r="D64" s="1">
        <v>42407</v>
      </c>
      <c r="E64" s="1">
        <v>42409</v>
      </c>
      <c r="F64" s="1">
        <v>42409</v>
      </c>
      <c r="G64">
        <v>2</v>
      </c>
      <c r="H64">
        <v>7</v>
      </c>
    </row>
    <row r="65" spans="1:8" x14ac:dyDescent="0.3">
      <c r="A65">
        <v>64</v>
      </c>
      <c r="B65">
        <v>1185</v>
      </c>
      <c r="C65" t="s">
        <v>5248</v>
      </c>
      <c r="D65" s="1">
        <v>42407</v>
      </c>
      <c r="E65" s="1">
        <v>42408</v>
      </c>
      <c r="F65" s="1">
        <v>42409</v>
      </c>
      <c r="G65">
        <v>2</v>
      </c>
      <c r="H65">
        <v>6</v>
      </c>
    </row>
    <row r="66" spans="1:8" x14ac:dyDescent="0.3">
      <c r="A66">
        <v>65</v>
      </c>
      <c r="B66">
        <v>996</v>
      </c>
      <c r="C66" t="s">
        <v>5248</v>
      </c>
      <c r="D66" s="1">
        <v>42408</v>
      </c>
      <c r="E66" s="1">
        <v>42409</v>
      </c>
      <c r="F66" s="1">
        <v>42411</v>
      </c>
      <c r="G66">
        <v>2</v>
      </c>
      <c r="H66">
        <v>6</v>
      </c>
    </row>
    <row r="67" spans="1:8" x14ac:dyDescent="0.3">
      <c r="A67">
        <v>66</v>
      </c>
      <c r="B67">
        <v>1253</v>
      </c>
      <c r="C67" t="s">
        <v>5248</v>
      </c>
      <c r="D67" s="1">
        <v>42409</v>
      </c>
      <c r="E67" s="1">
        <v>42412</v>
      </c>
      <c r="F67" s="1">
        <v>42412</v>
      </c>
      <c r="G67">
        <v>2</v>
      </c>
      <c r="H67">
        <v>7</v>
      </c>
    </row>
    <row r="68" spans="1:8" x14ac:dyDescent="0.3">
      <c r="A68">
        <v>67</v>
      </c>
      <c r="B68">
        <v>526</v>
      </c>
      <c r="C68" t="s">
        <v>5248</v>
      </c>
      <c r="D68" s="1">
        <v>42409</v>
      </c>
      <c r="E68" s="1">
        <v>42411</v>
      </c>
      <c r="F68" s="1">
        <v>42410</v>
      </c>
      <c r="G68">
        <v>3</v>
      </c>
      <c r="H68">
        <v>8</v>
      </c>
    </row>
    <row r="69" spans="1:8" x14ac:dyDescent="0.3">
      <c r="A69">
        <v>68</v>
      </c>
      <c r="B69">
        <v>381</v>
      </c>
      <c r="C69" t="s">
        <v>5248</v>
      </c>
      <c r="D69" s="1">
        <v>42410</v>
      </c>
      <c r="E69" s="1">
        <v>42411</v>
      </c>
      <c r="F69" s="1">
        <v>42413</v>
      </c>
      <c r="G69">
        <v>2</v>
      </c>
      <c r="H69">
        <v>6</v>
      </c>
    </row>
    <row r="70" spans="1:8" x14ac:dyDescent="0.3">
      <c r="A70">
        <v>69</v>
      </c>
      <c r="B70">
        <v>1413</v>
      </c>
      <c r="C70" t="s">
        <v>5248</v>
      </c>
      <c r="D70" s="1">
        <v>42410</v>
      </c>
      <c r="E70" s="1">
        <v>42412</v>
      </c>
      <c r="F70" s="1">
        <v>42411</v>
      </c>
      <c r="G70">
        <v>2</v>
      </c>
      <c r="H70">
        <v>7</v>
      </c>
    </row>
    <row r="71" spans="1:8" x14ac:dyDescent="0.3">
      <c r="A71">
        <v>70</v>
      </c>
      <c r="B71">
        <v>50</v>
      </c>
      <c r="C71" t="s">
        <v>5249</v>
      </c>
      <c r="D71" s="1">
        <v>42411</v>
      </c>
      <c r="E71" s="1">
        <v>42411</v>
      </c>
      <c r="F71" s="1"/>
      <c r="G71">
        <v>3</v>
      </c>
      <c r="H71">
        <v>9</v>
      </c>
    </row>
    <row r="72" spans="1:8" x14ac:dyDescent="0.3">
      <c r="A72">
        <v>71</v>
      </c>
      <c r="B72">
        <v>797</v>
      </c>
      <c r="C72" t="s">
        <v>5248</v>
      </c>
      <c r="D72" s="1">
        <v>42411</v>
      </c>
      <c r="E72" s="1">
        <v>42414</v>
      </c>
      <c r="F72" s="1">
        <v>42412</v>
      </c>
      <c r="G72">
        <v>2</v>
      </c>
      <c r="H72">
        <v>7</v>
      </c>
    </row>
    <row r="73" spans="1:8" x14ac:dyDescent="0.3">
      <c r="A73">
        <v>72</v>
      </c>
      <c r="B73">
        <v>1386</v>
      </c>
      <c r="C73" t="s">
        <v>5248</v>
      </c>
      <c r="D73" s="1">
        <v>42412</v>
      </c>
      <c r="E73" s="1">
        <v>42415</v>
      </c>
      <c r="F73" s="1">
        <v>42413</v>
      </c>
      <c r="G73">
        <v>1</v>
      </c>
      <c r="H73">
        <v>2</v>
      </c>
    </row>
    <row r="74" spans="1:8" x14ac:dyDescent="0.3">
      <c r="A74">
        <v>73</v>
      </c>
      <c r="B74">
        <v>612</v>
      </c>
      <c r="C74" t="s">
        <v>5248</v>
      </c>
      <c r="D74" s="1">
        <v>42412</v>
      </c>
      <c r="E74" s="1">
        <v>42415</v>
      </c>
      <c r="F74" s="1">
        <v>42414</v>
      </c>
      <c r="G74">
        <v>2</v>
      </c>
      <c r="H74">
        <v>7</v>
      </c>
    </row>
    <row r="75" spans="1:8" x14ac:dyDescent="0.3">
      <c r="A75">
        <v>74</v>
      </c>
      <c r="B75">
        <v>264</v>
      </c>
      <c r="C75" t="s">
        <v>5248</v>
      </c>
      <c r="D75" s="1">
        <v>42413</v>
      </c>
      <c r="E75" s="1">
        <v>42415</v>
      </c>
      <c r="F75" s="1">
        <v>42415</v>
      </c>
      <c r="G75">
        <v>2</v>
      </c>
      <c r="H75">
        <v>7</v>
      </c>
    </row>
    <row r="76" spans="1:8" x14ac:dyDescent="0.3">
      <c r="A76">
        <v>75</v>
      </c>
      <c r="B76">
        <v>587</v>
      </c>
      <c r="C76" t="s">
        <v>5248</v>
      </c>
      <c r="D76" s="1">
        <v>42414</v>
      </c>
      <c r="E76" s="1">
        <v>42415</v>
      </c>
      <c r="F76" s="1">
        <v>42417</v>
      </c>
      <c r="G76">
        <v>2</v>
      </c>
      <c r="H76">
        <v>6</v>
      </c>
    </row>
    <row r="77" spans="1:8" x14ac:dyDescent="0.3">
      <c r="A77">
        <v>76</v>
      </c>
      <c r="B77">
        <v>9</v>
      </c>
      <c r="C77" t="s">
        <v>5249</v>
      </c>
      <c r="D77" s="1">
        <v>42416</v>
      </c>
      <c r="E77" s="1">
        <v>42416</v>
      </c>
      <c r="F77" s="1"/>
      <c r="G77">
        <v>2</v>
      </c>
      <c r="H77">
        <v>6</v>
      </c>
    </row>
    <row r="78" spans="1:8" x14ac:dyDescent="0.3">
      <c r="A78">
        <v>77</v>
      </c>
      <c r="B78">
        <v>385</v>
      </c>
      <c r="C78" t="s">
        <v>5248</v>
      </c>
      <c r="D78" s="1">
        <v>42416</v>
      </c>
      <c r="E78" s="1">
        <v>42419</v>
      </c>
      <c r="F78" s="1">
        <v>42419</v>
      </c>
      <c r="G78">
        <v>1</v>
      </c>
      <c r="H78">
        <v>2</v>
      </c>
    </row>
    <row r="79" spans="1:8" x14ac:dyDescent="0.3">
      <c r="A79">
        <v>78</v>
      </c>
      <c r="B79">
        <v>1182</v>
      </c>
      <c r="C79" t="s">
        <v>5248</v>
      </c>
      <c r="D79" s="1">
        <v>42416</v>
      </c>
      <c r="E79" s="1">
        <v>42418</v>
      </c>
      <c r="F79" s="1">
        <v>42419</v>
      </c>
      <c r="G79">
        <v>2</v>
      </c>
      <c r="H79">
        <v>7</v>
      </c>
    </row>
    <row r="80" spans="1:8" x14ac:dyDescent="0.3">
      <c r="A80">
        <v>79</v>
      </c>
      <c r="B80">
        <v>529</v>
      </c>
      <c r="C80" t="s">
        <v>5248</v>
      </c>
      <c r="D80" s="1">
        <v>42417</v>
      </c>
      <c r="E80" s="1">
        <v>42420</v>
      </c>
      <c r="F80" s="1">
        <v>42420</v>
      </c>
      <c r="G80">
        <v>1</v>
      </c>
      <c r="H80">
        <v>3</v>
      </c>
    </row>
    <row r="81" spans="1:8" x14ac:dyDescent="0.3">
      <c r="A81">
        <v>80</v>
      </c>
      <c r="B81">
        <v>397</v>
      </c>
      <c r="C81" t="s">
        <v>5248</v>
      </c>
      <c r="D81" s="1">
        <v>42417</v>
      </c>
      <c r="E81" s="1">
        <v>42420</v>
      </c>
      <c r="F81" s="1">
        <v>42419</v>
      </c>
      <c r="G81">
        <v>2</v>
      </c>
      <c r="H81">
        <v>6</v>
      </c>
    </row>
    <row r="82" spans="1:8" x14ac:dyDescent="0.3">
      <c r="A82">
        <v>81</v>
      </c>
      <c r="B82">
        <v>521</v>
      </c>
      <c r="C82" t="s">
        <v>5248</v>
      </c>
      <c r="D82" s="1">
        <v>42417</v>
      </c>
      <c r="E82" s="1">
        <v>42419</v>
      </c>
      <c r="F82" s="1">
        <v>42418</v>
      </c>
      <c r="G82">
        <v>2</v>
      </c>
      <c r="H82">
        <v>6</v>
      </c>
    </row>
    <row r="83" spans="1:8" x14ac:dyDescent="0.3">
      <c r="A83">
        <v>82</v>
      </c>
      <c r="B83">
        <v>1223</v>
      </c>
      <c r="C83" t="s">
        <v>5248</v>
      </c>
      <c r="D83" s="1">
        <v>42418</v>
      </c>
      <c r="E83" s="1">
        <v>42421</v>
      </c>
      <c r="F83" s="1">
        <v>42420</v>
      </c>
      <c r="G83">
        <v>2</v>
      </c>
      <c r="H83">
        <v>6</v>
      </c>
    </row>
    <row r="84" spans="1:8" x14ac:dyDescent="0.3">
      <c r="A84">
        <v>83</v>
      </c>
      <c r="B84">
        <v>393</v>
      </c>
      <c r="C84" t="s">
        <v>5248</v>
      </c>
      <c r="D84" s="1">
        <v>42419</v>
      </c>
      <c r="E84" s="1">
        <v>42420</v>
      </c>
      <c r="F84" s="1">
        <v>42420</v>
      </c>
      <c r="G84">
        <v>1</v>
      </c>
      <c r="H84">
        <v>3</v>
      </c>
    </row>
    <row r="85" spans="1:8" x14ac:dyDescent="0.3">
      <c r="A85">
        <v>84</v>
      </c>
      <c r="B85">
        <v>317</v>
      </c>
      <c r="C85" t="s">
        <v>5248</v>
      </c>
      <c r="D85" s="1">
        <v>42420</v>
      </c>
      <c r="E85" s="1">
        <v>42422</v>
      </c>
      <c r="F85" s="1">
        <v>42421</v>
      </c>
      <c r="G85">
        <v>2</v>
      </c>
      <c r="H85">
        <v>7</v>
      </c>
    </row>
    <row r="86" spans="1:8" x14ac:dyDescent="0.3">
      <c r="A86">
        <v>85</v>
      </c>
      <c r="B86">
        <v>1174</v>
      </c>
      <c r="C86" t="s">
        <v>5248</v>
      </c>
      <c r="D86" s="1">
        <v>42420</v>
      </c>
      <c r="E86" s="1">
        <v>42423</v>
      </c>
      <c r="F86" s="1">
        <v>42421</v>
      </c>
      <c r="G86">
        <v>2</v>
      </c>
      <c r="H86">
        <v>7</v>
      </c>
    </row>
    <row r="87" spans="1:8" x14ac:dyDescent="0.3">
      <c r="A87">
        <v>86</v>
      </c>
      <c r="B87">
        <v>276</v>
      </c>
      <c r="C87" t="s">
        <v>5248</v>
      </c>
      <c r="D87" s="1">
        <v>42421</v>
      </c>
      <c r="E87" s="1">
        <v>42422</v>
      </c>
      <c r="F87" s="1">
        <v>42423</v>
      </c>
      <c r="G87">
        <v>2</v>
      </c>
      <c r="H87">
        <v>7</v>
      </c>
    </row>
    <row r="88" spans="1:8" x14ac:dyDescent="0.3">
      <c r="A88">
        <v>87</v>
      </c>
      <c r="B88">
        <v>516</v>
      </c>
      <c r="C88" t="s">
        <v>5248</v>
      </c>
      <c r="D88" s="1">
        <v>42421</v>
      </c>
      <c r="E88" s="1">
        <v>42422</v>
      </c>
      <c r="F88" s="1">
        <v>42423</v>
      </c>
      <c r="G88">
        <v>2</v>
      </c>
      <c r="H88">
        <v>6</v>
      </c>
    </row>
    <row r="89" spans="1:8" x14ac:dyDescent="0.3">
      <c r="A89">
        <v>88</v>
      </c>
      <c r="B89">
        <v>1069</v>
      </c>
      <c r="C89" t="s">
        <v>5248</v>
      </c>
      <c r="D89" s="1">
        <v>42421</v>
      </c>
      <c r="E89" s="1">
        <v>42422</v>
      </c>
      <c r="F89" s="1">
        <v>42423</v>
      </c>
      <c r="G89">
        <v>2</v>
      </c>
      <c r="H89">
        <v>6</v>
      </c>
    </row>
    <row r="90" spans="1:8" x14ac:dyDescent="0.3">
      <c r="A90">
        <v>89</v>
      </c>
      <c r="B90">
        <v>668</v>
      </c>
      <c r="C90" t="s">
        <v>5248</v>
      </c>
      <c r="D90" s="1">
        <v>42421</v>
      </c>
      <c r="E90" s="1">
        <v>42424</v>
      </c>
      <c r="F90" s="1">
        <v>42424</v>
      </c>
      <c r="G90">
        <v>3</v>
      </c>
      <c r="H90">
        <v>8</v>
      </c>
    </row>
    <row r="91" spans="1:8" x14ac:dyDescent="0.3">
      <c r="A91">
        <v>90</v>
      </c>
      <c r="B91">
        <v>414</v>
      </c>
      <c r="C91" t="s">
        <v>5248</v>
      </c>
      <c r="D91" s="1">
        <v>42423</v>
      </c>
      <c r="E91" s="1">
        <v>42425</v>
      </c>
      <c r="F91" s="1">
        <v>42424</v>
      </c>
      <c r="G91">
        <v>2</v>
      </c>
      <c r="H91">
        <v>7</v>
      </c>
    </row>
    <row r="92" spans="1:8" x14ac:dyDescent="0.3">
      <c r="A92">
        <v>91</v>
      </c>
      <c r="B92">
        <v>648</v>
      </c>
      <c r="C92" t="s">
        <v>5248</v>
      </c>
      <c r="D92" s="1">
        <v>42425</v>
      </c>
      <c r="E92" s="1">
        <v>42427</v>
      </c>
      <c r="F92" s="1">
        <v>42428</v>
      </c>
      <c r="G92">
        <v>1</v>
      </c>
      <c r="H92">
        <v>2</v>
      </c>
    </row>
    <row r="93" spans="1:8" x14ac:dyDescent="0.3">
      <c r="A93">
        <v>92</v>
      </c>
      <c r="B93">
        <v>1309</v>
      </c>
      <c r="C93" t="s">
        <v>5248</v>
      </c>
      <c r="D93" s="1">
        <v>42425</v>
      </c>
      <c r="E93" s="1">
        <v>42428</v>
      </c>
      <c r="F93" s="1">
        <v>42428</v>
      </c>
      <c r="G93">
        <v>2</v>
      </c>
      <c r="H93">
        <v>7</v>
      </c>
    </row>
    <row r="94" spans="1:8" x14ac:dyDescent="0.3">
      <c r="A94">
        <v>93</v>
      </c>
      <c r="B94">
        <v>1328</v>
      </c>
      <c r="C94" t="s">
        <v>5248</v>
      </c>
      <c r="D94" s="1">
        <v>42426</v>
      </c>
      <c r="E94" s="1">
        <v>42428</v>
      </c>
      <c r="F94" s="1">
        <v>42427</v>
      </c>
      <c r="G94">
        <v>1</v>
      </c>
      <c r="H94">
        <v>3</v>
      </c>
    </row>
    <row r="95" spans="1:8" x14ac:dyDescent="0.3">
      <c r="A95">
        <v>94</v>
      </c>
      <c r="B95">
        <v>929</v>
      </c>
      <c r="C95" t="s">
        <v>5248</v>
      </c>
      <c r="D95" s="1">
        <v>42427</v>
      </c>
      <c r="E95" s="1">
        <v>42428</v>
      </c>
      <c r="F95" s="1">
        <v>42429</v>
      </c>
      <c r="G95">
        <v>1</v>
      </c>
      <c r="H95">
        <v>2</v>
      </c>
    </row>
    <row r="96" spans="1:8" x14ac:dyDescent="0.3">
      <c r="A96">
        <v>95</v>
      </c>
      <c r="B96">
        <v>218</v>
      </c>
      <c r="C96" t="s">
        <v>5248</v>
      </c>
      <c r="D96" s="1">
        <v>42427</v>
      </c>
      <c r="E96" s="1">
        <v>42429</v>
      </c>
      <c r="F96" s="1">
        <v>42428</v>
      </c>
      <c r="G96">
        <v>2</v>
      </c>
      <c r="H96">
        <v>7</v>
      </c>
    </row>
    <row r="97" spans="1:8" x14ac:dyDescent="0.3">
      <c r="A97">
        <v>96</v>
      </c>
      <c r="B97">
        <v>1094</v>
      </c>
      <c r="C97" t="s">
        <v>5248</v>
      </c>
      <c r="D97" s="1">
        <v>42427</v>
      </c>
      <c r="E97" s="1">
        <v>42429</v>
      </c>
      <c r="F97" s="1">
        <v>42428</v>
      </c>
      <c r="G97">
        <v>2</v>
      </c>
      <c r="H97">
        <v>7</v>
      </c>
    </row>
    <row r="98" spans="1:8" x14ac:dyDescent="0.3">
      <c r="A98">
        <v>97</v>
      </c>
      <c r="B98">
        <v>204</v>
      </c>
      <c r="C98" t="s">
        <v>5248</v>
      </c>
      <c r="D98" s="1">
        <v>42428</v>
      </c>
      <c r="E98" s="1">
        <v>42429</v>
      </c>
      <c r="F98" s="1">
        <v>42430</v>
      </c>
      <c r="G98">
        <v>2</v>
      </c>
      <c r="H98">
        <v>7</v>
      </c>
    </row>
    <row r="99" spans="1:8" x14ac:dyDescent="0.3">
      <c r="A99">
        <v>98</v>
      </c>
      <c r="B99">
        <v>1194</v>
      </c>
      <c r="C99" t="s">
        <v>5248</v>
      </c>
      <c r="D99" s="1">
        <v>42428</v>
      </c>
      <c r="E99" s="1">
        <v>42429</v>
      </c>
      <c r="F99" s="1">
        <v>42429</v>
      </c>
      <c r="G99">
        <v>2</v>
      </c>
      <c r="H99">
        <v>6</v>
      </c>
    </row>
    <row r="100" spans="1:8" x14ac:dyDescent="0.3">
      <c r="A100">
        <v>99</v>
      </c>
      <c r="B100">
        <v>1165</v>
      </c>
      <c r="C100" t="s">
        <v>5248</v>
      </c>
      <c r="D100" s="1">
        <v>42429</v>
      </c>
      <c r="E100" s="1">
        <v>42430</v>
      </c>
      <c r="F100" s="1">
        <v>42432</v>
      </c>
      <c r="G100">
        <v>3</v>
      </c>
      <c r="H100">
        <v>9</v>
      </c>
    </row>
    <row r="101" spans="1:8" x14ac:dyDescent="0.3">
      <c r="A101">
        <v>100</v>
      </c>
      <c r="B101">
        <v>1237</v>
      </c>
      <c r="C101" t="s">
        <v>5248</v>
      </c>
      <c r="D101" s="1">
        <v>42430</v>
      </c>
      <c r="E101" s="1">
        <v>42433</v>
      </c>
      <c r="F101" s="1">
        <v>42432</v>
      </c>
      <c r="G101">
        <v>2</v>
      </c>
      <c r="H101">
        <v>7</v>
      </c>
    </row>
    <row r="102" spans="1:8" x14ac:dyDescent="0.3">
      <c r="A102">
        <v>101</v>
      </c>
      <c r="B102">
        <v>271</v>
      </c>
      <c r="C102" t="s">
        <v>5248</v>
      </c>
      <c r="D102" s="1">
        <v>42430</v>
      </c>
      <c r="E102" s="1">
        <v>42433</v>
      </c>
      <c r="F102" s="1">
        <v>42433</v>
      </c>
      <c r="G102">
        <v>3</v>
      </c>
      <c r="H102">
        <v>8</v>
      </c>
    </row>
    <row r="103" spans="1:8" x14ac:dyDescent="0.3">
      <c r="A103">
        <v>102</v>
      </c>
      <c r="B103">
        <v>336</v>
      </c>
      <c r="C103" t="s">
        <v>5248</v>
      </c>
      <c r="D103" s="1">
        <v>42431</v>
      </c>
      <c r="E103" s="1">
        <v>42434</v>
      </c>
      <c r="F103" s="1">
        <v>42432</v>
      </c>
      <c r="G103">
        <v>2</v>
      </c>
      <c r="H103">
        <v>7</v>
      </c>
    </row>
    <row r="104" spans="1:8" x14ac:dyDescent="0.3">
      <c r="A104">
        <v>103</v>
      </c>
      <c r="B104">
        <v>991</v>
      </c>
      <c r="C104" t="s">
        <v>5248</v>
      </c>
      <c r="D104" s="1">
        <v>42432</v>
      </c>
      <c r="E104" s="1">
        <v>42435</v>
      </c>
      <c r="F104" s="1">
        <v>42434</v>
      </c>
      <c r="G104">
        <v>1</v>
      </c>
      <c r="H104">
        <v>2</v>
      </c>
    </row>
    <row r="105" spans="1:8" x14ac:dyDescent="0.3">
      <c r="A105">
        <v>104</v>
      </c>
      <c r="B105">
        <v>7</v>
      </c>
      <c r="C105" t="s">
        <v>5248</v>
      </c>
      <c r="D105" s="1">
        <v>42432</v>
      </c>
      <c r="E105" s="1">
        <v>42434</v>
      </c>
      <c r="F105" s="1">
        <v>42434</v>
      </c>
      <c r="G105">
        <v>2</v>
      </c>
      <c r="H105">
        <v>7</v>
      </c>
    </row>
    <row r="106" spans="1:8" x14ac:dyDescent="0.3">
      <c r="A106">
        <v>105</v>
      </c>
      <c r="B106">
        <v>306</v>
      </c>
      <c r="C106" t="s">
        <v>5248</v>
      </c>
      <c r="D106" s="1">
        <v>42432</v>
      </c>
      <c r="E106" s="1">
        <v>42434</v>
      </c>
      <c r="F106" s="1">
        <v>42433</v>
      </c>
      <c r="G106">
        <v>2</v>
      </c>
      <c r="H106">
        <v>7</v>
      </c>
    </row>
    <row r="107" spans="1:8" x14ac:dyDescent="0.3">
      <c r="A107">
        <v>106</v>
      </c>
      <c r="B107">
        <v>422</v>
      </c>
      <c r="C107" t="s">
        <v>5248</v>
      </c>
      <c r="D107" s="1">
        <v>42433</v>
      </c>
      <c r="E107" s="1">
        <v>42434</v>
      </c>
      <c r="F107" s="1">
        <v>42434</v>
      </c>
      <c r="G107">
        <v>3</v>
      </c>
      <c r="H107">
        <v>9</v>
      </c>
    </row>
    <row r="108" spans="1:8" x14ac:dyDescent="0.3">
      <c r="A108">
        <v>107</v>
      </c>
      <c r="B108">
        <v>633</v>
      </c>
      <c r="C108" t="s">
        <v>5248</v>
      </c>
      <c r="D108" s="1">
        <v>42435</v>
      </c>
      <c r="E108" s="1">
        <v>42438</v>
      </c>
      <c r="F108" s="1">
        <v>42438</v>
      </c>
      <c r="G108">
        <v>1</v>
      </c>
      <c r="H108">
        <v>2</v>
      </c>
    </row>
    <row r="109" spans="1:8" x14ac:dyDescent="0.3">
      <c r="A109">
        <v>108</v>
      </c>
      <c r="B109">
        <v>12</v>
      </c>
      <c r="C109" t="s">
        <v>5248</v>
      </c>
      <c r="D109" s="1">
        <v>42435</v>
      </c>
      <c r="E109" s="1">
        <v>42438</v>
      </c>
      <c r="F109" s="1">
        <v>42436</v>
      </c>
      <c r="G109">
        <v>2</v>
      </c>
      <c r="H109">
        <v>6</v>
      </c>
    </row>
    <row r="110" spans="1:8" x14ac:dyDescent="0.3">
      <c r="A110">
        <v>109</v>
      </c>
      <c r="B110">
        <v>1255</v>
      </c>
      <c r="C110" t="s">
        <v>5248</v>
      </c>
      <c r="D110" s="1">
        <v>42435</v>
      </c>
      <c r="E110" s="1">
        <v>42438</v>
      </c>
      <c r="F110" s="1">
        <v>42438</v>
      </c>
      <c r="G110">
        <v>2</v>
      </c>
      <c r="H110">
        <v>6</v>
      </c>
    </row>
    <row r="111" spans="1:8" x14ac:dyDescent="0.3">
      <c r="A111">
        <v>110</v>
      </c>
      <c r="B111">
        <v>677</v>
      </c>
      <c r="C111" t="s">
        <v>5248</v>
      </c>
      <c r="D111" s="1">
        <v>42435</v>
      </c>
      <c r="E111" s="1">
        <v>42437</v>
      </c>
      <c r="F111" s="1">
        <v>42438</v>
      </c>
      <c r="G111">
        <v>3</v>
      </c>
      <c r="H111">
        <v>9</v>
      </c>
    </row>
    <row r="112" spans="1:8" x14ac:dyDescent="0.3">
      <c r="A112">
        <v>111</v>
      </c>
      <c r="B112">
        <v>630</v>
      </c>
      <c r="C112" t="s">
        <v>5248</v>
      </c>
      <c r="D112" s="1">
        <v>42436</v>
      </c>
      <c r="E112" s="1">
        <v>42439</v>
      </c>
      <c r="F112" s="1">
        <v>42439</v>
      </c>
      <c r="G112">
        <v>2</v>
      </c>
      <c r="H112">
        <v>6</v>
      </c>
    </row>
    <row r="113" spans="1:8" x14ac:dyDescent="0.3">
      <c r="A113">
        <v>112</v>
      </c>
      <c r="B113">
        <v>469</v>
      </c>
      <c r="C113" t="s">
        <v>5248</v>
      </c>
      <c r="D113" s="1">
        <v>42437</v>
      </c>
      <c r="E113" s="1">
        <v>42440</v>
      </c>
      <c r="F113" s="1">
        <v>42439</v>
      </c>
      <c r="G113">
        <v>2</v>
      </c>
      <c r="H113">
        <v>6</v>
      </c>
    </row>
    <row r="114" spans="1:8" x14ac:dyDescent="0.3">
      <c r="A114">
        <v>113</v>
      </c>
      <c r="B114">
        <v>1078</v>
      </c>
      <c r="C114" t="s">
        <v>5248</v>
      </c>
      <c r="D114" s="1">
        <v>42437</v>
      </c>
      <c r="E114" s="1">
        <v>42440</v>
      </c>
      <c r="F114" s="1">
        <v>42440</v>
      </c>
      <c r="G114">
        <v>2</v>
      </c>
      <c r="H114">
        <v>6</v>
      </c>
    </row>
    <row r="115" spans="1:8" x14ac:dyDescent="0.3">
      <c r="A115">
        <v>114</v>
      </c>
      <c r="B115">
        <v>1431</v>
      </c>
      <c r="C115" t="s">
        <v>5248</v>
      </c>
      <c r="D115" s="1">
        <v>42437</v>
      </c>
      <c r="E115" s="1">
        <v>42439</v>
      </c>
      <c r="F115" s="1">
        <v>42440</v>
      </c>
      <c r="G115">
        <v>2</v>
      </c>
      <c r="H115">
        <v>7</v>
      </c>
    </row>
    <row r="116" spans="1:8" x14ac:dyDescent="0.3">
      <c r="A116">
        <v>115</v>
      </c>
      <c r="B116">
        <v>1369</v>
      </c>
      <c r="C116" t="s">
        <v>5248</v>
      </c>
      <c r="D116" s="1">
        <v>42438</v>
      </c>
      <c r="E116" s="1">
        <v>42440</v>
      </c>
      <c r="F116" s="1">
        <v>42440</v>
      </c>
      <c r="G116">
        <v>2</v>
      </c>
      <c r="H116">
        <v>7</v>
      </c>
    </row>
    <row r="117" spans="1:8" x14ac:dyDescent="0.3">
      <c r="A117">
        <v>116</v>
      </c>
      <c r="B117">
        <v>471</v>
      </c>
      <c r="C117" t="s">
        <v>5248</v>
      </c>
      <c r="D117" s="1">
        <v>42439</v>
      </c>
      <c r="E117" s="1">
        <v>42440</v>
      </c>
      <c r="F117" s="1">
        <v>42440</v>
      </c>
      <c r="G117">
        <v>2</v>
      </c>
      <c r="H117">
        <v>7</v>
      </c>
    </row>
    <row r="118" spans="1:8" x14ac:dyDescent="0.3">
      <c r="A118">
        <v>117</v>
      </c>
      <c r="B118">
        <v>740</v>
      </c>
      <c r="C118" t="s">
        <v>5248</v>
      </c>
      <c r="D118" s="1">
        <v>42439</v>
      </c>
      <c r="E118" s="1">
        <v>42442</v>
      </c>
      <c r="F118" s="1">
        <v>42440</v>
      </c>
      <c r="G118">
        <v>2</v>
      </c>
      <c r="H118">
        <v>6</v>
      </c>
    </row>
    <row r="119" spans="1:8" x14ac:dyDescent="0.3">
      <c r="A119">
        <v>118</v>
      </c>
      <c r="B119">
        <v>577</v>
      </c>
      <c r="C119" t="s">
        <v>5248</v>
      </c>
      <c r="D119" s="1">
        <v>42441</v>
      </c>
      <c r="E119" s="1">
        <v>42443</v>
      </c>
      <c r="F119" s="1">
        <v>42442</v>
      </c>
      <c r="G119">
        <v>1</v>
      </c>
      <c r="H119">
        <v>2</v>
      </c>
    </row>
    <row r="120" spans="1:8" x14ac:dyDescent="0.3">
      <c r="A120">
        <v>119</v>
      </c>
      <c r="B120">
        <v>925</v>
      </c>
      <c r="C120" t="s">
        <v>5248</v>
      </c>
      <c r="D120" s="1">
        <v>42441</v>
      </c>
      <c r="E120" s="1">
        <v>42443</v>
      </c>
      <c r="F120" s="1">
        <v>42443</v>
      </c>
      <c r="G120">
        <v>2</v>
      </c>
      <c r="H120">
        <v>7</v>
      </c>
    </row>
    <row r="121" spans="1:8" x14ac:dyDescent="0.3">
      <c r="A121">
        <v>120</v>
      </c>
      <c r="B121">
        <v>327</v>
      </c>
      <c r="C121" t="s">
        <v>5248</v>
      </c>
      <c r="D121" s="1">
        <v>42443</v>
      </c>
      <c r="E121" s="1">
        <v>42444</v>
      </c>
      <c r="F121" s="1">
        <v>42446</v>
      </c>
      <c r="G121">
        <v>2</v>
      </c>
      <c r="H121">
        <v>7</v>
      </c>
    </row>
    <row r="122" spans="1:8" x14ac:dyDescent="0.3">
      <c r="A122">
        <v>121</v>
      </c>
      <c r="B122">
        <v>755</v>
      </c>
      <c r="C122" t="s">
        <v>5248</v>
      </c>
      <c r="D122" s="1">
        <v>42443</v>
      </c>
      <c r="E122" s="1">
        <v>42444</v>
      </c>
      <c r="F122" s="1">
        <v>42445</v>
      </c>
      <c r="G122">
        <v>2</v>
      </c>
      <c r="H122">
        <v>6</v>
      </c>
    </row>
    <row r="123" spans="1:8" x14ac:dyDescent="0.3">
      <c r="A123">
        <v>122</v>
      </c>
      <c r="B123">
        <v>786</v>
      </c>
      <c r="C123" t="s">
        <v>5248</v>
      </c>
      <c r="D123" s="1">
        <v>42443</v>
      </c>
      <c r="E123" s="1">
        <v>42445</v>
      </c>
      <c r="F123" s="1">
        <v>42444</v>
      </c>
      <c r="G123">
        <v>2</v>
      </c>
      <c r="H123">
        <v>6</v>
      </c>
    </row>
    <row r="124" spans="1:8" x14ac:dyDescent="0.3">
      <c r="A124">
        <v>123</v>
      </c>
      <c r="B124">
        <v>766</v>
      </c>
      <c r="C124" t="s">
        <v>5248</v>
      </c>
      <c r="D124" s="1">
        <v>42444</v>
      </c>
      <c r="E124" s="1">
        <v>42447</v>
      </c>
      <c r="F124" s="1">
        <v>42446</v>
      </c>
      <c r="G124">
        <v>2</v>
      </c>
      <c r="H124">
        <v>6</v>
      </c>
    </row>
    <row r="125" spans="1:8" x14ac:dyDescent="0.3">
      <c r="A125">
        <v>124</v>
      </c>
      <c r="B125">
        <v>403</v>
      </c>
      <c r="C125" t="s">
        <v>5248</v>
      </c>
      <c r="D125" s="1">
        <v>42445</v>
      </c>
      <c r="E125" s="1">
        <v>42447</v>
      </c>
      <c r="F125" s="1">
        <v>42446</v>
      </c>
      <c r="G125">
        <v>1</v>
      </c>
      <c r="H125">
        <v>3</v>
      </c>
    </row>
    <row r="126" spans="1:8" x14ac:dyDescent="0.3">
      <c r="A126">
        <v>125</v>
      </c>
      <c r="B126">
        <v>685</v>
      </c>
      <c r="C126" t="s">
        <v>5248</v>
      </c>
      <c r="D126" s="1">
        <v>42445</v>
      </c>
      <c r="E126" s="1">
        <v>42448</v>
      </c>
      <c r="F126" s="1">
        <v>42446</v>
      </c>
      <c r="G126">
        <v>2</v>
      </c>
      <c r="H126">
        <v>6</v>
      </c>
    </row>
    <row r="127" spans="1:8" x14ac:dyDescent="0.3">
      <c r="A127">
        <v>126</v>
      </c>
      <c r="B127">
        <v>1365</v>
      </c>
      <c r="C127" t="s">
        <v>5248</v>
      </c>
      <c r="D127" s="1">
        <v>42445</v>
      </c>
      <c r="E127" s="1">
        <v>42447</v>
      </c>
      <c r="F127" s="1">
        <v>42447</v>
      </c>
      <c r="G127">
        <v>2</v>
      </c>
      <c r="H127">
        <v>7</v>
      </c>
    </row>
    <row r="128" spans="1:8" x14ac:dyDescent="0.3">
      <c r="A128">
        <v>127</v>
      </c>
      <c r="B128">
        <v>484</v>
      </c>
      <c r="C128" t="s">
        <v>5248</v>
      </c>
      <c r="D128" s="1">
        <v>42446</v>
      </c>
      <c r="E128" s="1">
        <v>42447</v>
      </c>
      <c r="F128" s="1">
        <v>42448</v>
      </c>
      <c r="G128">
        <v>3</v>
      </c>
      <c r="H128">
        <v>8</v>
      </c>
    </row>
    <row r="129" spans="1:8" x14ac:dyDescent="0.3">
      <c r="A129">
        <v>128</v>
      </c>
      <c r="B129">
        <v>86</v>
      </c>
      <c r="C129" t="s">
        <v>5248</v>
      </c>
      <c r="D129" s="1">
        <v>42447</v>
      </c>
      <c r="E129" s="1">
        <v>42449</v>
      </c>
      <c r="F129" s="1">
        <v>42450</v>
      </c>
      <c r="G129">
        <v>2</v>
      </c>
      <c r="H129">
        <v>6</v>
      </c>
    </row>
    <row r="130" spans="1:8" x14ac:dyDescent="0.3">
      <c r="A130">
        <v>129</v>
      </c>
      <c r="B130">
        <v>84</v>
      </c>
      <c r="C130" t="s">
        <v>5248</v>
      </c>
      <c r="D130" s="1">
        <v>42448</v>
      </c>
      <c r="E130" s="1">
        <v>42450</v>
      </c>
      <c r="F130" s="1">
        <v>42450</v>
      </c>
      <c r="G130">
        <v>2</v>
      </c>
      <c r="H130">
        <v>7</v>
      </c>
    </row>
    <row r="131" spans="1:8" x14ac:dyDescent="0.3">
      <c r="A131">
        <v>130</v>
      </c>
      <c r="B131">
        <v>1049</v>
      </c>
      <c r="C131" t="s">
        <v>5248</v>
      </c>
      <c r="D131" s="1">
        <v>42448</v>
      </c>
      <c r="E131" s="1">
        <v>42451</v>
      </c>
      <c r="F131" s="1">
        <v>42449</v>
      </c>
      <c r="G131">
        <v>2</v>
      </c>
      <c r="H131">
        <v>6</v>
      </c>
    </row>
    <row r="132" spans="1:8" x14ac:dyDescent="0.3">
      <c r="A132">
        <v>131</v>
      </c>
      <c r="B132">
        <v>316</v>
      </c>
      <c r="C132" t="s">
        <v>5248</v>
      </c>
      <c r="D132" s="1">
        <v>42448</v>
      </c>
      <c r="E132" s="1">
        <v>42451</v>
      </c>
      <c r="F132" s="1">
        <v>42449</v>
      </c>
      <c r="G132">
        <v>3</v>
      </c>
      <c r="H132">
        <v>8</v>
      </c>
    </row>
    <row r="133" spans="1:8" x14ac:dyDescent="0.3">
      <c r="A133">
        <v>132</v>
      </c>
      <c r="B133">
        <v>46</v>
      </c>
      <c r="C133" t="s">
        <v>5248</v>
      </c>
      <c r="D133" s="1">
        <v>42449</v>
      </c>
      <c r="E133" s="1">
        <v>42451</v>
      </c>
      <c r="F133" s="1">
        <v>42452</v>
      </c>
      <c r="G133">
        <v>1</v>
      </c>
      <c r="H133">
        <v>3</v>
      </c>
    </row>
    <row r="134" spans="1:8" x14ac:dyDescent="0.3">
      <c r="A134">
        <v>133</v>
      </c>
      <c r="B134">
        <v>409</v>
      </c>
      <c r="C134" t="s">
        <v>5248</v>
      </c>
      <c r="D134" s="1">
        <v>42449</v>
      </c>
      <c r="E134" s="1">
        <v>42451</v>
      </c>
      <c r="F134" s="1">
        <v>42450</v>
      </c>
      <c r="G134">
        <v>2</v>
      </c>
      <c r="H134">
        <v>7</v>
      </c>
    </row>
    <row r="135" spans="1:8" x14ac:dyDescent="0.3">
      <c r="A135">
        <v>134</v>
      </c>
      <c r="B135">
        <v>679</v>
      </c>
      <c r="C135" t="s">
        <v>5248</v>
      </c>
      <c r="D135" s="1">
        <v>42449</v>
      </c>
      <c r="E135" s="1">
        <v>42450</v>
      </c>
      <c r="F135" s="1">
        <v>42450</v>
      </c>
      <c r="G135">
        <v>2</v>
      </c>
      <c r="H135">
        <v>7</v>
      </c>
    </row>
    <row r="136" spans="1:8" x14ac:dyDescent="0.3">
      <c r="A136">
        <v>135</v>
      </c>
      <c r="B136">
        <v>1354</v>
      </c>
      <c r="C136" t="s">
        <v>5248</v>
      </c>
      <c r="D136" s="1">
        <v>42450</v>
      </c>
      <c r="E136" s="1">
        <v>42452</v>
      </c>
      <c r="F136" s="1">
        <v>42452</v>
      </c>
      <c r="G136">
        <v>2</v>
      </c>
      <c r="H136">
        <v>7</v>
      </c>
    </row>
    <row r="137" spans="1:8" x14ac:dyDescent="0.3">
      <c r="A137">
        <v>136</v>
      </c>
      <c r="B137">
        <v>1192</v>
      </c>
      <c r="C137" t="s">
        <v>5248</v>
      </c>
      <c r="D137" s="1">
        <v>42450</v>
      </c>
      <c r="E137" s="1">
        <v>42453</v>
      </c>
      <c r="F137" s="1">
        <v>42452</v>
      </c>
      <c r="G137">
        <v>3</v>
      </c>
      <c r="H137">
        <v>8</v>
      </c>
    </row>
    <row r="138" spans="1:8" x14ac:dyDescent="0.3">
      <c r="A138">
        <v>137</v>
      </c>
      <c r="B138">
        <v>370</v>
      </c>
      <c r="C138" t="s">
        <v>5248</v>
      </c>
      <c r="D138" s="1">
        <v>42452</v>
      </c>
      <c r="E138" s="1">
        <v>42455</v>
      </c>
      <c r="F138" s="1">
        <v>42454</v>
      </c>
      <c r="G138">
        <v>2</v>
      </c>
      <c r="H138">
        <v>7</v>
      </c>
    </row>
    <row r="139" spans="1:8" x14ac:dyDescent="0.3">
      <c r="A139">
        <v>138</v>
      </c>
      <c r="B139">
        <v>438</v>
      </c>
      <c r="C139" t="s">
        <v>5248</v>
      </c>
      <c r="D139" s="1">
        <v>42452</v>
      </c>
      <c r="E139" s="1">
        <v>42453</v>
      </c>
      <c r="F139" s="1">
        <v>42454</v>
      </c>
      <c r="G139">
        <v>2</v>
      </c>
      <c r="H139">
        <v>7</v>
      </c>
    </row>
    <row r="140" spans="1:8" x14ac:dyDescent="0.3">
      <c r="A140">
        <v>139</v>
      </c>
      <c r="B140">
        <v>710</v>
      </c>
      <c r="C140" t="s">
        <v>5248</v>
      </c>
      <c r="D140" s="1">
        <v>42452</v>
      </c>
      <c r="E140" s="1">
        <v>42453</v>
      </c>
      <c r="F140" s="1">
        <v>42455</v>
      </c>
      <c r="G140">
        <v>2</v>
      </c>
      <c r="H140">
        <v>7</v>
      </c>
    </row>
    <row r="141" spans="1:8" x14ac:dyDescent="0.3">
      <c r="A141">
        <v>140</v>
      </c>
      <c r="B141">
        <v>1264</v>
      </c>
      <c r="C141" t="s">
        <v>5248</v>
      </c>
      <c r="D141" s="1">
        <v>42452</v>
      </c>
      <c r="E141" s="1">
        <v>42455</v>
      </c>
      <c r="F141" s="1">
        <v>42455</v>
      </c>
      <c r="G141">
        <v>2</v>
      </c>
      <c r="H141">
        <v>7</v>
      </c>
    </row>
    <row r="142" spans="1:8" x14ac:dyDescent="0.3">
      <c r="A142">
        <v>141</v>
      </c>
      <c r="B142">
        <v>557</v>
      </c>
      <c r="C142" t="s">
        <v>5248</v>
      </c>
      <c r="D142" s="1">
        <v>42454</v>
      </c>
      <c r="E142" s="1">
        <v>42456</v>
      </c>
      <c r="F142" s="1">
        <v>42455</v>
      </c>
      <c r="G142">
        <v>2</v>
      </c>
      <c r="H142">
        <v>7</v>
      </c>
    </row>
    <row r="143" spans="1:8" x14ac:dyDescent="0.3">
      <c r="A143">
        <v>142</v>
      </c>
      <c r="B143">
        <v>170</v>
      </c>
      <c r="C143" t="s">
        <v>5248</v>
      </c>
      <c r="D143" s="1">
        <v>42455</v>
      </c>
      <c r="E143" s="1">
        <v>42456</v>
      </c>
      <c r="F143" s="1">
        <v>42456</v>
      </c>
      <c r="G143">
        <v>1</v>
      </c>
      <c r="H143">
        <v>3</v>
      </c>
    </row>
    <row r="144" spans="1:8" x14ac:dyDescent="0.3">
      <c r="A144">
        <v>143</v>
      </c>
      <c r="B144">
        <v>693</v>
      </c>
      <c r="C144" t="s">
        <v>5248</v>
      </c>
      <c r="D144" s="1">
        <v>42455</v>
      </c>
      <c r="E144" s="1">
        <v>42457</v>
      </c>
      <c r="F144" s="1">
        <v>42457</v>
      </c>
      <c r="G144">
        <v>2</v>
      </c>
      <c r="H144">
        <v>7</v>
      </c>
    </row>
    <row r="145" spans="1:8" x14ac:dyDescent="0.3">
      <c r="A145">
        <v>144</v>
      </c>
      <c r="B145">
        <v>1124</v>
      </c>
      <c r="C145" t="s">
        <v>5248</v>
      </c>
      <c r="D145" s="1">
        <v>42455</v>
      </c>
      <c r="E145" s="1">
        <v>42458</v>
      </c>
      <c r="F145" s="1">
        <v>42458</v>
      </c>
      <c r="G145">
        <v>2</v>
      </c>
      <c r="H145">
        <v>7</v>
      </c>
    </row>
    <row r="146" spans="1:8" x14ac:dyDescent="0.3">
      <c r="A146">
        <v>145</v>
      </c>
      <c r="B146">
        <v>366</v>
      </c>
      <c r="C146" t="s">
        <v>5248</v>
      </c>
      <c r="D146" s="1">
        <v>42456</v>
      </c>
      <c r="E146" s="1">
        <v>42458</v>
      </c>
      <c r="F146" s="1">
        <v>42459</v>
      </c>
      <c r="G146">
        <v>2</v>
      </c>
      <c r="H146">
        <v>6</v>
      </c>
    </row>
    <row r="147" spans="1:8" x14ac:dyDescent="0.3">
      <c r="A147">
        <v>146</v>
      </c>
      <c r="B147">
        <v>288</v>
      </c>
      <c r="C147" t="s">
        <v>5248</v>
      </c>
      <c r="D147" s="1">
        <v>42457</v>
      </c>
      <c r="E147" s="1">
        <v>42459</v>
      </c>
      <c r="F147" s="1">
        <v>42459</v>
      </c>
      <c r="G147">
        <v>1</v>
      </c>
      <c r="H147">
        <v>3</v>
      </c>
    </row>
    <row r="148" spans="1:8" x14ac:dyDescent="0.3">
      <c r="A148">
        <v>147</v>
      </c>
      <c r="B148">
        <v>55</v>
      </c>
      <c r="C148" t="s">
        <v>5248</v>
      </c>
      <c r="D148" s="1">
        <v>42457</v>
      </c>
      <c r="E148" s="1">
        <v>42460</v>
      </c>
      <c r="F148" s="1">
        <v>42460</v>
      </c>
      <c r="G148">
        <v>2</v>
      </c>
      <c r="H148">
        <v>7</v>
      </c>
    </row>
    <row r="149" spans="1:8" x14ac:dyDescent="0.3">
      <c r="A149">
        <v>148</v>
      </c>
      <c r="B149">
        <v>714</v>
      </c>
      <c r="C149" t="s">
        <v>5248</v>
      </c>
      <c r="D149" s="1">
        <v>42457</v>
      </c>
      <c r="E149" s="1">
        <v>42459</v>
      </c>
      <c r="F149" s="1">
        <v>42459</v>
      </c>
      <c r="G149">
        <v>2</v>
      </c>
      <c r="H149">
        <v>6</v>
      </c>
    </row>
    <row r="150" spans="1:8" x14ac:dyDescent="0.3">
      <c r="A150">
        <v>149</v>
      </c>
      <c r="B150">
        <v>763</v>
      </c>
      <c r="C150" t="s">
        <v>5248</v>
      </c>
      <c r="D150" s="1">
        <v>42457</v>
      </c>
      <c r="E150" s="1">
        <v>42459</v>
      </c>
      <c r="F150" s="1">
        <v>42458</v>
      </c>
      <c r="G150">
        <v>2</v>
      </c>
      <c r="H150">
        <v>6</v>
      </c>
    </row>
    <row r="151" spans="1:8" x14ac:dyDescent="0.3">
      <c r="A151">
        <v>150</v>
      </c>
      <c r="B151">
        <v>332</v>
      </c>
      <c r="C151" t="s">
        <v>5248</v>
      </c>
      <c r="D151" s="1">
        <v>42458</v>
      </c>
      <c r="E151" s="1">
        <v>42460</v>
      </c>
      <c r="F151" s="1">
        <v>42461</v>
      </c>
      <c r="G151">
        <v>1</v>
      </c>
      <c r="H151">
        <v>2</v>
      </c>
    </row>
    <row r="152" spans="1:8" x14ac:dyDescent="0.3">
      <c r="A152">
        <v>151</v>
      </c>
      <c r="B152">
        <v>926</v>
      </c>
      <c r="C152" t="s">
        <v>5248</v>
      </c>
      <c r="D152" s="1">
        <v>42458</v>
      </c>
      <c r="E152" s="1">
        <v>42461</v>
      </c>
      <c r="F152" s="1">
        <v>42460</v>
      </c>
      <c r="G152">
        <v>1</v>
      </c>
      <c r="H152">
        <v>2</v>
      </c>
    </row>
    <row r="153" spans="1:8" x14ac:dyDescent="0.3">
      <c r="A153">
        <v>152</v>
      </c>
      <c r="B153">
        <v>76</v>
      </c>
      <c r="C153" t="s">
        <v>5248</v>
      </c>
      <c r="D153" s="1">
        <v>42458</v>
      </c>
      <c r="E153" s="1">
        <v>42459</v>
      </c>
      <c r="F153" s="1">
        <v>42459</v>
      </c>
      <c r="G153">
        <v>2</v>
      </c>
      <c r="H153">
        <v>6</v>
      </c>
    </row>
    <row r="154" spans="1:8" x14ac:dyDescent="0.3">
      <c r="A154">
        <v>153</v>
      </c>
      <c r="B154">
        <v>498</v>
      </c>
      <c r="C154" t="s">
        <v>5248</v>
      </c>
      <c r="D154" s="1">
        <v>42459</v>
      </c>
      <c r="E154" s="1">
        <v>42462</v>
      </c>
      <c r="F154" s="1">
        <v>42461</v>
      </c>
      <c r="G154">
        <v>2</v>
      </c>
      <c r="H154">
        <v>6</v>
      </c>
    </row>
    <row r="155" spans="1:8" x14ac:dyDescent="0.3">
      <c r="A155">
        <v>154</v>
      </c>
      <c r="B155">
        <v>1286</v>
      </c>
      <c r="C155" t="s">
        <v>5248</v>
      </c>
      <c r="D155" s="1">
        <v>42460</v>
      </c>
      <c r="E155" s="1">
        <v>42461</v>
      </c>
      <c r="F155" s="1">
        <v>42461</v>
      </c>
      <c r="G155">
        <v>1</v>
      </c>
      <c r="H155">
        <v>2</v>
      </c>
    </row>
    <row r="156" spans="1:8" x14ac:dyDescent="0.3">
      <c r="A156">
        <v>155</v>
      </c>
      <c r="B156">
        <v>371</v>
      </c>
      <c r="C156" t="s">
        <v>5248</v>
      </c>
      <c r="D156" s="1">
        <v>42462</v>
      </c>
      <c r="E156" s="1">
        <v>42463</v>
      </c>
      <c r="F156" s="1">
        <v>42464</v>
      </c>
      <c r="G156">
        <v>2</v>
      </c>
      <c r="H156">
        <v>6</v>
      </c>
    </row>
    <row r="157" spans="1:8" x14ac:dyDescent="0.3">
      <c r="A157">
        <v>156</v>
      </c>
      <c r="B157">
        <v>357</v>
      </c>
      <c r="C157" t="s">
        <v>5248</v>
      </c>
      <c r="D157" s="1">
        <v>42463</v>
      </c>
      <c r="E157" s="1">
        <v>42466</v>
      </c>
      <c r="F157" s="1">
        <v>42465</v>
      </c>
      <c r="G157">
        <v>1</v>
      </c>
      <c r="H157">
        <v>3</v>
      </c>
    </row>
    <row r="158" spans="1:8" x14ac:dyDescent="0.3">
      <c r="A158">
        <v>157</v>
      </c>
      <c r="B158">
        <v>43</v>
      </c>
      <c r="C158" t="s">
        <v>5248</v>
      </c>
      <c r="D158" s="1">
        <v>42463</v>
      </c>
      <c r="E158" s="1">
        <v>42466</v>
      </c>
      <c r="F158" s="1">
        <v>42466</v>
      </c>
      <c r="G158">
        <v>3</v>
      </c>
      <c r="H158">
        <v>8</v>
      </c>
    </row>
    <row r="159" spans="1:8" x14ac:dyDescent="0.3">
      <c r="A159">
        <v>158</v>
      </c>
      <c r="B159">
        <v>117</v>
      </c>
      <c r="C159" t="s">
        <v>5249</v>
      </c>
      <c r="D159" s="1">
        <v>42464</v>
      </c>
      <c r="E159" s="1">
        <v>42464</v>
      </c>
      <c r="F159" s="1"/>
      <c r="G159">
        <v>3</v>
      </c>
      <c r="H159">
        <v>9</v>
      </c>
    </row>
    <row r="160" spans="1:8" x14ac:dyDescent="0.3">
      <c r="A160">
        <v>159</v>
      </c>
      <c r="B160">
        <v>32</v>
      </c>
      <c r="C160" t="s">
        <v>5248</v>
      </c>
      <c r="D160" s="1">
        <v>42464</v>
      </c>
      <c r="E160" s="1">
        <v>42466</v>
      </c>
      <c r="F160" s="1">
        <v>42466</v>
      </c>
      <c r="G160">
        <v>1</v>
      </c>
      <c r="H160">
        <v>2</v>
      </c>
    </row>
    <row r="161" spans="1:8" x14ac:dyDescent="0.3">
      <c r="A161">
        <v>160</v>
      </c>
      <c r="B161">
        <v>205</v>
      </c>
      <c r="C161" t="s">
        <v>5248</v>
      </c>
      <c r="D161" s="1">
        <v>42464</v>
      </c>
      <c r="E161" s="1">
        <v>42466</v>
      </c>
      <c r="F161" s="1">
        <v>42466</v>
      </c>
      <c r="G161">
        <v>2</v>
      </c>
      <c r="H161">
        <v>7</v>
      </c>
    </row>
    <row r="162" spans="1:8" x14ac:dyDescent="0.3">
      <c r="A162">
        <v>161</v>
      </c>
      <c r="B162">
        <v>251</v>
      </c>
      <c r="C162" t="s">
        <v>5248</v>
      </c>
      <c r="D162" s="1">
        <v>42464</v>
      </c>
      <c r="E162" s="1">
        <v>42467</v>
      </c>
      <c r="F162" s="1">
        <v>42465</v>
      </c>
      <c r="G162">
        <v>2</v>
      </c>
      <c r="H162">
        <v>7</v>
      </c>
    </row>
    <row r="163" spans="1:8" x14ac:dyDescent="0.3">
      <c r="A163">
        <v>162</v>
      </c>
      <c r="B163">
        <v>31</v>
      </c>
      <c r="C163" t="s">
        <v>5248</v>
      </c>
      <c r="D163" s="1">
        <v>42466</v>
      </c>
      <c r="E163" s="1">
        <v>42468</v>
      </c>
      <c r="F163" s="1">
        <v>42467</v>
      </c>
      <c r="G163">
        <v>1</v>
      </c>
      <c r="H163">
        <v>3</v>
      </c>
    </row>
    <row r="164" spans="1:8" x14ac:dyDescent="0.3">
      <c r="A164">
        <v>163</v>
      </c>
      <c r="B164">
        <v>1325</v>
      </c>
      <c r="C164" t="s">
        <v>5248</v>
      </c>
      <c r="D164" s="1">
        <v>42466</v>
      </c>
      <c r="E164" s="1">
        <v>42467</v>
      </c>
      <c r="F164" s="1">
        <v>42467</v>
      </c>
      <c r="G164">
        <v>2</v>
      </c>
      <c r="H164">
        <v>7</v>
      </c>
    </row>
    <row r="165" spans="1:8" x14ac:dyDescent="0.3">
      <c r="A165">
        <v>164</v>
      </c>
      <c r="B165">
        <v>610</v>
      </c>
      <c r="C165" t="s">
        <v>5248</v>
      </c>
      <c r="D165" s="1">
        <v>42467</v>
      </c>
      <c r="E165" s="1">
        <v>42468</v>
      </c>
      <c r="F165" s="1">
        <v>42469</v>
      </c>
      <c r="G165">
        <v>2</v>
      </c>
      <c r="H165">
        <v>7</v>
      </c>
    </row>
    <row r="166" spans="1:8" x14ac:dyDescent="0.3">
      <c r="A166">
        <v>165</v>
      </c>
      <c r="B166">
        <v>574</v>
      </c>
      <c r="C166" t="s">
        <v>5248</v>
      </c>
      <c r="D166" s="1">
        <v>42468</v>
      </c>
      <c r="E166" s="1">
        <v>42470</v>
      </c>
      <c r="F166" s="1">
        <v>42470</v>
      </c>
      <c r="G166">
        <v>1</v>
      </c>
      <c r="H166">
        <v>3</v>
      </c>
    </row>
    <row r="167" spans="1:8" x14ac:dyDescent="0.3">
      <c r="A167">
        <v>166</v>
      </c>
      <c r="B167">
        <v>338</v>
      </c>
      <c r="C167" t="s">
        <v>5248</v>
      </c>
      <c r="D167" s="1">
        <v>42468</v>
      </c>
      <c r="E167" s="1">
        <v>42471</v>
      </c>
      <c r="F167" s="1">
        <v>42471</v>
      </c>
      <c r="G167">
        <v>2</v>
      </c>
      <c r="H167">
        <v>6</v>
      </c>
    </row>
    <row r="168" spans="1:8" x14ac:dyDescent="0.3">
      <c r="A168">
        <v>167</v>
      </c>
      <c r="B168">
        <v>1034</v>
      </c>
      <c r="C168" t="s">
        <v>5248</v>
      </c>
      <c r="D168" s="1">
        <v>42468</v>
      </c>
      <c r="E168" s="1">
        <v>42469</v>
      </c>
      <c r="F168" s="1">
        <v>42471</v>
      </c>
      <c r="G168">
        <v>2</v>
      </c>
      <c r="H168">
        <v>7</v>
      </c>
    </row>
    <row r="169" spans="1:8" x14ac:dyDescent="0.3">
      <c r="A169">
        <v>168</v>
      </c>
      <c r="B169">
        <v>1147</v>
      </c>
      <c r="C169" t="s">
        <v>5248</v>
      </c>
      <c r="D169" s="1">
        <v>42469</v>
      </c>
      <c r="E169" s="1">
        <v>42472</v>
      </c>
      <c r="F169" s="1">
        <v>42471</v>
      </c>
      <c r="G169">
        <v>1</v>
      </c>
      <c r="H169">
        <v>3</v>
      </c>
    </row>
    <row r="170" spans="1:8" x14ac:dyDescent="0.3">
      <c r="A170">
        <v>169</v>
      </c>
      <c r="B170">
        <v>99</v>
      </c>
      <c r="C170" t="s">
        <v>5248</v>
      </c>
      <c r="D170" s="1">
        <v>42470</v>
      </c>
      <c r="E170" s="1">
        <v>42471</v>
      </c>
      <c r="F170" s="1">
        <v>42471</v>
      </c>
      <c r="G170">
        <v>2</v>
      </c>
      <c r="H170">
        <v>7</v>
      </c>
    </row>
    <row r="171" spans="1:8" x14ac:dyDescent="0.3">
      <c r="A171">
        <v>170</v>
      </c>
      <c r="B171">
        <v>1200</v>
      </c>
      <c r="C171" t="s">
        <v>5248</v>
      </c>
      <c r="D171" s="1">
        <v>42470</v>
      </c>
      <c r="E171" s="1">
        <v>42471</v>
      </c>
      <c r="F171" s="1">
        <v>42473</v>
      </c>
      <c r="G171">
        <v>2</v>
      </c>
      <c r="H171">
        <v>7</v>
      </c>
    </row>
    <row r="172" spans="1:8" x14ac:dyDescent="0.3">
      <c r="A172">
        <v>171</v>
      </c>
      <c r="B172">
        <v>237</v>
      </c>
      <c r="C172" t="s">
        <v>5248</v>
      </c>
      <c r="D172" s="1">
        <v>42471</v>
      </c>
      <c r="E172" s="1">
        <v>42474</v>
      </c>
      <c r="F172" s="1">
        <v>42474</v>
      </c>
      <c r="G172">
        <v>1</v>
      </c>
      <c r="H172">
        <v>3</v>
      </c>
    </row>
    <row r="173" spans="1:8" x14ac:dyDescent="0.3">
      <c r="A173">
        <v>172</v>
      </c>
      <c r="B173">
        <v>1079</v>
      </c>
      <c r="C173" t="s">
        <v>5248</v>
      </c>
      <c r="D173" s="1">
        <v>42471</v>
      </c>
      <c r="E173" s="1">
        <v>42472</v>
      </c>
      <c r="F173" s="1">
        <v>42474</v>
      </c>
      <c r="G173">
        <v>2</v>
      </c>
      <c r="H173">
        <v>7</v>
      </c>
    </row>
    <row r="174" spans="1:8" x14ac:dyDescent="0.3">
      <c r="A174">
        <v>173</v>
      </c>
      <c r="B174">
        <v>117</v>
      </c>
      <c r="C174" t="s">
        <v>5248</v>
      </c>
      <c r="D174" s="1">
        <v>42471</v>
      </c>
      <c r="E174" s="1">
        <v>42474</v>
      </c>
      <c r="F174" s="1">
        <v>42473</v>
      </c>
      <c r="G174">
        <v>3</v>
      </c>
      <c r="H174">
        <v>8</v>
      </c>
    </row>
    <row r="175" spans="1:8" x14ac:dyDescent="0.3">
      <c r="A175">
        <v>174</v>
      </c>
      <c r="B175">
        <v>1361</v>
      </c>
      <c r="C175" t="s">
        <v>5248</v>
      </c>
      <c r="D175" s="1">
        <v>42472</v>
      </c>
      <c r="E175" s="1">
        <v>42473</v>
      </c>
      <c r="F175" s="1">
        <v>42475</v>
      </c>
      <c r="G175">
        <v>2</v>
      </c>
      <c r="H175">
        <v>7</v>
      </c>
    </row>
    <row r="176" spans="1:8" x14ac:dyDescent="0.3">
      <c r="A176">
        <v>175</v>
      </c>
      <c r="B176">
        <v>951</v>
      </c>
      <c r="C176" t="s">
        <v>5248</v>
      </c>
      <c r="D176" s="1">
        <v>42473</v>
      </c>
      <c r="E176" s="1">
        <v>42474</v>
      </c>
      <c r="F176" s="1">
        <v>42474</v>
      </c>
      <c r="G176">
        <v>2</v>
      </c>
      <c r="H176">
        <v>6</v>
      </c>
    </row>
    <row r="177" spans="1:8" x14ac:dyDescent="0.3">
      <c r="A177">
        <v>176</v>
      </c>
      <c r="B177">
        <v>643</v>
      </c>
      <c r="C177" t="s">
        <v>5248</v>
      </c>
      <c r="D177" s="1">
        <v>42475</v>
      </c>
      <c r="E177" s="1">
        <v>42476</v>
      </c>
      <c r="F177" s="1">
        <v>42477</v>
      </c>
      <c r="G177">
        <v>2</v>
      </c>
      <c r="H177">
        <v>7</v>
      </c>
    </row>
    <row r="178" spans="1:8" x14ac:dyDescent="0.3">
      <c r="A178">
        <v>177</v>
      </c>
      <c r="B178">
        <v>121</v>
      </c>
      <c r="C178" t="s">
        <v>5248</v>
      </c>
      <c r="D178" s="1">
        <v>42476</v>
      </c>
      <c r="E178" s="1">
        <v>42479</v>
      </c>
      <c r="F178" s="1">
        <v>42479</v>
      </c>
      <c r="G178">
        <v>1</v>
      </c>
      <c r="H178">
        <v>2</v>
      </c>
    </row>
    <row r="179" spans="1:8" x14ac:dyDescent="0.3">
      <c r="A179">
        <v>178</v>
      </c>
      <c r="B179">
        <v>756</v>
      </c>
      <c r="C179" t="s">
        <v>5248</v>
      </c>
      <c r="D179" s="1">
        <v>42476</v>
      </c>
      <c r="E179" s="1">
        <v>42477</v>
      </c>
      <c r="F179" s="1">
        <v>42478</v>
      </c>
      <c r="G179">
        <v>2</v>
      </c>
      <c r="H179">
        <v>6</v>
      </c>
    </row>
    <row r="180" spans="1:8" x14ac:dyDescent="0.3">
      <c r="A180">
        <v>179</v>
      </c>
      <c r="B180">
        <v>616</v>
      </c>
      <c r="C180" t="s">
        <v>5248</v>
      </c>
      <c r="D180" s="1">
        <v>42477</v>
      </c>
      <c r="E180" s="1">
        <v>42479</v>
      </c>
      <c r="F180" s="1">
        <v>42479</v>
      </c>
      <c r="G180">
        <v>2</v>
      </c>
      <c r="H180">
        <v>6</v>
      </c>
    </row>
    <row r="181" spans="1:8" x14ac:dyDescent="0.3">
      <c r="A181">
        <v>180</v>
      </c>
      <c r="B181">
        <v>918</v>
      </c>
      <c r="C181" t="s">
        <v>5248</v>
      </c>
      <c r="D181" s="1">
        <v>42477</v>
      </c>
      <c r="E181" s="1">
        <v>42480</v>
      </c>
      <c r="F181" s="1">
        <v>42479</v>
      </c>
      <c r="G181">
        <v>2</v>
      </c>
      <c r="H181">
        <v>7</v>
      </c>
    </row>
    <row r="182" spans="1:8" x14ac:dyDescent="0.3">
      <c r="A182">
        <v>181</v>
      </c>
      <c r="B182">
        <v>459</v>
      </c>
      <c r="C182" t="s">
        <v>5248</v>
      </c>
      <c r="D182" s="1">
        <v>42478</v>
      </c>
      <c r="E182" s="1">
        <v>42480</v>
      </c>
      <c r="F182" s="1">
        <v>42480</v>
      </c>
      <c r="G182">
        <v>1</v>
      </c>
      <c r="H182">
        <v>3</v>
      </c>
    </row>
    <row r="183" spans="1:8" x14ac:dyDescent="0.3">
      <c r="A183">
        <v>182</v>
      </c>
      <c r="B183">
        <v>854</v>
      </c>
      <c r="C183" t="s">
        <v>5248</v>
      </c>
      <c r="D183" s="1">
        <v>42478</v>
      </c>
      <c r="E183" s="1">
        <v>42479</v>
      </c>
      <c r="F183" s="1">
        <v>42480</v>
      </c>
      <c r="G183">
        <v>2</v>
      </c>
      <c r="H183">
        <v>6</v>
      </c>
    </row>
    <row r="184" spans="1:8" x14ac:dyDescent="0.3">
      <c r="A184">
        <v>183</v>
      </c>
      <c r="B184">
        <v>22</v>
      </c>
      <c r="C184" t="s">
        <v>5248</v>
      </c>
      <c r="D184" s="1">
        <v>42479</v>
      </c>
      <c r="E184" s="1">
        <v>42480</v>
      </c>
      <c r="F184" s="1">
        <v>42480</v>
      </c>
      <c r="G184">
        <v>2</v>
      </c>
      <c r="H184">
        <v>7</v>
      </c>
    </row>
    <row r="185" spans="1:8" x14ac:dyDescent="0.3">
      <c r="A185">
        <v>184</v>
      </c>
      <c r="B185">
        <v>134</v>
      </c>
      <c r="C185" t="s">
        <v>5248</v>
      </c>
      <c r="D185" s="1">
        <v>42479</v>
      </c>
      <c r="E185" s="1">
        <v>42481</v>
      </c>
      <c r="F185" s="1">
        <v>42482</v>
      </c>
      <c r="G185">
        <v>2</v>
      </c>
      <c r="H185">
        <v>7</v>
      </c>
    </row>
    <row r="186" spans="1:8" x14ac:dyDescent="0.3">
      <c r="A186">
        <v>185</v>
      </c>
      <c r="B186">
        <v>24</v>
      </c>
      <c r="C186" t="s">
        <v>5249</v>
      </c>
      <c r="D186" s="1">
        <v>42480</v>
      </c>
      <c r="E186" s="1">
        <v>42480</v>
      </c>
      <c r="F186" s="1"/>
      <c r="G186">
        <v>1</v>
      </c>
      <c r="H186">
        <v>2</v>
      </c>
    </row>
    <row r="187" spans="1:8" x14ac:dyDescent="0.3">
      <c r="A187">
        <v>186</v>
      </c>
      <c r="B187">
        <v>1127</v>
      </c>
      <c r="C187" t="s">
        <v>5248</v>
      </c>
      <c r="D187" s="1">
        <v>42481</v>
      </c>
      <c r="E187" s="1">
        <v>42482</v>
      </c>
      <c r="F187" s="1">
        <v>42484</v>
      </c>
      <c r="G187">
        <v>2</v>
      </c>
      <c r="H187">
        <v>6</v>
      </c>
    </row>
    <row r="188" spans="1:8" x14ac:dyDescent="0.3">
      <c r="A188">
        <v>187</v>
      </c>
      <c r="B188">
        <v>183</v>
      </c>
      <c r="C188" t="s">
        <v>5248</v>
      </c>
      <c r="D188" s="1">
        <v>42482</v>
      </c>
      <c r="E188" s="1">
        <v>42483</v>
      </c>
      <c r="F188" s="1">
        <v>42484</v>
      </c>
      <c r="G188">
        <v>2</v>
      </c>
      <c r="H188">
        <v>6</v>
      </c>
    </row>
    <row r="189" spans="1:8" x14ac:dyDescent="0.3">
      <c r="A189">
        <v>188</v>
      </c>
      <c r="B189">
        <v>390</v>
      </c>
      <c r="C189" t="s">
        <v>5248</v>
      </c>
      <c r="D189" s="1">
        <v>42482</v>
      </c>
      <c r="E189" s="1">
        <v>42483</v>
      </c>
      <c r="F189" s="1">
        <v>42485</v>
      </c>
      <c r="G189">
        <v>2</v>
      </c>
      <c r="H189">
        <v>6</v>
      </c>
    </row>
    <row r="190" spans="1:8" x14ac:dyDescent="0.3">
      <c r="A190">
        <v>189</v>
      </c>
      <c r="B190">
        <v>1288</v>
      </c>
      <c r="C190" t="s">
        <v>5248</v>
      </c>
      <c r="D190" s="1">
        <v>42483</v>
      </c>
      <c r="E190" s="1">
        <v>42484</v>
      </c>
      <c r="F190" s="1">
        <v>42486</v>
      </c>
      <c r="G190">
        <v>1</v>
      </c>
      <c r="H190">
        <v>2</v>
      </c>
    </row>
    <row r="191" spans="1:8" x14ac:dyDescent="0.3">
      <c r="A191">
        <v>190</v>
      </c>
      <c r="B191">
        <v>98</v>
      </c>
      <c r="C191" t="s">
        <v>5248</v>
      </c>
      <c r="D191" s="1">
        <v>42483</v>
      </c>
      <c r="E191" s="1">
        <v>42485</v>
      </c>
      <c r="F191" s="1">
        <v>42485</v>
      </c>
      <c r="G191">
        <v>2</v>
      </c>
      <c r="H191">
        <v>6</v>
      </c>
    </row>
    <row r="192" spans="1:8" x14ac:dyDescent="0.3">
      <c r="A192">
        <v>191</v>
      </c>
      <c r="B192">
        <v>919</v>
      </c>
      <c r="C192" t="s">
        <v>5248</v>
      </c>
      <c r="D192" s="1">
        <v>42487</v>
      </c>
      <c r="E192" s="1">
        <v>42488</v>
      </c>
      <c r="F192" s="1">
        <v>42488</v>
      </c>
      <c r="G192">
        <v>1</v>
      </c>
      <c r="H192">
        <v>2</v>
      </c>
    </row>
    <row r="193" spans="1:8" x14ac:dyDescent="0.3">
      <c r="A193">
        <v>192</v>
      </c>
      <c r="B193">
        <v>728</v>
      </c>
      <c r="C193" t="s">
        <v>5248</v>
      </c>
      <c r="D193" s="1">
        <v>42487</v>
      </c>
      <c r="E193" s="1">
        <v>42488</v>
      </c>
      <c r="F193" s="1">
        <v>42489</v>
      </c>
      <c r="G193">
        <v>2</v>
      </c>
      <c r="H193">
        <v>7</v>
      </c>
    </row>
    <row r="194" spans="1:8" x14ac:dyDescent="0.3">
      <c r="A194">
        <v>193</v>
      </c>
      <c r="B194">
        <v>1366</v>
      </c>
      <c r="C194" t="s">
        <v>5248</v>
      </c>
      <c r="D194" s="1">
        <v>42488</v>
      </c>
      <c r="E194" s="1">
        <v>42490</v>
      </c>
      <c r="F194" s="1">
        <v>42490</v>
      </c>
      <c r="G194">
        <v>1</v>
      </c>
      <c r="H194">
        <v>3</v>
      </c>
    </row>
    <row r="195" spans="1:8" x14ac:dyDescent="0.3">
      <c r="A195">
        <v>194</v>
      </c>
      <c r="B195">
        <v>558</v>
      </c>
      <c r="C195" t="s">
        <v>5248</v>
      </c>
      <c r="D195" s="1">
        <v>42488</v>
      </c>
      <c r="E195" s="1">
        <v>42490</v>
      </c>
      <c r="F195" s="1">
        <v>42491</v>
      </c>
      <c r="G195">
        <v>2</v>
      </c>
      <c r="H195">
        <v>7</v>
      </c>
    </row>
    <row r="196" spans="1:8" x14ac:dyDescent="0.3">
      <c r="A196">
        <v>195</v>
      </c>
      <c r="B196">
        <v>727</v>
      </c>
      <c r="C196" t="s">
        <v>5248</v>
      </c>
      <c r="D196" s="1">
        <v>42488</v>
      </c>
      <c r="E196" s="1">
        <v>42491</v>
      </c>
      <c r="F196" s="1">
        <v>42491</v>
      </c>
      <c r="G196">
        <v>2</v>
      </c>
      <c r="H196">
        <v>7</v>
      </c>
    </row>
    <row r="197" spans="1:8" x14ac:dyDescent="0.3">
      <c r="A197">
        <v>196</v>
      </c>
      <c r="B197">
        <v>1247</v>
      </c>
      <c r="C197" t="s">
        <v>5248</v>
      </c>
      <c r="D197" s="1">
        <v>42488</v>
      </c>
      <c r="E197" s="1">
        <v>42490</v>
      </c>
      <c r="F197" s="1">
        <v>42491</v>
      </c>
      <c r="G197">
        <v>2</v>
      </c>
      <c r="H197">
        <v>6</v>
      </c>
    </row>
    <row r="198" spans="1:8" x14ac:dyDescent="0.3">
      <c r="A198">
        <v>197</v>
      </c>
      <c r="B198">
        <v>127</v>
      </c>
      <c r="C198" t="s">
        <v>5248</v>
      </c>
      <c r="D198" s="1">
        <v>42490</v>
      </c>
      <c r="E198" s="1">
        <v>42493</v>
      </c>
      <c r="F198" s="1">
        <v>42493</v>
      </c>
      <c r="G198">
        <v>2</v>
      </c>
      <c r="H198">
        <v>7</v>
      </c>
    </row>
    <row r="199" spans="1:8" x14ac:dyDescent="0.3">
      <c r="A199">
        <v>198</v>
      </c>
      <c r="B199">
        <v>640</v>
      </c>
      <c r="C199" t="s">
        <v>5248</v>
      </c>
      <c r="D199" s="1">
        <v>42491</v>
      </c>
      <c r="E199" s="1">
        <v>42494</v>
      </c>
      <c r="F199" s="1">
        <v>42493</v>
      </c>
      <c r="G199">
        <v>2</v>
      </c>
      <c r="H199">
        <v>6</v>
      </c>
    </row>
    <row r="200" spans="1:8" x14ac:dyDescent="0.3">
      <c r="A200">
        <v>199</v>
      </c>
      <c r="B200">
        <v>760</v>
      </c>
      <c r="C200" t="s">
        <v>5248</v>
      </c>
      <c r="D200" s="1">
        <v>42491</v>
      </c>
      <c r="E200" s="1">
        <v>42494</v>
      </c>
      <c r="F200" s="1">
        <v>42494</v>
      </c>
      <c r="G200">
        <v>2</v>
      </c>
      <c r="H200">
        <v>7</v>
      </c>
    </row>
    <row r="201" spans="1:8" x14ac:dyDescent="0.3">
      <c r="A201">
        <v>200</v>
      </c>
      <c r="B201">
        <v>1074</v>
      </c>
      <c r="C201" t="s">
        <v>5248</v>
      </c>
      <c r="D201" s="1">
        <v>42491</v>
      </c>
      <c r="E201" s="1">
        <v>42493</v>
      </c>
      <c r="F201" s="1">
        <v>42493</v>
      </c>
      <c r="G201">
        <v>2</v>
      </c>
      <c r="H201">
        <v>6</v>
      </c>
    </row>
    <row r="202" spans="1:8" x14ac:dyDescent="0.3">
      <c r="A202">
        <v>201</v>
      </c>
      <c r="B202">
        <v>280</v>
      </c>
      <c r="C202" t="s">
        <v>5248</v>
      </c>
      <c r="D202" s="1">
        <v>42491</v>
      </c>
      <c r="E202" s="1">
        <v>42494</v>
      </c>
      <c r="F202" s="1">
        <v>42492</v>
      </c>
      <c r="G202">
        <v>3</v>
      </c>
      <c r="H202">
        <v>9</v>
      </c>
    </row>
    <row r="203" spans="1:8" x14ac:dyDescent="0.3">
      <c r="A203">
        <v>202</v>
      </c>
      <c r="B203">
        <v>600</v>
      </c>
      <c r="C203" t="s">
        <v>5248</v>
      </c>
      <c r="D203" s="1">
        <v>42493</v>
      </c>
      <c r="E203" s="1">
        <v>42495</v>
      </c>
      <c r="F203" s="1">
        <v>42494</v>
      </c>
      <c r="G203">
        <v>1</v>
      </c>
      <c r="H203">
        <v>2</v>
      </c>
    </row>
    <row r="204" spans="1:8" x14ac:dyDescent="0.3">
      <c r="A204">
        <v>203</v>
      </c>
      <c r="B204">
        <v>1102</v>
      </c>
      <c r="C204" t="s">
        <v>5248</v>
      </c>
      <c r="D204" s="1">
        <v>42493</v>
      </c>
      <c r="E204" s="1">
        <v>42495</v>
      </c>
      <c r="F204" s="1">
        <v>42496</v>
      </c>
      <c r="G204">
        <v>3</v>
      </c>
      <c r="H204">
        <v>9</v>
      </c>
    </row>
    <row r="205" spans="1:8" x14ac:dyDescent="0.3">
      <c r="A205">
        <v>204</v>
      </c>
      <c r="B205">
        <v>591</v>
      </c>
      <c r="C205" t="s">
        <v>5248</v>
      </c>
      <c r="D205" s="1">
        <v>42494</v>
      </c>
      <c r="E205" s="1">
        <v>42497</v>
      </c>
      <c r="F205" s="1">
        <v>42496</v>
      </c>
      <c r="G205">
        <v>2</v>
      </c>
      <c r="H205">
        <v>7</v>
      </c>
    </row>
    <row r="206" spans="1:8" x14ac:dyDescent="0.3">
      <c r="A206">
        <v>205</v>
      </c>
      <c r="B206">
        <v>635</v>
      </c>
      <c r="C206" t="s">
        <v>5248</v>
      </c>
      <c r="D206" s="1">
        <v>42494</v>
      </c>
      <c r="E206" s="1">
        <v>42495</v>
      </c>
      <c r="F206" s="1">
        <v>42496</v>
      </c>
      <c r="G206">
        <v>2</v>
      </c>
      <c r="H206">
        <v>6</v>
      </c>
    </row>
    <row r="207" spans="1:8" x14ac:dyDescent="0.3">
      <c r="A207">
        <v>206</v>
      </c>
      <c r="B207">
        <v>743</v>
      </c>
      <c r="C207" t="s">
        <v>5248</v>
      </c>
      <c r="D207" s="1">
        <v>42494</v>
      </c>
      <c r="E207" s="1">
        <v>42496</v>
      </c>
      <c r="F207" s="1">
        <v>42495</v>
      </c>
      <c r="G207">
        <v>3</v>
      </c>
      <c r="H207">
        <v>9</v>
      </c>
    </row>
    <row r="208" spans="1:8" x14ac:dyDescent="0.3">
      <c r="A208">
        <v>207</v>
      </c>
      <c r="B208">
        <v>105</v>
      </c>
      <c r="C208" t="s">
        <v>5248</v>
      </c>
      <c r="D208" s="1">
        <v>42495</v>
      </c>
      <c r="E208" s="1">
        <v>42497</v>
      </c>
      <c r="F208" s="1">
        <v>42497</v>
      </c>
      <c r="G208">
        <v>2</v>
      </c>
      <c r="H208">
        <v>7</v>
      </c>
    </row>
    <row r="209" spans="1:8" x14ac:dyDescent="0.3">
      <c r="A209">
        <v>208</v>
      </c>
      <c r="B209">
        <v>815</v>
      </c>
      <c r="C209" t="s">
        <v>5248</v>
      </c>
      <c r="D209" s="1">
        <v>42496</v>
      </c>
      <c r="E209" s="1">
        <v>42497</v>
      </c>
      <c r="F209" s="1">
        <v>42499</v>
      </c>
      <c r="G209">
        <v>2</v>
      </c>
      <c r="H209">
        <v>7</v>
      </c>
    </row>
    <row r="210" spans="1:8" x14ac:dyDescent="0.3">
      <c r="A210">
        <v>209</v>
      </c>
      <c r="B210">
        <v>514</v>
      </c>
      <c r="C210" t="s">
        <v>5248</v>
      </c>
      <c r="D210" s="1">
        <v>42497</v>
      </c>
      <c r="E210" s="1">
        <v>42498</v>
      </c>
      <c r="F210" s="1">
        <v>42498</v>
      </c>
      <c r="G210">
        <v>2</v>
      </c>
      <c r="H210">
        <v>6</v>
      </c>
    </row>
    <row r="211" spans="1:8" x14ac:dyDescent="0.3">
      <c r="A211">
        <v>210</v>
      </c>
      <c r="B211">
        <v>943</v>
      </c>
      <c r="C211" t="s">
        <v>5248</v>
      </c>
      <c r="D211" s="1">
        <v>42497</v>
      </c>
      <c r="E211" s="1">
        <v>42498</v>
      </c>
      <c r="F211" s="1">
        <v>42499</v>
      </c>
      <c r="G211">
        <v>2</v>
      </c>
      <c r="H211">
        <v>6</v>
      </c>
    </row>
    <row r="212" spans="1:8" x14ac:dyDescent="0.3">
      <c r="A212">
        <v>211</v>
      </c>
      <c r="B212">
        <v>1140</v>
      </c>
      <c r="C212" t="s">
        <v>5248</v>
      </c>
      <c r="D212" s="1">
        <v>42497</v>
      </c>
      <c r="E212" s="1">
        <v>42499</v>
      </c>
      <c r="F212" s="1">
        <v>42498</v>
      </c>
      <c r="G212">
        <v>2</v>
      </c>
      <c r="H212">
        <v>6</v>
      </c>
    </row>
    <row r="213" spans="1:8" x14ac:dyDescent="0.3">
      <c r="A213">
        <v>212</v>
      </c>
      <c r="B213">
        <v>1373</v>
      </c>
      <c r="C213" t="s">
        <v>5248</v>
      </c>
      <c r="D213" s="1">
        <v>42498</v>
      </c>
      <c r="E213" s="1">
        <v>42499</v>
      </c>
      <c r="F213" s="1">
        <v>42501</v>
      </c>
      <c r="G213">
        <v>2</v>
      </c>
      <c r="H213">
        <v>6</v>
      </c>
    </row>
    <row r="214" spans="1:8" x14ac:dyDescent="0.3">
      <c r="A214">
        <v>213</v>
      </c>
      <c r="B214">
        <v>788</v>
      </c>
      <c r="C214" t="s">
        <v>5248</v>
      </c>
      <c r="D214" s="1">
        <v>42498</v>
      </c>
      <c r="E214" s="1">
        <v>42499</v>
      </c>
      <c r="F214" s="1">
        <v>42499</v>
      </c>
      <c r="G214">
        <v>3</v>
      </c>
      <c r="H214">
        <v>8</v>
      </c>
    </row>
    <row r="215" spans="1:8" x14ac:dyDescent="0.3">
      <c r="A215">
        <v>214</v>
      </c>
      <c r="B215">
        <v>363</v>
      </c>
      <c r="C215" t="s">
        <v>5248</v>
      </c>
      <c r="D215" s="1">
        <v>42500</v>
      </c>
      <c r="E215" s="1">
        <v>42502</v>
      </c>
      <c r="F215" s="1">
        <v>42501</v>
      </c>
      <c r="G215">
        <v>2</v>
      </c>
      <c r="H215">
        <v>6</v>
      </c>
    </row>
    <row r="216" spans="1:8" x14ac:dyDescent="0.3">
      <c r="A216">
        <v>215</v>
      </c>
      <c r="B216">
        <v>1420</v>
      </c>
      <c r="C216" t="s">
        <v>5248</v>
      </c>
      <c r="D216" s="1">
        <v>42500</v>
      </c>
      <c r="E216" s="1">
        <v>42503</v>
      </c>
      <c r="F216" s="1">
        <v>42502</v>
      </c>
      <c r="G216">
        <v>2</v>
      </c>
      <c r="H216">
        <v>7</v>
      </c>
    </row>
    <row r="217" spans="1:8" x14ac:dyDescent="0.3">
      <c r="A217">
        <v>216</v>
      </c>
      <c r="B217">
        <v>267</v>
      </c>
      <c r="C217" t="s">
        <v>5248</v>
      </c>
      <c r="D217" s="1">
        <v>42501</v>
      </c>
      <c r="E217" s="1">
        <v>42504</v>
      </c>
      <c r="F217" s="1">
        <v>42503</v>
      </c>
      <c r="G217">
        <v>1</v>
      </c>
      <c r="H217">
        <v>3</v>
      </c>
    </row>
    <row r="218" spans="1:8" x14ac:dyDescent="0.3">
      <c r="A218">
        <v>217</v>
      </c>
      <c r="B218">
        <v>716</v>
      </c>
      <c r="C218" t="s">
        <v>5248</v>
      </c>
      <c r="D218" s="1">
        <v>42501</v>
      </c>
      <c r="E218" s="1">
        <v>42502</v>
      </c>
      <c r="F218" s="1">
        <v>42504</v>
      </c>
      <c r="G218">
        <v>2</v>
      </c>
      <c r="H218">
        <v>7</v>
      </c>
    </row>
    <row r="219" spans="1:8" x14ac:dyDescent="0.3">
      <c r="A219">
        <v>218</v>
      </c>
      <c r="B219">
        <v>1179</v>
      </c>
      <c r="C219" t="s">
        <v>5248</v>
      </c>
      <c r="D219" s="1">
        <v>42502</v>
      </c>
      <c r="E219" s="1">
        <v>42504</v>
      </c>
      <c r="F219" s="1">
        <v>42504</v>
      </c>
      <c r="G219">
        <v>2</v>
      </c>
      <c r="H219">
        <v>7</v>
      </c>
    </row>
    <row r="220" spans="1:8" x14ac:dyDescent="0.3">
      <c r="A220">
        <v>219</v>
      </c>
      <c r="B220">
        <v>1338</v>
      </c>
      <c r="C220" t="s">
        <v>5248</v>
      </c>
      <c r="D220" s="1">
        <v>42502</v>
      </c>
      <c r="E220" s="1">
        <v>42505</v>
      </c>
      <c r="F220" s="1">
        <v>42505</v>
      </c>
      <c r="G220">
        <v>2</v>
      </c>
      <c r="H220">
        <v>6</v>
      </c>
    </row>
    <row r="221" spans="1:8" x14ac:dyDescent="0.3">
      <c r="A221">
        <v>220</v>
      </c>
      <c r="B221">
        <v>1358</v>
      </c>
      <c r="C221" t="s">
        <v>5248</v>
      </c>
      <c r="D221" s="1">
        <v>42502</v>
      </c>
      <c r="E221" s="1">
        <v>42504</v>
      </c>
      <c r="F221" s="1">
        <v>42505</v>
      </c>
      <c r="G221">
        <v>2</v>
      </c>
      <c r="H221">
        <v>6</v>
      </c>
    </row>
    <row r="222" spans="1:8" x14ac:dyDescent="0.3">
      <c r="A222">
        <v>221</v>
      </c>
      <c r="B222">
        <v>1218</v>
      </c>
      <c r="C222" t="s">
        <v>5248</v>
      </c>
      <c r="D222" s="1">
        <v>42503</v>
      </c>
      <c r="E222" s="1">
        <v>42506</v>
      </c>
      <c r="F222" s="1">
        <v>42504</v>
      </c>
      <c r="G222">
        <v>1</v>
      </c>
      <c r="H222">
        <v>2</v>
      </c>
    </row>
    <row r="223" spans="1:8" x14ac:dyDescent="0.3">
      <c r="A223">
        <v>222</v>
      </c>
      <c r="B223">
        <v>51</v>
      </c>
      <c r="C223" t="s">
        <v>5248</v>
      </c>
      <c r="D223" s="1">
        <v>42503</v>
      </c>
      <c r="E223" s="1">
        <v>42506</v>
      </c>
      <c r="F223" s="1">
        <v>42504</v>
      </c>
      <c r="G223">
        <v>2</v>
      </c>
      <c r="H223">
        <v>6</v>
      </c>
    </row>
    <row r="224" spans="1:8" x14ac:dyDescent="0.3">
      <c r="A224">
        <v>223</v>
      </c>
      <c r="B224">
        <v>1368</v>
      </c>
      <c r="C224" t="s">
        <v>5248</v>
      </c>
      <c r="D224" s="1">
        <v>42505</v>
      </c>
      <c r="E224" s="1">
        <v>42506</v>
      </c>
      <c r="F224" s="1">
        <v>42507</v>
      </c>
      <c r="G224">
        <v>2</v>
      </c>
      <c r="H224">
        <v>7</v>
      </c>
    </row>
    <row r="225" spans="1:8" x14ac:dyDescent="0.3">
      <c r="A225">
        <v>224</v>
      </c>
      <c r="B225">
        <v>157</v>
      </c>
      <c r="C225" t="s">
        <v>5248</v>
      </c>
      <c r="D225" s="1">
        <v>42507</v>
      </c>
      <c r="E225" s="1">
        <v>42508</v>
      </c>
      <c r="F225" s="1">
        <v>42509</v>
      </c>
      <c r="G225">
        <v>1</v>
      </c>
      <c r="H225">
        <v>3</v>
      </c>
    </row>
    <row r="226" spans="1:8" x14ac:dyDescent="0.3">
      <c r="A226">
        <v>225</v>
      </c>
      <c r="B226">
        <v>307</v>
      </c>
      <c r="C226" t="s">
        <v>5248</v>
      </c>
      <c r="D226" s="1">
        <v>42507</v>
      </c>
      <c r="E226" s="1">
        <v>42510</v>
      </c>
      <c r="F226" s="1">
        <v>42509</v>
      </c>
      <c r="G226">
        <v>1</v>
      </c>
      <c r="H226">
        <v>3</v>
      </c>
    </row>
    <row r="227" spans="1:8" x14ac:dyDescent="0.3">
      <c r="A227">
        <v>226</v>
      </c>
      <c r="B227">
        <v>501</v>
      </c>
      <c r="C227" t="s">
        <v>5248</v>
      </c>
      <c r="D227" s="1">
        <v>42507</v>
      </c>
      <c r="E227" s="1">
        <v>42509</v>
      </c>
      <c r="F227" s="1">
        <v>42510</v>
      </c>
      <c r="G227">
        <v>1</v>
      </c>
      <c r="H227">
        <v>2</v>
      </c>
    </row>
    <row r="228" spans="1:8" x14ac:dyDescent="0.3">
      <c r="A228">
        <v>227</v>
      </c>
      <c r="B228">
        <v>489</v>
      </c>
      <c r="C228" t="s">
        <v>5248</v>
      </c>
      <c r="D228" s="1">
        <v>42507</v>
      </c>
      <c r="E228" s="1">
        <v>42508</v>
      </c>
      <c r="F228" s="1">
        <v>42510</v>
      </c>
      <c r="G228">
        <v>2</v>
      </c>
      <c r="H228">
        <v>7</v>
      </c>
    </row>
    <row r="229" spans="1:8" x14ac:dyDescent="0.3">
      <c r="A229">
        <v>228</v>
      </c>
      <c r="B229">
        <v>615</v>
      </c>
      <c r="C229" t="s">
        <v>5248</v>
      </c>
      <c r="D229" s="1">
        <v>42507</v>
      </c>
      <c r="E229" s="1">
        <v>42510</v>
      </c>
      <c r="F229" s="1">
        <v>42510</v>
      </c>
      <c r="G229">
        <v>2</v>
      </c>
      <c r="H229">
        <v>7</v>
      </c>
    </row>
    <row r="230" spans="1:8" x14ac:dyDescent="0.3">
      <c r="A230">
        <v>229</v>
      </c>
      <c r="B230">
        <v>742</v>
      </c>
      <c r="C230" t="s">
        <v>5248</v>
      </c>
      <c r="D230" s="1">
        <v>42509</v>
      </c>
      <c r="E230" s="1">
        <v>42511</v>
      </c>
      <c r="F230" s="1">
        <v>42510</v>
      </c>
      <c r="G230">
        <v>2</v>
      </c>
      <c r="H230">
        <v>6</v>
      </c>
    </row>
    <row r="231" spans="1:8" x14ac:dyDescent="0.3">
      <c r="A231">
        <v>230</v>
      </c>
      <c r="B231">
        <v>1167</v>
      </c>
      <c r="C231" t="s">
        <v>5248</v>
      </c>
      <c r="D231" s="1">
        <v>42509</v>
      </c>
      <c r="E231" s="1">
        <v>42510</v>
      </c>
      <c r="F231" s="1">
        <v>42511</v>
      </c>
      <c r="G231">
        <v>2</v>
      </c>
      <c r="H231">
        <v>6</v>
      </c>
    </row>
    <row r="232" spans="1:8" x14ac:dyDescent="0.3">
      <c r="A232">
        <v>231</v>
      </c>
      <c r="B232">
        <v>1257</v>
      </c>
      <c r="C232" t="s">
        <v>5248</v>
      </c>
      <c r="D232" s="1">
        <v>42509</v>
      </c>
      <c r="E232" s="1">
        <v>42512</v>
      </c>
      <c r="F232" s="1">
        <v>42511</v>
      </c>
      <c r="G232">
        <v>2</v>
      </c>
      <c r="H232">
        <v>6</v>
      </c>
    </row>
    <row r="233" spans="1:8" x14ac:dyDescent="0.3">
      <c r="A233">
        <v>232</v>
      </c>
      <c r="B233">
        <v>1360</v>
      </c>
      <c r="C233" t="s">
        <v>5248</v>
      </c>
      <c r="D233" s="1">
        <v>42510</v>
      </c>
      <c r="E233" s="1">
        <v>42513</v>
      </c>
      <c r="F233" s="1">
        <v>42513</v>
      </c>
      <c r="G233">
        <v>1</v>
      </c>
      <c r="H233">
        <v>3</v>
      </c>
    </row>
    <row r="234" spans="1:8" x14ac:dyDescent="0.3">
      <c r="A234">
        <v>233</v>
      </c>
      <c r="B234">
        <v>737</v>
      </c>
      <c r="C234" t="s">
        <v>5248</v>
      </c>
      <c r="D234" s="1">
        <v>42511</v>
      </c>
      <c r="E234" s="1">
        <v>42512</v>
      </c>
      <c r="F234" s="1">
        <v>42514</v>
      </c>
      <c r="G234">
        <v>2</v>
      </c>
      <c r="H234">
        <v>6</v>
      </c>
    </row>
    <row r="235" spans="1:8" x14ac:dyDescent="0.3">
      <c r="A235">
        <v>234</v>
      </c>
      <c r="B235">
        <v>1435</v>
      </c>
      <c r="C235" t="s">
        <v>5248</v>
      </c>
      <c r="D235" s="1">
        <v>42512</v>
      </c>
      <c r="E235" s="1">
        <v>42514</v>
      </c>
      <c r="F235" s="1">
        <v>42514</v>
      </c>
      <c r="G235">
        <v>2</v>
      </c>
      <c r="H235">
        <v>6</v>
      </c>
    </row>
    <row r="236" spans="1:8" x14ac:dyDescent="0.3">
      <c r="A236">
        <v>235</v>
      </c>
      <c r="B236">
        <v>649</v>
      </c>
      <c r="C236" t="s">
        <v>5248</v>
      </c>
      <c r="D236" s="1">
        <v>42514</v>
      </c>
      <c r="E236" s="1">
        <v>42515</v>
      </c>
      <c r="F236" s="1">
        <v>42515</v>
      </c>
      <c r="G236">
        <v>2</v>
      </c>
      <c r="H236">
        <v>6</v>
      </c>
    </row>
    <row r="237" spans="1:8" x14ac:dyDescent="0.3">
      <c r="A237">
        <v>236</v>
      </c>
      <c r="B237">
        <v>206</v>
      </c>
      <c r="C237" t="s">
        <v>5248</v>
      </c>
      <c r="D237" s="1">
        <v>42515</v>
      </c>
      <c r="E237" s="1">
        <v>42517</v>
      </c>
      <c r="F237" s="1">
        <v>42516</v>
      </c>
      <c r="G237">
        <v>2</v>
      </c>
      <c r="H237">
        <v>6</v>
      </c>
    </row>
    <row r="238" spans="1:8" x14ac:dyDescent="0.3">
      <c r="A238">
        <v>237</v>
      </c>
      <c r="B238">
        <v>1351</v>
      </c>
      <c r="C238" t="s">
        <v>5248</v>
      </c>
      <c r="D238" s="1">
        <v>42515</v>
      </c>
      <c r="E238" s="1">
        <v>42516</v>
      </c>
      <c r="F238" s="1">
        <v>42517</v>
      </c>
      <c r="G238">
        <v>2</v>
      </c>
      <c r="H238">
        <v>7</v>
      </c>
    </row>
    <row r="239" spans="1:8" x14ac:dyDescent="0.3">
      <c r="A239">
        <v>238</v>
      </c>
      <c r="B239">
        <v>1350</v>
      </c>
      <c r="C239" t="s">
        <v>5248</v>
      </c>
      <c r="D239" s="1">
        <v>42516</v>
      </c>
      <c r="E239" s="1">
        <v>42519</v>
      </c>
      <c r="F239" s="1">
        <v>42519</v>
      </c>
      <c r="G239">
        <v>2</v>
      </c>
      <c r="H239">
        <v>6</v>
      </c>
    </row>
    <row r="240" spans="1:8" x14ac:dyDescent="0.3">
      <c r="A240">
        <v>239</v>
      </c>
      <c r="B240">
        <v>13</v>
      </c>
      <c r="C240" t="s">
        <v>5249</v>
      </c>
      <c r="D240" s="1">
        <v>42517</v>
      </c>
      <c r="E240" s="1">
        <v>42517</v>
      </c>
      <c r="F240" s="1"/>
      <c r="G240">
        <v>3</v>
      </c>
      <c r="H240">
        <v>9</v>
      </c>
    </row>
    <row r="241" spans="1:8" x14ac:dyDescent="0.3">
      <c r="A241">
        <v>240</v>
      </c>
      <c r="B241">
        <v>65</v>
      </c>
      <c r="C241" t="s">
        <v>5248</v>
      </c>
      <c r="D241" s="1">
        <v>42517</v>
      </c>
      <c r="E241" s="1">
        <v>42519</v>
      </c>
      <c r="F241" s="1">
        <v>42520</v>
      </c>
      <c r="G241">
        <v>2</v>
      </c>
      <c r="H241">
        <v>6</v>
      </c>
    </row>
    <row r="242" spans="1:8" x14ac:dyDescent="0.3">
      <c r="A242">
        <v>241</v>
      </c>
      <c r="B242">
        <v>1082</v>
      </c>
      <c r="C242" t="s">
        <v>5248</v>
      </c>
      <c r="D242" s="1">
        <v>42517</v>
      </c>
      <c r="E242" s="1">
        <v>42519</v>
      </c>
      <c r="F242" s="1">
        <v>42519</v>
      </c>
      <c r="G242">
        <v>2</v>
      </c>
      <c r="H242">
        <v>7</v>
      </c>
    </row>
    <row r="243" spans="1:8" x14ac:dyDescent="0.3">
      <c r="A243">
        <v>242</v>
      </c>
      <c r="B243">
        <v>1168</v>
      </c>
      <c r="C243" t="s">
        <v>5248</v>
      </c>
      <c r="D243" s="1">
        <v>42517</v>
      </c>
      <c r="E243" s="1">
        <v>42520</v>
      </c>
      <c r="F243" s="1">
        <v>42520</v>
      </c>
      <c r="G243">
        <v>2</v>
      </c>
      <c r="H243">
        <v>7</v>
      </c>
    </row>
    <row r="244" spans="1:8" x14ac:dyDescent="0.3">
      <c r="A244">
        <v>243</v>
      </c>
      <c r="B244">
        <v>802</v>
      </c>
      <c r="C244" t="s">
        <v>5248</v>
      </c>
      <c r="D244" s="1">
        <v>42517</v>
      </c>
      <c r="E244" s="1">
        <v>42520</v>
      </c>
      <c r="F244" s="1">
        <v>42518</v>
      </c>
      <c r="G244">
        <v>3</v>
      </c>
      <c r="H244">
        <v>8</v>
      </c>
    </row>
    <row r="245" spans="1:8" x14ac:dyDescent="0.3">
      <c r="A245">
        <v>244</v>
      </c>
      <c r="B245">
        <v>956</v>
      </c>
      <c r="C245" t="s">
        <v>5248</v>
      </c>
      <c r="D245" s="1">
        <v>42518</v>
      </c>
      <c r="E245" s="1">
        <v>42519</v>
      </c>
      <c r="F245" s="1">
        <v>42519</v>
      </c>
      <c r="G245">
        <v>2</v>
      </c>
      <c r="H245">
        <v>6</v>
      </c>
    </row>
    <row r="246" spans="1:8" x14ac:dyDescent="0.3">
      <c r="A246">
        <v>245</v>
      </c>
      <c r="B246">
        <v>223</v>
      </c>
      <c r="C246" t="s">
        <v>5248</v>
      </c>
      <c r="D246" s="1">
        <v>42519</v>
      </c>
      <c r="E246" s="1">
        <v>42521</v>
      </c>
      <c r="F246" s="1">
        <v>42520</v>
      </c>
      <c r="G246">
        <v>2</v>
      </c>
      <c r="H246">
        <v>7</v>
      </c>
    </row>
    <row r="247" spans="1:8" x14ac:dyDescent="0.3">
      <c r="A247">
        <v>246</v>
      </c>
      <c r="B247">
        <v>17</v>
      </c>
      <c r="C247" t="s">
        <v>5249</v>
      </c>
      <c r="D247" s="1">
        <v>42520</v>
      </c>
      <c r="E247" s="1">
        <v>42520</v>
      </c>
      <c r="F247" s="1"/>
      <c r="G247">
        <v>2</v>
      </c>
      <c r="H247">
        <v>6</v>
      </c>
    </row>
    <row r="248" spans="1:8" x14ac:dyDescent="0.3">
      <c r="A248">
        <v>247</v>
      </c>
      <c r="B248">
        <v>928</v>
      </c>
      <c r="C248" t="s">
        <v>5248</v>
      </c>
      <c r="D248" s="1">
        <v>42520</v>
      </c>
      <c r="E248" s="1">
        <v>42522</v>
      </c>
      <c r="F248" s="1">
        <v>42522</v>
      </c>
      <c r="G248">
        <v>1</v>
      </c>
      <c r="H248">
        <v>3</v>
      </c>
    </row>
    <row r="249" spans="1:8" x14ac:dyDescent="0.3">
      <c r="A249">
        <v>248</v>
      </c>
      <c r="B249">
        <v>1376</v>
      </c>
      <c r="C249" t="s">
        <v>5248</v>
      </c>
      <c r="D249" s="1">
        <v>42520</v>
      </c>
      <c r="E249" s="1">
        <v>42522</v>
      </c>
      <c r="F249" s="1">
        <v>42521</v>
      </c>
      <c r="G249">
        <v>2</v>
      </c>
      <c r="H249">
        <v>7</v>
      </c>
    </row>
    <row r="250" spans="1:8" x14ac:dyDescent="0.3">
      <c r="A250">
        <v>249</v>
      </c>
      <c r="B250">
        <v>145</v>
      </c>
      <c r="C250" t="s">
        <v>5248</v>
      </c>
      <c r="D250" s="1">
        <v>42522</v>
      </c>
      <c r="E250" s="1">
        <v>42525</v>
      </c>
      <c r="F250" s="1">
        <v>42525</v>
      </c>
      <c r="G250">
        <v>2</v>
      </c>
      <c r="H250">
        <v>6</v>
      </c>
    </row>
    <row r="251" spans="1:8" x14ac:dyDescent="0.3">
      <c r="A251">
        <v>250</v>
      </c>
      <c r="B251">
        <v>150</v>
      </c>
      <c r="C251" t="s">
        <v>5248</v>
      </c>
      <c r="D251" s="1">
        <v>42522</v>
      </c>
      <c r="E251" s="1">
        <v>42523</v>
      </c>
      <c r="F251" s="1">
        <v>42525</v>
      </c>
      <c r="G251">
        <v>2</v>
      </c>
      <c r="H251">
        <v>7</v>
      </c>
    </row>
    <row r="252" spans="1:8" x14ac:dyDescent="0.3">
      <c r="A252">
        <v>251</v>
      </c>
      <c r="B252">
        <v>851</v>
      </c>
      <c r="C252" t="s">
        <v>5248</v>
      </c>
      <c r="D252" s="1">
        <v>42522</v>
      </c>
      <c r="E252" s="1">
        <v>42525</v>
      </c>
      <c r="F252" s="1">
        <v>42525</v>
      </c>
      <c r="G252">
        <v>2</v>
      </c>
      <c r="H252">
        <v>7</v>
      </c>
    </row>
    <row r="253" spans="1:8" x14ac:dyDescent="0.3">
      <c r="A253">
        <v>252</v>
      </c>
      <c r="B253">
        <v>66</v>
      </c>
      <c r="C253" t="s">
        <v>5248</v>
      </c>
      <c r="D253" s="1">
        <v>42522</v>
      </c>
      <c r="E253" s="1">
        <v>42525</v>
      </c>
      <c r="F253" s="1">
        <v>42523</v>
      </c>
      <c r="G253">
        <v>3</v>
      </c>
      <c r="H253">
        <v>8</v>
      </c>
    </row>
    <row r="254" spans="1:8" x14ac:dyDescent="0.3">
      <c r="A254">
        <v>253</v>
      </c>
      <c r="B254">
        <v>1267</v>
      </c>
      <c r="C254" t="s">
        <v>5248</v>
      </c>
      <c r="D254" s="1">
        <v>42523</v>
      </c>
      <c r="E254" s="1">
        <v>42526</v>
      </c>
      <c r="F254" s="1">
        <v>42526</v>
      </c>
      <c r="G254">
        <v>2</v>
      </c>
      <c r="H254">
        <v>6</v>
      </c>
    </row>
    <row r="255" spans="1:8" x14ac:dyDescent="0.3">
      <c r="A255">
        <v>254</v>
      </c>
      <c r="B255">
        <v>510</v>
      </c>
      <c r="C255" t="s">
        <v>5248</v>
      </c>
      <c r="D255" s="1">
        <v>42524</v>
      </c>
      <c r="E255" s="1">
        <v>42527</v>
      </c>
      <c r="F255" s="1">
        <v>42526</v>
      </c>
      <c r="G255">
        <v>2</v>
      </c>
      <c r="H255">
        <v>7</v>
      </c>
    </row>
    <row r="256" spans="1:8" x14ac:dyDescent="0.3">
      <c r="A256">
        <v>255</v>
      </c>
      <c r="B256">
        <v>801</v>
      </c>
      <c r="C256" t="s">
        <v>5248</v>
      </c>
      <c r="D256" s="1">
        <v>42524</v>
      </c>
      <c r="E256" s="1">
        <v>42527</v>
      </c>
      <c r="F256" s="1">
        <v>42526</v>
      </c>
      <c r="G256">
        <v>2</v>
      </c>
      <c r="H256">
        <v>7</v>
      </c>
    </row>
    <row r="257" spans="1:8" x14ac:dyDescent="0.3">
      <c r="A257">
        <v>256</v>
      </c>
      <c r="B257">
        <v>26</v>
      </c>
      <c r="C257" t="s">
        <v>5248</v>
      </c>
      <c r="D257" s="1">
        <v>42525</v>
      </c>
      <c r="E257" s="1">
        <v>42526</v>
      </c>
      <c r="F257" s="1">
        <v>42528</v>
      </c>
      <c r="G257">
        <v>2</v>
      </c>
      <c r="H257">
        <v>7</v>
      </c>
    </row>
    <row r="258" spans="1:8" x14ac:dyDescent="0.3">
      <c r="A258">
        <v>257</v>
      </c>
      <c r="B258">
        <v>1314</v>
      </c>
      <c r="C258" t="s">
        <v>5248</v>
      </c>
      <c r="D258" s="1">
        <v>42526</v>
      </c>
      <c r="E258" s="1">
        <v>42527</v>
      </c>
      <c r="F258" s="1">
        <v>42529</v>
      </c>
      <c r="G258">
        <v>1</v>
      </c>
      <c r="H258">
        <v>3</v>
      </c>
    </row>
    <row r="259" spans="1:8" x14ac:dyDescent="0.3">
      <c r="A259">
        <v>258</v>
      </c>
      <c r="B259">
        <v>107</v>
      </c>
      <c r="C259" t="s">
        <v>5248</v>
      </c>
      <c r="D259" s="1">
        <v>42527</v>
      </c>
      <c r="E259" s="1">
        <v>42528</v>
      </c>
      <c r="F259" s="1">
        <v>42528</v>
      </c>
      <c r="G259">
        <v>2</v>
      </c>
      <c r="H259">
        <v>7</v>
      </c>
    </row>
    <row r="260" spans="1:8" x14ac:dyDescent="0.3">
      <c r="A260">
        <v>259</v>
      </c>
      <c r="B260">
        <v>413</v>
      </c>
      <c r="C260" t="s">
        <v>5248</v>
      </c>
      <c r="D260" s="1">
        <v>42527</v>
      </c>
      <c r="E260" s="1">
        <v>42530</v>
      </c>
      <c r="F260" s="1">
        <v>42530</v>
      </c>
      <c r="G260">
        <v>2</v>
      </c>
      <c r="H260">
        <v>7</v>
      </c>
    </row>
    <row r="261" spans="1:8" x14ac:dyDescent="0.3">
      <c r="A261">
        <v>260</v>
      </c>
      <c r="B261">
        <v>632</v>
      </c>
      <c r="C261" t="s">
        <v>5248</v>
      </c>
      <c r="D261" s="1">
        <v>42527</v>
      </c>
      <c r="E261" s="1">
        <v>42529</v>
      </c>
      <c r="F261" s="1">
        <v>42529</v>
      </c>
      <c r="G261">
        <v>2</v>
      </c>
      <c r="H261">
        <v>6</v>
      </c>
    </row>
    <row r="262" spans="1:8" x14ac:dyDescent="0.3">
      <c r="A262">
        <v>261</v>
      </c>
      <c r="B262">
        <v>1045</v>
      </c>
      <c r="C262" t="s">
        <v>5248</v>
      </c>
      <c r="D262" s="1">
        <v>42529</v>
      </c>
      <c r="E262" s="1">
        <v>42531</v>
      </c>
      <c r="F262" s="1">
        <v>42530</v>
      </c>
      <c r="G262">
        <v>1</v>
      </c>
      <c r="H262">
        <v>2</v>
      </c>
    </row>
    <row r="263" spans="1:8" x14ac:dyDescent="0.3">
      <c r="A263">
        <v>262</v>
      </c>
      <c r="B263">
        <v>579</v>
      </c>
      <c r="C263" t="s">
        <v>5248</v>
      </c>
      <c r="D263" s="1">
        <v>42529</v>
      </c>
      <c r="E263" s="1">
        <v>42532</v>
      </c>
      <c r="F263" s="1">
        <v>42531</v>
      </c>
      <c r="G263">
        <v>3</v>
      </c>
      <c r="H263">
        <v>9</v>
      </c>
    </row>
    <row r="264" spans="1:8" x14ac:dyDescent="0.3">
      <c r="A264">
        <v>263</v>
      </c>
      <c r="B264">
        <v>1322</v>
      </c>
      <c r="C264" t="s">
        <v>5248</v>
      </c>
      <c r="D264" s="1">
        <v>42530</v>
      </c>
      <c r="E264" s="1">
        <v>42531</v>
      </c>
      <c r="F264" s="1">
        <v>42533</v>
      </c>
      <c r="G264">
        <v>2</v>
      </c>
      <c r="H264">
        <v>6</v>
      </c>
    </row>
    <row r="265" spans="1:8" x14ac:dyDescent="0.3">
      <c r="A265">
        <v>264</v>
      </c>
      <c r="B265">
        <v>5</v>
      </c>
      <c r="C265" t="s">
        <v>5249</v>
      </c>
      <c r="D265" s="1">
        <v>42531</v>
      </c>
      <c r="E265" s="1">
        <v>42531</v>
      </c>
      <c r="F265" s="1"/>
      <c r="G265">
        <v>1</v>
      </c>
      <c r="H265">
        <v>3</v>
      </c>
    </row>
    <row r="266" spans="1:8" x14ac:dyDescent="0.3">
      <c r="A266">
        <v>265</v>
      </c>
      <c r="B266">
        <v>682</v>
      </c>
      <c r="C266" t="s">
        <v>5248</v>
      </c>
      <c r="D266" s="1">
        <v>42531</v>
      </c>
      <c r="E266" s="1">
        <v>42533</v>
      </c>
      <c r="F266" s="1">
        <v>42532</v>
      </c>
      <c r="G266">
        <v>2</v>
      </c>
      <c r="H266">
        <v>7</v>
      </c>
    </row>
    <row r="267" spans="1:8" x14ac:dyDescent="0.3">
      <c r="A267">
        <v>266</v>
      </c>
      <c r="B267">
        <v>933</v>
      </c>
      <c r="C267" t="s">
        <v>5248</v>
      </c>
      <c r="D267" s="1">
        <v>42531</v>
      </c>
      <c r="E267" s="1">
        <v>42534</v>
      </c>
      <c r="F267" s="1">
        <v>42534</v>
      </c>
      <c r="G267">
        <v>2</v>
      </c>
      <c r="H267">
        <v>7</v>
      </c>
    </row>
    <row r="268" spans="1:8" x14ac:dyDescent="0.3">
      <c r="A268">
        <v>267</v>
      </c>
      <c r="B268">
        <v>282</v>
      </c>
      <c r="C268" t="s">
        <v>5248</v>
      </c>
      <c r="D268" s="1">
        <v>42532</v>
      </c>
      <c r="E268" s="1">
        <v>42535</v>
      </c>
      <c r="F268" s="1">
        <v>42535</v>
      </c>
      <c r="G268">
        <v>1</v>
      </c>
      <c r="H268">
        <v>3</v>
      </c>
    </row>
    <row r="269" spans="1:8" x14ac:dyDescent="0.3">
      <c r="A269">
        <v>268</v>
      </c>
      <c r="B269">
        <v>540</v>
      </c>
      <c r="C269" t="s">
        <v>5248</v>
      </c>
      <c r="D269" s="1">
        <v>42532</v>
      </c>
      <c r="E269" s="1">
        <v>42535</v>
      </c>
      <c r="F269" s="1">
        <v>42533</v>
      </c>
      <c r="G269">
        <v>1</v>
      </c>
      <c r="H269">
        <v>3</v>
      </c>
    </row>
    <row r="270" spans="1:8" x14ac:dyDescent="0.3">
      <c r="A270">
        <v>269</v>
      </c>
      <c r="B270">
        <v>764</v>
      </c>
      <c r="C270" t="s">
        <v>5248</v>
      </c>
      <c r="D270" s="1">
        <v>42533</v>
      </c>
      <c r="E270" s="1">
        <v>42534</v>
      </c>
      <c r="F270" s="1">
        <v>42536</v>
      </c>
      <c r="G270">
        <v>2</v>
      </c>
      <c r="H270">
        <v>6</v>
      </c>
    </row>
    <row r="271" spans="1:8" x14ac:dyDescent="0.3">
      <c r="A271">
        <v>270</v>
      </c>
      <c r="B271">
        <v>879</v>
      </c>
      <c r="C271" t="s">
        <v>5248</v>
      </c>
      <c r="D271" s="1">
        <v>42533</v>
      </c>
      <c r="E271" s="1">
        <v>42536</v>
      </c>
      <c r="F271" s="1">
        <v>42534</v>
      </c>
      <c r="G271">
        <v>2</v>
      </c>
      <c r="H271">
        <v>7</v>
      </c>
    </row>
    <row r="272" spans="1:8" x14ac:dyDescent="0.3">
      <c r="A272">
        <v>271</v>
      </c>
      <c r="B272">
        <v>350</v>
      </c>
      <c r="C272" t="s">
        <v>5248</v>
      </c>
      <c r="D272" s="1">
        <v>42534</v>
      </c>
      <c r="E272" s="1">
        <v>42537</v>
      </c>
      <c r="F272" s="1">
        <v>42535</v>
      </c>
      <c r="G272">
        <v>2</v>
      </c>
      <c r="H272">
        <v>7</v>
      </c>
    </row>
    <row r="273" spans="1:8" x14ac:dyDescent="0.3">
      <c r="A273">
        <v>272</v>
      </c>
      <c r="B273">
        <v>497</v>
      </c>
      <c r="C273" t="s">
        <v>5248</v>
      </c>
      <c r="D273" s="1">
        <v>42536</v>
      </c>
      <c r="E273" s="1">
        <v>42539</v>
      </c>
      <c r="F273" s="1">
        <v>42537</v>
      </c>
      <c r="G273">
        <v>2</v>
      </c>
      <c r="H273">
        <v>7</v>
      </c>
    </row>
    <row r="274" spans="1:8" x14ac:dyDescent="0.3">
      <c r="A274">
        <v>273</v>
      </c>
      <c r="B274">
        <v>1340</v>
      </c>
      <c r="C274" t="s">
        <v>5248</v>
      </c>
      <c r="D274" s="1">
        <v>42537</v>
      </c>
      <c r="E274" s="1">
        <v>42540</v>
      </c>
      <c r="F274" s="1">
        <v>42538</v>
      </c>
      <c r="G274">
        <v>2</v>
      </c>
      <c r="H274">
        <v>7</v>
      </c>
    </row>
    <row r="275" spans="1:8" x14ac:dyDescent="0.3">
      <c r="A275">
        <v>274</v>
      </c>
      <c r="B275">
        <v>411</v>
      </c>
      <c r="C275" t="s">
        <v>5248</v>
      </c>
      <c r="D275" s="1">
        <v>42538</v>
      </c>
      <c r="E275" s="1">
        <v>42541</v>
      </c>
      <c r="F275" s="1">
        <v>42539</v>
      </c>
      <c r="G275">
        <v>2</v>
      </c>
      <c r="H275">
        <v>7</v>
      </c>
    </row>
    <row r="276" spans="1:8" x14ac:dyDescent="0.3">
      <c r="A276">
        <v>275</v>
      </c>
      <c r="B276">
        <v>1341</v>
      </c>
      <c r="C276" t="s">
        <v>5248</v>
      </c>
      <c r="D276" s="1">
        <v>42538</v>
      </c>
      <c r="E276" s="1">
        <v>42540</v>
      </c>
      <c r="F276" s="1">
        <v>42539</v>
      </c>
      <c r="G276">
        <v>2</v>
      </c>
      <c r="H276">
        <v>7</v>
      </c>
    </row>
    <row r="277" spans="1:8" x14ac:dyDescent="0.3">
      <c r="A277">
        <v>276</v>
      </c>
      <c r="B277">
        <v>1227</v>
      </c>
      <c r="C277" t="s">
        <v>5248</v>
      </c>
      <c r="D277" s="1">
        <v>42539</v>
      </c>
      <c r="E277" s="1">
        <v>42540</v>
      </c>
      <c r="F277" s="1">
        <v>42540</v>
      </c>
      <c r="G277">
        <v>2</v>
      </c>
      <c r="H277">
        <v>6</v>
      </c>
    </row>
    <row r="278" spans="1:8" x14ac:dyDescent="0.3">
      <c r="A278">
        <v>277</v>
      </c>
      <c r="B278">
        <v>546</v>
      </c>
      <c r="C278" t="s">
        <v>5248</v>
      </c>
      <c r="D278" s="1">
        <v>42540</v>
      </c>
      <c r="E278" s="1">
        <v>42541</v>
      </c>
      <c r="F278" s="1">
        <v>42541</v>
      </c>
      <c r="G278">
        <v>2</v>
      </c>
      <c r="H278">
        <v>7</v>
      </c>
    </row>
    <row r="279" spans="1:8" x14ac:dyDescent="0.3">
      <c r="A279">
        <v>278</v>
      </c>
      <c r="B279">
        <v>1301</v>
      </c>
      <c r="C279" t="s">
        <v>5248</v>
      </c>
      <c r="D279" s="1">
        <v>42541</v>
      </c>
      <c r="E279" s="1">
        <v>42544</v>
      </c>
      <c r="F279" s="1">
        <v>42542</v>
      </c>
      <c r="G279">
        <v>1</v>
      </c>
      <c r="H279">
        <v>3</v>
      </c>
    </row>
    <row r="280" spans="1:8" x14ac:dyDescent="0.3">
      <c r="A280">
        <v>279</v>
      </c>
      <c r="B280">
        <v>378</v>
      </c>
      <c r="C280" t="s">
        <v>5248</v>
      </c>
      <c r="D280" s="1">
        <v>42542</v>
      </c>
      <c r="E280" s="1">
        <v>42543</v>
      </c>
      <c r="F280" s="1">
        <v>42543</v>
      </c>
      <c r="G280">
        <v>2</v>
      </c>
      <c r="H280">
        <v>6</v>
      </c>
    </row>
    <row r="281" spans="1:8" x14ac:dyDescent="0.3">
      <c r="A281">
        <v>280</v>
      </c>
      <c r="B281">
        <v>638</v>
      </c>
      <c r="C281" t="s">
        <v>5248</v>
      </c>
      <c r="D281" s="1">
        <v>42542</v>
      </c>
      <c r="E281" s="1">
        <v>42543</v>
      </c>
      <c r="F281" s="1">
        <v>42544</v>
      </c>
      <c r="G281">
        <v>2</v>
      </c>
      <c r="H281">
        <v>7</v>
      </c>
    </row>
    <row r="282" spans="1:8" x14ac:dyDescent="0.3">
      <c r="A282">
        <v>281</v>
      </c>
      <c r="B282">
        <v>800</v>
      </c>
      <c r="C282" t="s">
        <v>5248</v>
      </c>
      <c r="D282" s="1">
        <v>42542</v>
      </c>
      <c r="E282" s="1">
        <v>42543</v>
      </c>
      <c r="F282" s="1">
        <v>42544</v>
      </c>
      <c r="G282">
        <v>2</v>
      </c>
      <c r="H282">
        <v>7</v>
      </c>
    </row>
    <row r="283" spans="1:8" x14ac:dyDescent="0.3">
      <c r="A283">
        <v>282</v>
      </c>
      <c r="B283">
        <v>159</v>
      </c>
      <c r="C283" t="s">
        <v>5248</v>
      </c>
      <c r="D283" s="1">
        <v>42543</v>
      </c>
      <c r="E283" s="1">
        <v>42546</v>
      </c>
      <c r="F283" s="1">
        <v>42546</v>
      </c>
      <c r="G283">
        <v>3</v>
      </c>
      <c r="H283">
        <v>9</v>
      </c>
    </row>
    <row r="284" spans="1:8" x14ac:dyDescent="0.3">
      <c r="A284">
        <v>283</v>
      </c>
      <c r="B284">
        <v>181</v>
      </c>
      <c r="C284" t="s">
        <v>5248</v>
      </c>
      <c r="D284" s="1">
        <v>42544</v>
      </c>
      <c r="E284" s="1">
        <v>42547</v>
      </c>
      <c r="F284" s="1">
        <v>42547</v>
      </c>
      <c r="G284">
        <v>1</v>
      </c>
      <c r="H284">
        <v>2</v>
      </c>
    </row>
    <row r="285" spans="1:8" x14ac:dyDescent="0.3">
      <c r="A285">
        <v>284</v>
      </c>
      <c r="B285">
        <v>1356</v>
      </c>
      <c r="C285" t="s">
        <v>5248</v>
      </c>
      <c r="D285" s="1">
        <v>42544</v>
      </c>
      <c r="E285" s="1">
        <v>42546</v>
      </c>
      <c r="F285" s="1">
        <v>42546</v>
      </c>
      <c r="G285">
        <v>2</v>
      </c>
      <c r="H285">
        <v>7</v>
      </c>
    </row>
    <row r="286" spans="1:8" x14ac:dyDescent="0.3">
      <c r="A286">
        <v>285</v>
      </c>
      <c r="B286">
        <v>319</v>
      </c>
      <c r="C286" t="s">
        <v>5248</v>
      </c>
      <c r="D286" s="1">
        <v>42546</v>
      </c>
      <c r="E286" s="1">
        <v>42547</v>
      </c>
      <c r="F286" s="1">
        <v>42548</v>
      </c>
      <c r="G286">
        <v>1</v>
      </c>
      <c r="H286">
        <v>2</v>
      </c>
    </row>
    <row r="287" spans="1:8" x14ac:dyDescent="0.3">
      <c r="A287">
        <v>286</v>
      </c>
      <c r="B287">
        <v>59</v>
      </c>
      <c r="C287" t="s">
        <v>5248</v>
      </c>
      <c r="D287" s="1">
        <v>42546</v>
      </c>
      <c r="E287" s="1">
        <v>42547</v>
      </c>
      <c r="F287" s="1">
        <v>42547</v>
      </c>
      <c r="G287">
        <v>2</v>
      </c>
      <c r="H287">
        <v>6</v>
      </c>
    </row>
    <row r="288" spans="1:8" x14ac:dyDescent="0.3">
      <c r="A288">
        <v>287</v>
      </c>
      <c r="B288">
        <v>133</v>
      </c>
      <c r="C288" t="s">
        <v>5248</v>
      </c>
      <c r="D288" s="1">
        <v>42546</v>
      </c>
      <c r="E288" s="1">
        <v>42547</v>
      </c>
      <c r="F288" s="1">
        <v>42548</v>
      </c>
      <c r="G288">
        <v>2</v>
      </c>
      <c r="H288">
        <v>6</v>
      </c>
    </row>
    <row r="289" spans="1:8" x14ac:dyDescent="0.3">
      <c r="A289">
        <v>288</v>
      </c>
      <c r="B289">
        <v>780</v>
      </c>
      <c r="C289" t="s">
        <v>5248</v>
      </c>
      <c r="D289" s="1">
        <v>42546</v>
      </c>
      <c r="E289" s="1">
        <v>42549</v>
      </c>
      <c r="F289" s="1">
        <v>42549</v>
      </c>
      <c r="G289">
        <v>2</v>
      </c>
      <c r="H289">
        <v>6</v>
      </c>
    </row>
    <row r="290" spans="1:8" x14ac:dyDescent="0.3">
      <c r="A290">
        <v>289</v>
      </c>
      <c r="B290">
        <v>849</v>
      </c>
      <c r="C290" t="s">
        <v>5248</v>
      </c>
      <c r="D290" s="1">
        <v>42548</v>
      </c>
      <c r="E290" s="1">
        <v>42549</v>
      </c>
      <c r="F290" s="1">
        <v>42551</v>
      </c>
      <c r="G290">
        <v>2</v>
      </c>
      <c r="H290">
        <v>6</v>
      </c>
    </row>
    <row r="291" spans="1:8" x14ac:dyDescent="0.3">
      <c r="A291">
        <v>290</v>
      </c>
      <c r="B291">
        <v>202</v>
      </c>
      <c r="C291" t="s">
        <v>5248</v>
      </c>
      <c r="D291" s="1">
        <v>42549</v>
      </c>
      <c r="E291" s="1">
        <v>42550</v>
      </c>
      <c r="F291" s="1">
        <v>42551</v>
      </c>
      <c r="G291">
        <v>2</v>
      </c>
      <c r="H291">
        <v>6</v>
      </c>
    </row>
    <row r="292" spans="1:8" x14ac:dyDescent="0.3">
      <c r="A292">
        <v>291</v>
      </c>
      <c r="B292">
        <v>158</v>
      </c>
      <c r="C292" t="s">
        <v>5248</v>
      </c>
      <c r="D292" s="1">
        <v>42550</v>
      </c>
      <c r="E292" s="1">
        <v>42551</v>
      </c>
      <c r="F292" s="1">
        <v>42552</v>
      </c>
      <c r="G292">
        <v>2</v>
      </c>
      <c r="H292">
        <v>6</v>
      </c>
    </row>
    <row r="293" spans="1:8" x14ac:dyDescent="0.3">
      <c r="A293">
        <v>292</v>
      </c>
      <c r="B293">
        <v>360</v>
      </c>
      <c r="C293" t="s">
        <v>5248</v>
      </c>
      <c r="D293" s="1">
        <v>42550</v>
      </c>
      <c r="E293" s="1">
        <v>42551</v>
      </c>
      <c r="F293" s="1">
        <v>42553</v>
      </c>
      <c r="G293">
        <v>3</v>
      </c>
      <c r="H293">
        <v>9</v>
      </c>
    </row>
    <row r="294" spans="1:8" x14ac:dyDescent="0.3">
      <c r="A294">
        <v>293</v>
      </c>
      <c r="B294">
        <v>573</v>
      </c>
      <c r="C294" t="s">
        <v>5248</v>
      </c>
      <c r="D294" s="1">
        <v>42551</v>
      </c>
      <c r="E294" s="1">
        <v>42554</v>
      </c>
      <c r="F294" s="1">
        <v>42553</v>
      </c>
      <c r="G294">
        <v>2</v>
      </c>
      <c r="H294">
        <v>7</v>
      </c>
    </row>
    <row r="295" spans="1:8" x14ac:dyDescent="0.3">
      <c r="A295">
        <v>294</v>
      </c>
      <c r="B295">
        <v>732</v>
      </c>
      <c r="C295" t="s">
        <v>5248</v>
      </c>
      <c r="D295" s="1">
        <v>42552</v>
      </c>
      <c r="E295" s="1">
        <v>42553</v>
      </c>
      <c r="F295" s="1">
        <v>42553</v>
      </c>
      <c r="G295">
        <v>2</v>
      </c>
      <c r="H295">
        <v>7</v>
      </c>
    </row>
    <row r="296" spans="1:8" x14ac:dyDescent="0.3">
      <c r="A296">
        <v>295</v>
      </c>
      <c r="B296">
        <v>1130</v>
      </c>
      <c r="C296" t="s">
        <v>5248</v>
      </c>
      <c r="D296" s="1">
        <v>42552</v>
      </c>
      <c r="E296" s="1">
        <v>42555</v>
      </c>
      <c r="F296" s="1">
        <v>42555</v>
      </c>
      <c r="G296">
        <v>2</v>
      </c>
      <c r="H296">
        <v>7</v>
      </c>
    </row>
    <row r="297" spans="1:8" x14ac:dyDescent="0.3">
      <c r="A297">
        <v>296</v>
      </c>
      <c r="B297">
        <v>1245</v>
      </c>
      <c r="C297" t="s">
        <v>5248</v>
      </c>
      <c r="D297" s="1">
        <v>42555</v>
      </c>
      <c r="E297" s="1">
        <v>42558</v>
      </c>
      <c r="F297" s="1">
        <v>42557</v>
      </c>
      <c r="G297">
        <v>2</v>
      </c>
      <c r="H297">
        <v>6</v>
      </c>
    </row>
    <row r="298" spans="1:8" x14ac:dyDescent="0.3">
      <c r="A298">
        <v>297</v>
      </c>
      <c r="B298">
        <v>1425</v>
      </c>
      <c r="C298" t="s">
        <v>5248</v>
      </c>
      <c r="D298" s="1">
        <v>42555</v>
      </c>
      <c r="E298" s="1">
        <v>42556</v>
      </c>
      <c r="F298" s="1">
        <v>42557</v>
      </c>
      <c r="G298">
        <v>2</v>
      </c>
      <c r="H298">
        <v>7</v>
      </c>
    </row>
    <row r="299" spans="1:8" x14ac:dyDescent="0.3">
      <c r="A299">
        <v>298</v>
      </c>
      <c r="B299">
        <v>885</v>
      </c>
      <c r="C299" t="s">
        <v>5248</v>
      </c>
      <c r="D299" s="1">
        <v>42555</v>
      </c>
      <c r="E299" s="1">
        <v>42558</v>
      </c>
      <c r="F299" s="1">
        <v>42558</v>
      </c>
      <c r="G299">
        <v>3</v>
      </c>
      <c r="H299">
        <v>9</v>
      </c>
    </row>
    <row r="300" spans="1:8" x14ac:dyDescent="0.3">
      <c r="A300">
        <v>299</v>
      </c>
      <c r="B300">
        <v>281</v>
      </c>
      <c r="C300" t="s">
        <v>5248</v>
      </c>
      <c r="D300" s="1">
        <v>42556</v>
      </c>
      <c r="E300" s="1">
        <v>42557</v>
      </c>
      <c r="F300" s="1">
        <v>42558</v>
      </c>
      <c r="G300">
        <v>2</v>
      </c>
      <c r="H300">
        <v>6</v>
      </c>
    </row>
    <row r="301" spans="1:8" x14ac:dyDescent="0.3">
      <c r="A301">
        <v>300</v>
      </c>
      <c r="B301">
        <v>1205</v>
      </c>
      <c r="C301" t="s">
        <v>5248</v>
      </c>
      <c r="D301" s="1">
        <v>42556</v>
      </c>
      <c r="E301" s="1">
        <v>42559</v>
      </c>
      <c r="F301" s="1">
        <v>42559</v>
      </c>
      <c r="G301">
        <v>2</v>
      </c>
      <c r="H301">
        <v>6</v>
      </c>
    </row>
    <row r="302" spans="1:8" x14ac:dyDescent="0.3">
      <c r="A302">
        <v>301</v>
      </c>
      <c r="B302">
        <v>17</v>
      </c>
      <c r="C302" t="s">
        <v>5248</v>
      </c>
      <c r="D302" s="1">
        <v>42557</v>
      </c>
      <c r="E302" s="1">
        <v>42560</v>
      </c>
      <c r="F302" s="1">
        <v>42559</v>
      </c>
      <c r="G302">
        <v>2</v>
      </c>
      <c r="H302">
        <v>6</v>
      </c>
    </row>
    <row r="303" spans="1:8" x14ac:dyDescent="0.3">
      <c r="A303">
        <v>302</v>
      </c>
      <c r="B303">
        <v>1375</v>
      </c>
      <c r="C303" t="s">
        <v>5248</v>
      </c>
      <c r="D303" s="1">
        <v>42557</v>
      </c>
      <c r="E303" s="1">
        <v>42558</v>
      </c>
      <c r="F303" s="1">
        <v>42560</v>
      </c>
      <c r="G303">
        <v>2</v>
      </c>
      <c r="H303">
        <v>6</v>
      </c>
    </row>
    <row r="304" spans="1:8" x14ac:dyDescent="0.3">
      <c r="A304">
        <v>303</v>
      </c>
      <c r="B304">
        <v>36</v>
      </c>
      <c r="C304" t="s">
        <v>5248</v>
      </c>
      <c r="D304" s="1">
        <v>42558</v>
      </c>
      <c r="E304" s="1">
        <v>42559</v>
      </c>
      <c r="F304" s="1">
        <v>42560</v>
      </c>
      <c r="G304">
        <v>2</v>
      </c>
      <c r="H304">
        <v>7</v>
      </c>
    </row>
    <row r="305" spans="1:8" x14ac:dyDescent="0.3">
      <c r="A305">
        <v>304</v>
      </c>
      <c r="B305">
        <v>230</v>
      </c>
      <c r="C305" t="s">
        <v>5248</v>
      </c>
      <c r="D305" s="1">
        <v>42558</v>
      </c>
      <c r="E305" s="1">
        <v>42559</v>
      </c>
      <c r="F305" s="1">
        <v>42559</v>
      </c>
      <c r="G305">
        <v>2</v>
      </c>
      <c r="H305">
        <v>6</v>
      </c>
    </row>
    <row r="306" spans="1:8" x14ac:dyDescent="0.3">
      <c r="A306">
        <v>305</v>
      </c>
      <c r="B306">
        <v>705</v>
      </c>
      <c r="C306" t="s">
        <v>5248</v>
      </c>
      <c r="D306" s="1">
        <v>42558</v>
      </c>
      <c r="E306" s="1">
        <v>42559</v>
      </c>
      <c r="F306" s="1">
        <v>42559</v>
      </c>
      <c r="G306">
        <v>2</v>
      </c>
      <c r="H306">
        <v>7</v>
      </c>
    </row>
    <row r="307" spans="1:8" x14ac:dyDescent="0.3">
      <c r="A307">
        <v>306</v>
      </c>
      <c r="B307">
        <v>424</v>
      </c>
      <c r="C307" t="s">
        <v>5248</v>
      </c>
      <c r="D307" s="1">
        <v>42560</v>
      </c>
      <c r="E307" s="1">
        <v>42561</v>
      </c>
      <c r="F307" s="1">
        <v>42563</v>
      </c>
      <c r="G307">
        <v>2</v>
      </c>
      <c r="H307">
        <v>7</v>
      </c>
    </row>
    <row r="308" spans="1:8" x14ac:dyDescent="0.3">
      <c r="A308">
        <v>307</v>
      </c>
      <c r="B308">
        <v>695</v>
      </c>
      <c r="C308" t="s">
        <v>5248</v>
      </c>
      <c r="D308" s="1">
        <v>42560</v>
      </c>
      <c r="E308" s="1">
        <v>42562</v>
      </c>
      <c r="F308" s="1">
        <v>42562</v>
      </c>
      <c r="G308">
        <v>2</v>
      </c>
      <c r="H308">
        <v>6</v>
      </c>
    </row>
    <row r="309" spans="1:8" x14ac:dyDescent="0.3">
      <c r="A309">
        <v>308</v>
      </c>
      <c r="B309">
        <v>156</v>
      </c>
      <c r="C309" t="s">
        <v>5248</v>
      </c>
      <c r="D309" s="1">
        <v>42562</v>
      </c>
      <c r="E309" s="1">
        <v>42563</v>
      </c>
      <c r="F309" s="1">
        <v>42565</v>
      </c>
      <c r="G309">
        <v>2</v>
      </c>
      <c r="H309">
        <v>6</v>
      </c>
    </row>
    <row r="310" spans="1:8" x14ac:dyDescent="0.3">
      <c r="A310">
        <v>309</v>
      </c>
      <c r="B310">
        <v>211</v>
      </c>
      <c r="C310" t="s">
        <v>5248</v>
      </c>
      <c r="D310" s="1">
        <v>42562</v>
      </c>
      <c r="E310" s="1">
        <v>42564</v>
      </c>
      <c r="F310" s="1">
        <v>42564</v>
      </c>
      <c r="G310">
        <v>2</v>
      </c>
      <c r="H310">
        <v>6</v>
      </c>
    </row>
    <row r="311" spans="1:8" x14ac:dyDescent="0.3">
      <c r="A311">
        <v>310</v>
      </c>
      <c r="B311">
        <v>627</v>
      </c>
      <c r="C311" t="s">
        <v>5248</v>
      </c>
      <c r="D311" s="1">
        <v>42563</v>
      </c>
      <c r="E311" s="1">
        <v>42564</v>
      </c>
      <c r="F311" s="1">
        <v>42564</v>
      </c>
      <c r="G311">
        <v>1</v>
      </c>
      <c r="H311">
        <v>2</v>
      </c>
    </row>
    <row r="312" spans="1:8" x14ac:dyDescent="0.3">
      <c r="A312">
        <v>311</v>
      </c>
      <c r="B312">
        <v>1400</v>
      </c>
      <c r="C312" t="s">
        <v>5248</v>
      </c>
      <c r="D312" s="1">
        <v>42563</v>
      </c>
      <c r="E312" s="1">
        <v>42565</v>
      </c>
      <c r="F312" s="1">
        <v>42564</v>
      </c>
      <c r="G312">
        <v>2</v>
      </c>
      <c r="H312">
        <v>6</v>
      </c>
    </row>
    <row r="313" spans="1:8" x14ac:dyDescent="0.3">
      <c r="A313">
        <v>312</v>
      </c>
      <c r="B313">
        <v>299</v>
      </c>
      <c r="C313" t="s">
        <v>5248</v>
      </c>
      <c r="D313" s="1">
        <v>42564</v>
      </c>
      <c r="E313" s="1">
        <v>42566</v>
      </c>
      <c r="F313" s="1">
        <v>42567</v>
      </c>
      <c r="G313">
        <v>2</v>
      </c>
      <c r="H313">
        <v>6</v>
      </c>
    </row>
    <row r="314" spans="1:8" x14ac:dyDescent="0.3">
      <c r="A314">
        <v>313</v>
      </c>
      <c r="B314">
        <v>565</v>
      </c>
      <c r="C314" t="s">
        <v>5248</v>
      </c>
      <c r="D314" s="1">
        <v>42565</v>
      </c>
      <c r="E314" s="1">
        <v>42566</v>
      </c>
      <c r="F314" s="1">
        <v>42566</v>
      </c>
      <c r="G314">
        <v>3</v>
      </c>
      <c r="H314">
        <v>9</v>
      </c>
    </row>
    <row r="315" spans="1:8" x14ac:dyDescent="0.3">
      <c r="A315">
        <v>314</v>
      </c>
      <c r="B315">
        <v>1019</v>
      </c>
      <c r="C315" t="s">
        <v>5248</v>
      </c>
      <c r="D315" s="1">
        <v>42566</v>
      </c>
      <c r="E315" s="1">
        <v>42568</v>
      </c>
      <c r="F315" s="1">
        <v>42568</v>
      </c>
      <c r="G315">
        <v>2</v>
      </c>
      <c r="H315">
        <v>7</v>
      </c>
    </row>
    <row r="316" spans="1:8" x14ac:dyDescent="0.3">
      <c r="A316">
        <v>315</v>
      </c>
      <c r="B316">
        <v>1263</v>
      </c>
      <c r="C316" t="s">
        <v>5248</v>
      </c>
      <c r="D316" s="1">
        <v>42567</v>
      </c>
      <c r="E316" s="1">
        <v>42570</v>
      </c>
      <c r="F316" s="1">
        <v>42568</v>
      </c>
      <c r="G316">
        <v>2</v>
      </c>
      <c r="H316">
        <v>6</v>
      </c>
    </row>
    <row r="317" spans="1:8" x14ac:dyDescent="0.3">
      <c r="A317">
        <v>316</v>
      </c>
      <c r="B317">
        <v>670</v>
      </c>
      <c r="C317" t="s">
        <v>5248</v>
      </c>
      <c r="D317" s="1">
        <v>42568</v>
      </c>
      <c r="E317" s="1">
        <v>42571</v>
      </c>
      <c r="F317" s="1">
        <v>42570</v>
      </c>
      <c r="G317">
        <v>2</v>
      </c>
      <c r="H317">
        <v>7</v>
      </c>
    </row>
    <row r="318" spans="1:8" x14ac:dyDescent="0.3">
      <c r="A318">
        <v>317</v>
      </c>
      <c r="B318">
        <v>795</v>
      </c>
      <c r="C318" t="s">
        <v>5248</v>
      </c>
      <c r="D318" s="1">
        <v>42568</v>
      </c>
      <c r="E318" s="1">
        <v>42571</v>
      </c>
      <c r="F318" s="1">
        <v>42570</v>
      </c>
      <c r="G318">
        <v>2</v>
      </c>
      <c r="H318">
        <v>7</v>
      </c>
    </row>
    <row r="319" spans="1:8" x14ac:dyDescent="0.3">
      <c r="A319">
        <v>318</v>
      </c>
      <c r="B319">
        <v>1141</v>
      </c>
      <c r="C319" t="s">
        <v>5248</v>
      </c>
      <c r="D319" s="1">
        <v>42568</v>
      </c>
      <c r="E319" s="1">
        <v>42570</v>
      </c>
      <c r="F319" s="1">
        <v>42571</v>
      </c>
      <c r="G319">
        <v>2</v>
      </c>
      <c r="H319">
        <v>7</v>
      </c>
    </row>
    <row r="320" spans="1:8" x14ac:dyDescent="0.3">
      <c r="A320">
        <v>319</v>
      </c>
      <c r="B320">
        <v>941</v>
      </c>
      <c r="C320" t="s">
        <v>5248</v>
      </c>
      <c r="D320" s="1">
        <v>42569</v>
      </c>
      <c r="E320" s="1">
        <v>42572</v>
      </c>
      <c r="F320" s="1">
        <v>42572</v>
      </c>
      <c r="G320">
        <v>2</v>
      </c>
      <c r="H320">
        <v>6</v>
      </c>
    </row>
    <row r="321" spans="1:8" x14ac:dyDescent="0.3">
      <c r="A321">
        <v>320</v>
      </c>
      <c r="B321">
        <v>1428</v>
      </c>
      <c r="C321" t="s">
        <v>5248</v>
      </c>
      <c r="D321" s="1">
        <v>42570</v>
      </c>
      <c r="E321" s="1">
        <v>42571</v>
      </c>
      <c r="F321" s="1">
        <v>42572</v>
      </c>
      <c r="G321">
        <v>1</v>
      </c>
      <c r="H321">
        <v>2</v>
      </c>
    </row>
    <row r="322" spans="1:8" x14ac:dyDescent="0.3">
      <c r="A322">
        <v>321</v>
      </c>
      <c r="B322">
        <v>568</v>
      </c>
      <c r="C322" t="s">
        <v>5248</v>
      </c>
      <c r="D322" s="1">
        <v>42570</v>
      </c>
      <c r="E322" s="1">
        <v>42573</v>
      </c>
      <c r="F322" s="1">
        <v>42572</v>
      </c>
      <c r="G322">
        <v>2</v>
      </c>
      <c r="H322">
        <v>6</v>
      </c>
    </row>
    <row r="323" spans="1:8" x14ac:dyDescent="0.3">
      <c r="A323">
        <v>322</v>
      </c>
      <c r="B323">
        <v>924</v>
      </c>
      <c r="C323" t="s">
        <v>5248</v>
      </c>
      <c r="D323" s="1">
        <v>42570</v>
      </c>
      <c r="E323" s="1">
        <v>42573</v>
      </c>
      <c r="F323" s="1">
        <v>42571</v>
      </c>
      <c r="G323">
        <v>2</v>
      </c>
      <c r="H323">
        <v>6</v>
      </c>
    </row>
    <row r="324" spans="1:8" x14ac:dyDescent="0.3">
      <c r="A324">
        <v>323</v>
      </c>
      <c r="B324">
        <v>1243</v>
      </c>
      <c r="C324" t="s">
        <v>5248</v>
      </c>
      <c r="D324" s="1">
        <v>42570</v>
      </c>
      <c r="E324" s="1">
        <v>42573</v>
      </c>
      <c r="F324" s="1">
        <v>42572</v>
      </c>
      <c r="G324">
        <v>2</v>
      </c>
      <c r="H324">
        <v>6</v>
      </c>
    </row>
    <row r="325" spans="1:8" x14ac:dyDescent="0.3">
      <c r="A325">
        <v>324</v>
      </c>
      <c r="B325">
        <v>480</v>
      </c>
      <c r="C325" t="s">
        <v>5248</v>
      </c>
      <c r="D325" s="1">
        <v>42571</v>
      </c>
      <c r="E325" s="1">
        <v>42573</v>
      </c>
      <c r="F325" s="1">
        <v>42574</v>
      </c>
      <c r="G325">
        <v>2</v>
      </c>
      <c r="H325">
        <v>6</v>
      </c>
    </row>
    <row r="326" spans="1:8" x14ac:dyDescent="0.3">
      <c r="A326">
        <v>325</v>
      </c>
      <c r="B326">
        <v>848</v>
      </c>
      <c r="C326" t="s">
        <v>5248</v>
      </c>
      <c r="D326" s="1">
        <v>42571</v>
      </c>
      <c r="E326" s="1">
        <v>42572</v>
      </c>
      <c r="F326" s="1">
        <v>42572</v>
      </c>
      <c r="G326">
        <v>2</v>
      </c>
      <c r="H326">
        <v>6</v>
      </c>
    </row>
    <row r="327" spans="1:8" x14ac:dyDescent="0.3">
      <c r="A327">
        <v>326</v>
      </c>
      <c r="B327">
        <v>1337</v>
      </c>
      <c r="C327" t="s">
        <v>5248</v>
      </c>
      <c r="D327" s="1">
        <v>42571</v>
      </c>
      <c r="E327" s="1">
        <v>42572</v>
      </c>
      <c r="F327" s="1">
        <v>42573</v>
      </c>
      <c r="G327">
        <v>3</v>
      </c>
      <c r="H327">
        <v>9</v>
      </c>
    </row>
    <row r="328" spans="1:8" x14ac:dyDescent="0.3">
      <c r="A328">
        <v>327</v>
      </c>
      <c r="B328">
        <v>83</v>
      </c>
      <c r="C328" t="s">
        <v>5248</v>
      </c>
      <c r="D328" s="1">
        <v>42572</v>
      </c>
      <c r="E328" s="1">
        <v>42575</v>
      </c>
      <c r="F328" s="1">
        <v>42573</v>
      </c>
      <c r="G328">
        <v>2</v>
      </c>
      <c r="H328">
        <v>6</v>
      </c>
    </row>
    <row r="329" spans="1:8" x14ac:dyDescent="0.3">
      <c r="A329">
        <v>328</v>
      </c>
      <c r="B329">
        <v>528</v>
      </c>
      <c r="C329" t="s">
        <v>5248</v>
      </c>
      <c r="D329" s="1">
        <v>42574</v>
      </c>
      <c r="E329" s="1">
        <v>42577</v>
      </c>
      <c r="F329" s="1">
        <v>42576</v>
      </c>
      <c r="G329">
        <v>2</v>
      </c>
      <c r="H329">
        <v>6</v>
      </c>
    </row>
    <row r="330" spans="1:8" x14ac:dyDescent="0.3">
      <c r="A330">
        <v>329</v>
      </c>
      <c r="B330">
        <v>274</v>
      </c>
      <c r="C330" t="s">
        <v>5248</v>
      </c>
      <c r="D330" s="1">
        <v>42575</v>
      </c>
      <c r="E330" s="1">
        <v>42578</v>
      </c>
      <c r="F330" s="1">
        <v>42577</v>
      </c>
      <c r="G330">
        <v>2</v>
      </c>
      <c r="H330">
        <v>6</v>
      </c>
    </row>
    <row r="331" spans="1:8" x14ac:dyDescent="0.3">
      <c r="A331">
        <v>330</v>
      </c>
      <c r="B331">
        <v>622</v>
      </c>
      <c r="C331" t="s">
        <v>5248</v>
      </c>
      <c r="D331" s="1">
        <v>42575</v>
      </c>
      <c r="E331" s="1">
        <v>42578</v>
      </c>
      <c r="F331" s="1">
        <v>42578</v>
      </c>
      <c r="G331">
        <v>2</v>
      </c>
      <c r="H331">
        <v>6</v>
      </c>
    </row>
    <row r="332" spans="1:8" x14ac:dyDescent="0.3">
      <c r="A332">
        <v>331</v>
      </c>
      <c r="B332">
        <v>642</v>
      </c>
      <c r="C332" t="s">
        <v>5248</v>
      </c>
      <c r="D332" s="1">
        <v>42575</v>
      </c>
      <c r="E332" s="1">
        <v>42577</v>
      </c>
      <c r="F332" s="1">
        <v>42576</v>
      </c>
      <c r="G332">
        <v>2</v>
      </c>
      <c r="H332">
        <v>6</v>
      </c>
    </row>
    <row r="333" spans="1:8" x14ac:dyDescent="0.3">
      <c r="A333">
        <v>332</v>
      </c>
      <c r="B333">
        <v>659</v>
      </c>
      <c r="C333" t="s">
        <v>5248</v>
      </c>
      <c r="D333" s="1">
        <v>42575</v>
      </c>
      <c r="E333" s="1">
        <v>42577</v>
      </c>
      <c r="F333" s="1">
        <v>42577</v>
      </c>
      <c r="G333">
        <v>2</v>
      </c>
      <c r="H333">
        <v>7</v>
      </c>
    </row>
    <row r="334" spans="1:8" x14ac:dyDescent="0.3">
      <c r="A334">
        <v>333</v>
      </c>
      <c r="B334">
        <v>779</v>
      </c>
      <c r="C334" t="s">
        <v>5248</v>
      </c>
      <c r="D334" s="1">
        <v>42576</v>
      </c>
      <c r="E334" s="1">
        <v>42578</v>
      </c>
      <c r="F334" s="1">
        <v>42577</v>
      </c>
      <c r="G334">
        <v>2</v>
      </c>
      <c r="H334">
        <v>6</v>
      </c>
    </row>
    <row r="335" spans="1:8" x14ac:dyDescent="0.3">
      <c r="A335">
        <v>334</v>
      </c>
      <c r="B335">
        <v>1112</v>
      </c>
      <c r="C335" t="s">
        <v>5248</v>
      </c>
      <c r="D335" s="1">
        <v>42576</v>
      </c>
      <c r="E335" s="1">
        <v>42579</v>
      </c>
      <c r="F335" s="1">
        <v>42578</v>
      </c>
      <c r="G335">
        <v>2</v>
      </c>
      <c r="H335">
        <v>7</v>
      </c>
    </row>
    <row r="336" spans="1:8" x14ac:dyDescent="0.3">
      <c r="A336">
        <v>335</v>
      </c>
      <c r="B336">
        <v>1193</v>
      </c>
      <c r="C336" t="s">
        <v>5248</v>
      </c>
      <c r="D336" s="1">
        <v>42576</v>
      </c>
      <c r="E336" s="1">
        <v>42578</v>
      </c>
      <c r="F336" s="1">
        <v>42577</v>
      </c>
      <c r="G336">
        <v>2</v>
      </c>
      <c r="H336">
        <v>6</v>
      </c>
    </row>
    <row r="337" spans="1:8" x14ac:dyDescent="0.3">
      <c r="A337">
        <v>336</v>
      </c>
      <c r="B337">
        <v>1030</v>
      </c>
      <c r="C337" t="s">
        <v>5248</v>
      </c>
      <c r="D337" s="1">
        <v>42577</v>
      </c>
      <c r="E337" s="1">
        <v>42580</v>
      </c>
      <c r="F337" s="1">
        <v>42578</v>
      </c>
      <c r="G337">
        <v>2</v>
      </c>
      <c r="H337">
        <v>7</v>
      </c>
    </row>
    <row r="338" spans="1:8" x14ac:dyDescent="0.3">
      <c r="A338">
        <v>337</v>
      </c>
      <c r="B338">
        <v>1252</v>
      </c>
      <c r="C338" t="s">
        <v>5248</v>
      </c>
      <c r="D338" s="1">
        <v>42577</v>
      </c>
      <c r="E338" s="1">
        <v>42578</v>
      </c>
      <c r="F338" s="1">
        <v>42579</v>
      </c>
      <c r="G338">
        <v>2</v>
      </c>
      <c r="H338">
        <v>7</v>
      </c>
    </row>
    <row r="339" spans="1:8" x14ac:dyDescent="0.3">
      <c r="A339">
        <v>338</v>
      </c>
      <c r="B339">
        <v>1333</v>
      </c>
      <c r="C339" t="s">
        <v>5248</v>
      </c>
      <c r="D339" s="1">
        <v>42579</v>
      </c>
      <c r="E339" s="1">
        <v>42580</v>
      </c>
      <c r="F339" s="1">
        <v>42581</v>
      </c>
      <c r="G339">
        <v>1</v>
      </c>
      <c r="H339">
        <v>3</v>
      </c>
    </row>
    <row r="340" spans="1:8" x14ac:dyDescent="0.3">
      <c r="A340">
        <v>339</v>
      </c>
      <c r="B340">
        <v>1110</v>
      </c>
      <c r="C340" t="s">
        <v>5248</v>
      </c>
      <c r="D340" s="1">
        <v>42579</v>
      </c>
      <c r="E340" s="1">
        <v>42582</v>
      </c>
      <c r="F340" s="1">
        <v>42580</v>
      </c>
      <c r="G340">
        <v>2</v>
      </c>
      <c r="H340">
        <v>7</v>
      </c>
    </row>
    <row r="341" spans="1:8" x14ac:dyDescent="0.3">
      <c r="A341">
        <v>340</v>
      </c>
      <c r="B341">
        <v>963</v>
      </c>
      <c r="C341" t="s">
        <v>5248</v>
      </c>
      <c r="D341" s="1">
        <v>42580</v>
      </c>
      <c r="E341" s="1">
        <v>42581</v>
      </c>
      <c r="F341" s="1">
        <v>42582</v>
      </c>
      <c r="G341">
        <v>2</v>
      </c>
      <c r="H341">
        <v>7</v>
      </c>
    </row>
    <row r="342" spans="1:8" x14ac:dyDescent="0.3">
      <c r="A342">
        <v>341</v>
      </c>
      <c r="B342">
        <v>1357</v>
      </c>
      <c r="C342" t="s">
        <v>5248</v>
      </c>
      <c r="D342" s="1">
        <v>42582</v>
      </c>
      <c r="E342" s="1">
        <v>42585</v>
      </c>
      <c r="F342" s="1">
        <v>42583</v>
      </c>
      <c r="G342">
        <v>1</v>
      </c>
      <c r="H342">
        <v>3</v>
      </c>
    </row>
    <row r="343" spans="1:8" x14ac:dyDescent="0.3">
      <c r="A343">
        <v>342</v>
      </c>
      <c r="B343">
        <v>806</v>
      </c>
      <c r="C343" t="s">
        <v>5248</v>
      </c>
      <c r="D343" s="1">
        <v>42582</v>
      </c>
      <c r="E343" s="1">
        <v>42583</v>
      </c>
      <c r="F343" s="1">
        <v>42585</v>
      </c>
      <c r="G343">
        <v>2</v>
      </c>
      <c r="H343">
        <v>7</v>
      </c>
    </row>
    <row r="344" spans="1:8" x14ac:dyDescent="0.3">
      <c r="A344">
        <v>343</v>
      </c>
      <c r="B344">
        <v>961</v>
      </c>
      <c r="C344" t="s">
        <v>5248</v>
      </c>
      <c r="D344" s="1">
        <v>42582</v>
      </c>
      <c r="E344" s="1">
        <v>42584</v>
      </c>
      <c r="F344" s="1">
        <v>42583</v>
      </c>
      <c r="G344">
        <v>2</v>
      </c>
      <c r="H344">
        <v>7</v>
      </c>
    </row>
    <row r="345" spans="1:8" x14ac:dyDescent="0.3">
      <c r="A345">
        <v>344</v>
      </c>
      <c r="B345">
        <v>750</v>
      </c>
      <c r="C345" t="s">
        <v>5248</v>
      </c>
      <c r="D345" s="1">
        <v>42583</v>
      </c>
      <c r="E345" s="1">
        <v>42585</v>
      </c>
      <c r="F345" s="1">
        <v>42584</v>
      </c>
      <c r="G345">
        <v>2</v>
      </c>
      <c r="H345">
        <v>6</v>
      </c>
    </row>
    <row r="346" spans="1:8" x14ac:dyDescent="0.3">
      <c r="A346">
        <v>345</v>
      </c>
      <c r="B346">
        <v>1299</v>
      </c>
      <c r="C346" t="s">
        <v>5248</v>
      </c>
      <c r="D346" s="1">
        <v>42583</v>
      </c>
      <c r="E346" s="1">
        <v>42586</v>
      </c>
      <c r="F346" s="1">
        <v>42585</v>
      </c>
      <c r="G346">
        <v>2</v>
      </c>
      <c r="H346">
        <v>6</v>
      </c>
    </row>
    <row r="347" spans="1:8" x14ac:dyDescent="0.3">
      <c r="A347">
        <v>346</v>
      </c>
      <c r="B347">
        <v>584</v>
      </c>
      <c r="C347" t="s">
        <v>5248</v>
      </c>
      <c r="D347" s="1">
        <v>42583</v>
      </c>
      <c r="E347" s="1">
        <v>42585</v>
      </c>
      <c r="F347" s="1">
        <v>42584</v>
      </c>
      <c r="G347">
        <v>3</v>
      </c>
      <c r="H347">
        <v>9</v>
      </c>
    </row>
    <row r="348" spans="1:8" x14ac:dyDescent="0.3">
      <c r="A348">
        <v>347</v>
      </c>
      <c r="B348">
        <v>1004</v>
      </c>
      <c r="C348" t="s">
        <v>5248</v>
      </c>
      <c r="D348" s="1">
        <v>42584</v>
      </c>
      <c r="E348" s="1">
        <v>42585</v>
      </c>
      <c r="F348" s="1">
        <v>42587</v>
      </c>
      <c r="G348">
        <v>2</v>
      </c>
      <c r="H348">
        <v>6</v>
      </c>
    </row>
    <row r="349" spans="1:8" x14ac:dyDescent="0.3">
      <c r="A349">
        <v>348</v>
      </c>
      <c r="B349">
        <v>907</v>
      </c>
      <c r="C349" t="s">
        <v>5248</v>
      </c>
      <c r="D349" s="1">
        <v>42584</v>
      </c>
      <c r="E349" s="1">
        <v>42587</v>
      </c>
      <c r="F349" s="1">
        <v>42586</v>
      </c>
      <c r="G349">
        <v>3</v>
      </c>
      <c r="H349">
        <v>9</v>
      </c>
    </row>
    <row r="350" spans="1:8" x14ac:dyDescent="0.3">
      <c r="A350">
        <v>349</v>
      </c>
      <c r="B350">
        <v>30</v>
      </c>
      <c r="C350" t="s">
        <v>5249</v>
      </c>
      <c r="D350" s="1">
        <v>42585</v>
      </c>
      <c r="E350" s="1">
        <v>42585</v>
      </c>
      <c r="F350" s="1"/>
      <c r="G350">
        <v>1</v>
      </c>
      <c r="H350">
        <v>3</v>
      </c>
    </row>
    <row r="351" spans="1:8" x14ac:dyDescent="0.3">
      <c r="A351">
        <v>350</v>
      </c>
      <c r="B351">
        <v>31</v>
      </c>
      <c r="C351" t="s">
        <v>5249</v>
      </c>
      <c r="D351" s="1">
        <v>42585</v>
      </c>
      <c r="E351" s="1">
        <v>42585</v>
      </c>
      <c r="F351" s="1"/>
      <c r="G351">
        <v>1</v>
      </c>
      <c r="H351">
        <v>3</v>
      </c>
    </row>
    <row r="352" spans="1:8" x14ac:dyDescent="0.3">
      <c r="A352">
        <v>351</v>
      </c>
      <c r="B352">
        <v>1307</v>
      </c>
      <c r="C352" t="s">
        <v>5248</v>
      </c>
      <c r="D352" s="1">
        <v>42585</v>
      </c>
      <c r="E352" s="1">
        <v>42588</v>
      </c>
      <c r="F352" s="1">
        <v>42586</v>
      </c>
      <c r="G352">
        <v>1</v>
      </c>
      <c r="H352">
        <v>2</v>
      </c>
    </row>
    <row r="353" spans="1:8" x14ac:dyDescent="0.3">
      <c r="A353">
        <v>352</v>
      </c>
      <c r="B353">
        <v>16</v>
      </c>
      <c r="C353" t="s">
        <v>5248</v>
      </c>
      <c r="D353" s="1">
        <v>42585</v>
      </c>
      <c r="E353" s="1">
        <v>42586</v>
      </c>
      <c r="F353" s="1">
        <v>42588</v>
      </c>
      <c r="G353">
        <v>2</v>
      </c>
      <c r="H353">
        <v>7</v>
      </c>
    </row>
    <row r="354" spans="1:8" x14ac:dyDescent="0.3">
      <c r="A354">
        <v>353</v>
      </c>
      <c r="B354">
        <v>1387</v>
      </c>
      <c r="C354" t="s">
        <v>5248</v>
      </c>
      <c r="D354" s="1">
        <v>42585</v>
      </c>
      <c r="E354" s="1">
        <v>42588</v>
      </c>
      <c r="F354" s="1">
        <v>42588</v>
      </c>
      <c r="G354">
        <v>2</v>
      </c>
      <c r="H354">
        <v>7</v>
      </c>
    </row>
    <row r="355" spans="1:8" x14ac:dyDescent="0.3">
      <c r="A355">
        <v>354</v>
      </c>
      <c r="B355">
        <v>551</v>
      </c>
      <c r="C355" t="s">
        <v>5248</v>
      </c>
      <c r="D355" s="1">
        <v>42585</v>
      </c>
      <c r="E355" s="1">
        <v>42587</v>
      </c>
      <c r="F355" s="1">
        <v>42588</v>
      </c>
      <c r="G355">
        <v>3</v>
      </c>
      <c r="H355">
        <v>8</v>
      </c>
    </row>
    <row r="356" spans="1:8" x14ac:dyDescent="0.3">
      <c r="A356">
        <v>355</v>
      </c>
      <c r="B356">
        <v>1011</v>
      </c>
      <c r="C356" t="s">
        <v>5248</v>
      </c>
      <c r="D356" s="1">
        <v>42585</v>
      </c>
      <c r="E356" s="1">
        <v>42587</v>
      </c>
      <c r="F356" s="1">
        <v>42587</v>
      </c>
      <c r="G356">
        <v>3</v>
      </c>
      <c r="H356">
        <v>8</v>
      </c>
    </row>
    <row r="357" spans="1:8" x14ac:dyDescent="0.3">
      <c r="A357">
        <v>356</v>
      </c>
      <c r="B357">
        <v>1189</v>
      </c>
      <c r="C357" t="s">
        <v>5248</v>
      </c>
      <c r="D357" s="1">
        <v>42586</v>
      </c>
      <c r="E357" s="1">
        <v>42589</v>
      </c>
      <c r="F357" s="1">
        <v>42588</v>
      </c>
      <c r="G357">
        <v>2</v>
      </c>
      <c r="H357">
        <v>6</v>
      </c>
    </row>
    <row r="358" spans="1:8" x14ac:dyDescent="0.3">
      <c r="A358">
        <v>357</v>
      </c>
      <c r="B358">
        <v>14</v>
      </c>
      <c r="C358" t="s">
        <v>5249</v>
      </c>
      <c r="D358" s="1">
        <v>42587</v>
      </c>
      <c r="E358" s="1">
        <v>42587</v>
      </c>
      <c r="F358" s="1"/>
      <c r="G358">
        <v>3</v>
      </c>
      <c r="H358">
        <v>8</v>
      </c>
    </row>
    <row r="359" spans="1:8" x14ac:dyDescent="0.3">
      <c r="A359">
        <v>358</v>
      </c>
      <c r="B359">
        <v>1042</v>
      </c>
      <c r="C359" t="s">
        <v>5248</v>
      </c>
      <c r="D359" s="1">
        <v>42587</v>
      </c>
      <c r="E359" s="1">
        <v>42589</v>
      </c>
      <c r="F359" s="1">
        <v>42589</v>
      </c>
      <c r="G359">
        <v>2</v>
      </c>
      <c r="H359">
        <v>7</v>
      </c>
    </row>
    <row r="360" spans="1:8" x14ac:dyDescent="0.3">
      <c r="A360">
        <v>359</v>
      </c>
      <c r="B360">
        <v>441</v>
      </c>
      <c r="C360" t="s">
        <v>5248</v>
      </c>
      <c r="D360" s="1">
        <v>42589</v>
      </c>
      <c r="E360" s="1">
        <v>42592</v>
      </c>
      <c r="F360" s="1">
        <v>42592</v>
      </c>
      <c r="G360">
        <v>2</v>
      </c>
      <c r="H360">
        <v>7</v>
      </c>
    </row>
    <row r="361" spans="1:8" x14ac:dyDescent="0.3">
      <c r="A361">
        <v>360</v>
      </c>
      <c r="B361">
        <v>1300</v>
      </c>
      <c r="C361" t="s">
        <v>5248</v>
      </c>
      <c r="D361" s="1">
        <v>42589</v>
      </c>
      <c r="E361" s="1">
        <v>42591</v>
      </c>
      <c r="F361" s="1">
        <v>42592</v>
      </c>
      <c r="G361">
        <v>2</v>
      </c>
      <c r="H361">
        <v>6</v>
      </c>
    </row>
    <row r="362" spans="1:8" x14ac:dyDescent="0.3">
      <c r="A362">
        <v>361</v>
      </c>
      <c r="B362">
        <v>994</v>
      </c>
      <c r="C362" t="s">
        <v>5248</v>
      </c>
      <c r="D362" s="1">
        <v>42590</v>
      </c>
      <c r="E362" s="1">
        <v>42591</v>
      </c>
      <c r="F362" s="1">
        <v>42593</v>
      </c>
      <c r="G362">
        <v>2</v>
      </c>
      <c r="H362">
        <v>6</v>
      </c>
    </row>
    <row r="363" spans="1:8" x14ac:dyDescent="0.3">
      <c r="A363">
        <v>362</v>
      </c>
      <c r="B363">
        <v>187</v>
      </c>
      <c r="C363" t="s">
        <v>5248</v>
      </c>
      <c r="D363" s="1">
        <v>42591</v>
      </c>
      <c r="E363" s="1">
        <v>42593</v>
      </c>
      <c r="F363" s="1">
        <v>42593</v>
      </c>
      <c r="G363">
        <v>1</v>
      </c>
      <c r="H363">
        <v>2</v>
      </c>
    </row>
    <row r="364" spans="1:8" x14ac:dyDescent="0.3">
      <c r="A364">
        <v>363</v>
      </c>
      <c r="B364">
        <v>834</v>
      </c>
      <c r="C364" t="s">
        <v>5248</v>
      </c>
      <c r="D364" s="1">
        <v>42593</v>
      </c>
      <c r="E364" s="1">
        <v>42594</v>
      </c>
      <c r="F364" s="1">
        <v>42595</v>
      </c>
      <c r="G364">
        <v>3</v>
      </c>
      <c r="H364">
        <v>8</v>
      </c>
    </row>
    <row r="365" spans="1:8" x14ac:dyDescent="0.3">
      <c r="A365">
        <v>364</v>
      </c>
      <c r="B365">
        <v>373</v>
      </c>
      <c r="C365" t="s">
        <v>5248</v>
      </c>
      <c r="D365" s="1">
        <v>42594</v>
      </c>
      <c r="E365" s="1">
        <v>42596</v>
      </c>
      <c r="F365" s="1">
        <v>42595</v>
      </c>
      <c r="G365">
        <v>2</v>
      </c>
      <c r="H365">
        <v>6</v>
      </c>
    </row>
    <row r="366" spans="1:8" x14ac:dyDescent="0.3">
      <c r="A366">
        <v>365</v>
      </c>
      <c r="B366">
        <v>981</v>
      </c>
      <c r="C366" t="s">
        <v>5248</v>
      </c>
      <c r="D366" s="1">
        <v>42595</v>
      </c>
      <c r="E366" s="1">
        <v>42596</v>
      </c>
      <c r="F366" s="1">
        <v>42597</v>
      </c>
      <c r="G366">
        <v>2</v>
      </c>
      <c r="H366">
        <v>6</v>
      </c>
    </row>
    <row r="367" spans="1:8" x14ac:dyDescent="0.3">
      <c r="A367">
        <v>366</v>
      </c>
      <c r="B367">
        <v>1054</v>
      </c>
      <c r="C367" t="s">
        <v>5248</v>
      </c>
      <c r="D367" s="1">
        <v>42595</v>
      </c>
      <c r="E367" s="1">
        <v>42596</v>
      </c>
      <c r="F367" s="1">
        <v>42596</v>
      </c>
      <c r="G367">
        <v>3</v>
      </c>
      <c r="H367">
        <v>9</v>
      </c>
    </row>
    <row r="368" spans="1:8" x14ac:dyDescent="0.3">
      <c r="A368">
        <v>367</v>
      </c>
      <c r="B368">
        <v>527</v>
      </c>
      <c r="C368" t="s">
        <v>5248</v>
      </c>
      <c r="D368" s="1">
        <v>42596</v>
      </c>
      <c r="E368" s="1">
        <v>42597</v>
      </c>
      <c r="F368" s="1">
        <v>42597</v>
      </c>
      <c r="G368">
        <v>2</v>
      </c>
      <c r="H368">
        <v>7</v>
      </c>
    </row>
    <row r="369" spans="1:8" x14ac:dyDescent="0.3">
      <c r="A369">
        <v>368</v>
      </c>
      <c r="B369">
        <v>995</v>
      </c>
      <c r="C369" t="s">
        <v>5248</v>
      </c>
      <c r="D369" s="1">
        <v>42596</v>
      </c>
      <c r="E369" s="1">
        <v>42597</v>
      </c>
      <c r="F369" s="1">
        <v>42599</v>
      </c>
      <c r="G369">
        <v>2</v>
      </c>
      <c r="H369">
        <v>7</v>
      </c>
    </row>
    <row r="370" spans="1:8" x14ac:dyDescent="0.3">
      <c r="A370">
        <v>369</v>
      </c>
      <c r="B370">
        <v>1285</v>
      </c>
      <c r="C370" t="s">
        <v>5248</v>
      </c>
      <c r="D370" s="1">
        <v>42597</v>
      </c>
      <c r="E370" s="1">
        <v>42600</v>
      </c>
      <c r="F370" s="1">
        <v>42600</v>
      </c>
      <c r="G370">
        <v>1</v>
      </c>
      <c r="H370">
        <v>3</v>
      </c>
    </row>
    <row r="371" spans="1:8" x14ac:dyDescent="0.3">
      <c r="A371">
        <v>370</v>
      </c>
      <c r="B371">
        <v>758</v>
      </c>
      <c r="C371" t="s">
        <v>5248</v>
      </c>
      <c r="D371" s="1">
        <v>42597</v>
      </c>
      <c r="E371" s="1">
        <v>42600</v>
      </c>
      <c r="F371" s="1">
        <v>42600</v>
      </c>
      <c r="G371">
        <v>2</v>
      </c>
      <c r="H371">
        <v>7</v>
      </c>
    </row>
    <row r="372" spans="1:8" x14ac:dyDescent="0.3">
      <c r="A372">
        <v>371</v>
      </c>
      <c r="B372">
        <v>891</v>
      </c>
      <c r="C372" t="s">
        <v>5248</v>
      </c>
      <c r="D372" s="1">
        <v>42597</v>
      </c>
      <c r="E372" s="1">
        <v>42598</v>
      </c>
      <c r="F372" s="1">
        <v>42600</v>
      </c>
      <c r="G372">
        <v>2</v>
      </c>
      <c r="H372">
        <v>7</v>
      </c>
    </row>
    <row r="373" spans="1:8" x14ac:dyDescent="0.3">
      <c r="A373">
        <v>372</v>
      </c>
      <c r="B373">
        <v>132</v>
      </c>
      <c r="C373" t="s">
        <v>5248</v>
      </c>
      <c r="D373" s="1">
        <v>42598</v>
      </c>
      <c r="E373" s="1">
        <v>42600</v>
      </c>
      <c r="F373" s="1">
        <v>42600</v>
      </c>
      <c r="G373">
        <v>2</v>
      </c>
      <c r="H373">
        <v>6</v>
      </c>
    </row>
    <row r="374" spans="1:8" x14ac:dyDescent="0.3">
      <c r="A374">
        <v>373</v>
      </c>
      <c r="B374">
        <v>337</v>
      </c>
      <c r="C374" t="s">
        <v>5248</v>
      </c>
      <c r="D374" s="1">
        <v>42598</v>
      </c>
      <c r="E374" s="1">
        <v>42601</v>
      </c>
      <c r="F374" s="1">
        <v>42599</v>
      </c>
      <c r="G374">
        <v>2</v>
      </c>
      <c r="H374">
        <v>7</v>
      </c>
    </row>
    <row r="375" spans="1:8" x14ac:dyDescent="0.3">
      <c r="A375">
        <v>374</v>
      </c>
      <c r="B375">
        <v>1313</v>
      </c>
      <c r="C375" t="s">
        <v>5248</v>
      </c>
      <c r="D375" s="1">
        <v>42599</v>
      </c>
      <c r="E375" s="1">
        <v>42601</v>
      </c>
      <c r="F375" s="1">
        <v>42600</v>
      </c>
      <c r="G375">
        <v>1</v>
      </c>
      <c r="H375">
        <v>2</v>
      </c>
    </row>
    <row r="376" spans="1:8" x14ac:dyDescent="0.3">
      <c r="A376">
        <v>375</v>
      </c>
      <c r="B376">
        <v>536</v>
      </c>
      <c r="C376" t="s">
        <v>5248</v>
      </c>
      <c r="D376" s="1">
        <v>42599</v>
      </c>
      <c r="E376" s="1">
        <v>42602</v>
      </c>
      <c r="F376" s="1">
        <v>42602</v>
      </c>
      <c r="G376">
        <v>2</v>
      </c>
      <c r="H376">
        <v>7</v>
      </c>
    </row>
    <row r="377" spans="1:8" x14ac:dyDescent="0.3">
      <c r="A377">
        <v>376</v>
      </c>
      <c r="B377">
        <v>825</v>
      </c>
      <c r="C377" t="s">
        <v>5248</v>
      </c>
      <c r="D377" s="1">
        <v>42599</v>
      </c>
      <c r="E377" s="1">
        <v>42601</v>
      </c>
      <c r="F377" s="1">
        <v>42600</v>
      </c>
      <c r="G377">
        <v>2</v>
      </c>
      <c r="H377">
        <v>6</v>
      </c>
    </row>
    <row r="378" spans="1:8" x14ac:dyDescent="0.3">
      <c r="A378">
        <v>377</v>
      </c>
      <c r="B378">
        <v>1355</v>
      </c>
      <c r="C378" t="s">
        <v>5248</v>
      </c>
      <c r="D378" s="1">
        <v>42599</v>
      </c>
      <c r="E378" s="1">
        <v>42601</v>
      </c>
      <c r="F378" s="1">
        <v>42602</v>
      </c>
      <c r="G378">
        <v>2</v>
      </c>
      <c r="H378">
        <v>6</v>
      </c>
    </row>
    <row r="379" spans="1:8" x14ac:dyDescent="0.3">
      <c r="A379">
        <v>378</v>
      </c>
      <c r="B379">
        <v>475</v>
      </c>
      <c r="C379" t="s">
        <v>5248</v>
      </c>
      <c r="D379" s="1">
        <v>42599</v>
      </c>
      <c r="E379" s="1">
        <v>42602</v>
      </c>
      <c r="F379" s="1">
        <v>42602</v>
      </c>
      <c r="G379">
        <v>3</v>
      </c>
      <c r="H379">
        <v>9</v>
      </c>
    </row>
    <row r="380" spans="1:8" x14ac:dyDescent="0.3">
      <c r="A380">
        <v>379</v>
      </c>
      <c r="B380">
        <v>954</v>
      </c>
      <c r="C380" t="s">
        <v>5248</v>
      </c>
      <c r="D380" s="1">
        <v>42600</v>
      </c>
      <c r="E380" s="1">
        <v>42603</v>
      </c>
      <c r="F380" s="1">
        <v>42603</v>
      </c>
      <c r="G380">
        <v>2</v>
      </c>
      <c r="H380">
        <v>7</v>
      </c>
    </row>
    <row r="381" spans="1:8" x14ac:dyDescent="0.3">
      <c r="A381">
        <v>380</v>
      </c>
      <c r="B381">
        <v>1156</v>
      </c>
      <c r="C381" t="s">
        <v>5248</v>
      </c>
      <c r="D381" s="1">
        <v>42601</v>
      </c>
      <c r="E381" s="1">
        <v>42602</v>
      </c>
      <c r="F381" s="1">
        <v>42603</v>
      </c>
      <c r="G381">
        <v>2</v>
      </c>
      <c r="H381">
        <v>7</v>
      </c>
    </row>
    <row r="382" spans="1:8" x14ac:dyDescent="0.3">
      <c r="A382">
        <v>381</v>
      </c>
      <c r="B382">
        <v>1297</v>
      </c>
      <c r="C382" t="s">
        <v>5248</v>
      </c>
      <c r="D382" s="1">
        <v>42601</v>
      </c>
      <c r="E382" s="1">
        <v>42603</v>
      </c>
      <c r="F382" s="1">
        <v>42603</v>
      </c>
      <c r="G382">
        <v>2</v>
      </c>
      <c r="H382">
        <v>7</v>
      </c>
    </row>
    <row r="383" spans="1:8" x14ac:dyDescent="0.3">
      <c r="A383">
        <v>382</v>
      </c>
      <c r="B383">
        <v>199</v>
      </c>
      <c r="C383" t="s">
        <v>5248</v>
      </c>
      <c r="D383" s="1">
        <v>42602</v>
      </c>
      <c r="E383" s="1">
        <v>42605</v>
      </c>
      <c r="F383" s="1">
        <v>42605</v>
      </c>
      <c r="G383">
        <v>2</v>
      </c>
      <c r="H383">
        <v>6</v>
      </c>
    </row>
    <row r="384" spans="1:8" x14ac:dyDescent="0.3">
      <c r="A384">
        <v>383</v>
      </c>
      <c r="B384">
        <v>331</v>
      </c>
      <c r="C384" t="s">
        <v>5248</v>
      </c>
      <c r="D384" s="1">
        <v>42602</v>
      </c>
      <c r="E384" s="1">
        <v>42605</v>
      </c>
      <c r="F384" s="1">
        <v>42604</v>
      </c>
      <c r="G384">
        <v>2</v>
      </c>
      <c r="H384">
        <v>7</v>
      </c>
    </row>
    <row r="385" spans="1:8" x14ac:dyDescent="0.3">
      <c r="A385">
        <v>384</v>
      </c>
      <c r="B385">
        <v>410</v>
      </c>
      <c r="C385" t="s">
        <v>5248</v>
      </c>
      <c r="D385" s="1">
        <v>42602</v>
      </c>
      <c r="E385" s="1">
        <v>42604</v>
      </c>
      <c r="F385" s="1">
        <v>42605</v>
      </c>
      <c r="G385">
        <v>2</v>
      </c>
      <c r="H385">
        <v>7</v>
      </c>
    </row>
    <row r="386" spans="1:8" x14ac:dyDescent="0.3">
      <c r="A386">
        <v>385</v>
      </c>
      <c r="B386">
        <v>1274</v>
      </c>
      <c r="C386" t="s">
        <v>5248</v>
      </c>
      <c r="D386" s="1">
        <v>42602</v>
      </c>
      <c r="E386" s="1">
        <v>42605</v>
      </c>
      <c r="F386" s="1">
        <v>42604</v>
      </c>
      <c r="G386">
        <v>2</v>
      </c>
      <c r="H386">
        <v>7</v>
      </c>
    </row>
    <row r="387" spans="1:8" x14ac:dyDescent="0.3">
      <c r="A387">
        <v>386</v>
      </c>
      <c r="B387">
        <v>1362</v>
      </c>
      <c r="C387" t="s">
        <v>5248</v>
      </c>
      <c r="D387" s="1">
        <v>42602</v>
      </c>
      <c r="E387" s="1">
        <v>42605</v>
      </c>
      <c r="F387" s="1">
        <v>42605</v>
      </c>
      <c r="G387">
        <v>2</v>
      </c>
      <c r="H387">
        <v>6</v>
      </c>
    </row>
    <row r="388" spans="1:8" x14ac:dyDescent="0.3">
      <c r="A388">
        <v>387</v>
      </c>
      <c r="B388">
        <v>451</v>
      </c>
      <c r="C388" t="s">
        <v>5248</v>
      </c>
      <c r="D388" s="1">
        <v>42602</v>
      </c>
      <c r="E388" s="1">
        <v>42603</v>
      </c>
      <c r="F388" s="1">
        <v>42603</v>
      </c>
      <c r="G388">
        <v>3</v>
      </c>
      <c r="H388">
        <v>8</v>
      </c>
    </row>
    <row r="389" spans="1:8" x14ac:dyDescent="0.3">
      <c r="A389">
        <v>388</v>
      </c>
      <c r="B389">
        <v>1080</v>
      </c>
      <c r="C389" t="s">
        <v>5248</v>
      </c>
      <c r="D389" s="1">
        <v>42603</v>
      </c>
      <c r="E389" s="1">
        <v>42606</v>
      </c>
      <c r="F389" s="1">
        <v>42605</v>
      </c>
      <c r="G389">
        <v>3</v>
      </c>
      <c r="H389">
        <v>8</v>
      </c>
    </row>
    <row r="390" spans="1:8" x14ac:dyDescent="0.3">
      <c r="A390">
        <v>389</v>
      </c>
      <c r="B390">
        <v>53</v>
      </c>
      <c r="C390" t="s">
        <v>5248</v>
      </c>
      <c r="D390" s="1">
        <v>42604</v>
      </c>
      <c r="E390" s="1">
        <v>42606</v>
      </c>
      <c r="F390" s="1">
        <v>42607</v>
      </c>
      <c r="G390">
        <v>1</v>
      </c>
      <c r="H390">
        <v>3</v>
      </c>
    </row>
    <row r="391" spans="1:8" x14ac:dyDescent="0.3">
      <c r="A391">
        <v>390</v>
      </c>
      <c r="B391">
        <v>576</v>
      </c>
      <c r="C391" t="s">
        <v>5248</v>
      </c>
      <c r="D391" s="1">
        <v>42604</v>
      </c>
      <c r="E391" s="1">
        <v>42606</v>
      </c>
      <c r="F391" s="1">
        <v>42607</v>
      </c>
      <c r="G391">
        <v>3</v>
      </c>
      <c r="H391">
        <v>9</v>
      </c>
    </row>
    <row r="392" spans="1:8" x14ac:dyDescent="0.3">
      <c r="A392">
        <v>391</v>
      </c>
      <c r="B392">
        <v>61</v>
      </c>
      <c r="C392" t="s">
        <v>5249</v>
      </c>
      <c r="D392" s="1">
        <v>42605</v>
      </c>
      <c r="E392" s="1">
        <v>42605</v>
      </c>
      <c r="F392" s="1"/>
      <c r="G392">
        <v>3</v>
      </c>
      <c r="H392">
        <v>9</v>
      </c>
    </row>
    <row r="393" spans="1:8" x14ac:dyDescent="0.3">
      <c r="A393">
        <v>392</v>
      </c>
      <c r="B393">
        <v>176</v>
      </c>
      <c r="C393" t="s">
        <v>5248</v>
      </c>
      <c r="D393" s="1">
        <v>42605</v>
      </c>
      <c r="E393" s="1">
        <v>42608</v>
      </c>
      <c r="F393" s="1">
        <v>42606</v>
      </c>
      <c r="G393">
        <v>1</v>
      </c>
      <c r="H393">
        <v>3</v>
      </c>
    </row>
    <row r="394" spans="1:8" x14ac:dyDescent="0.3">
      <c r="A394">
        <v>393</v>
      </c>
      <c r="B394">
        <v>368</v>
      </c>
      <c r="C394" t="s">
        <v>5248</v>
      </c>
      <c r="D394" s="1">
        <v>42607</v>
      </c>
      <c r="E394" s="1">
        <v>42608</v>
      </c>
      <c r="F394" s="1">
        <v>42609</v>
      </c>
      <c r="G394">
        <v>2</v>
      </c>
      <c r="H394">
        <v>6</v>
      </c>
    </row>
    <row r="395" spans="1:8" x14ac:dyDescent="0.3">
      <c r="A395">
        <v>394</v>
      </c>
      <c r="B395">
        <v>522</v>
      </c>
      <c r="C395" t="s">
        <v>5248</v>
      </c>
      <c r="D395" s="1">
        <v>42608</v>
      </c>
      <c r="E395" s="1">
        <v>42610</v>
      </c>
      <c r="F395" s="1">
        <v>42611</v>
      </c>
      <c r="G395">
        <v>1</v>
      </c>
      <c r="H395">
        <v>3</v>
      </c>
    </row>
    <row r="396" spans="1:8" x14ac:dyDescent="0.3">
      <c r="A396">
        <v>395</v>
      </c>
      <c r="B396">
        <v>144</v>
      </c>
      <c r="C396" t="s">
        <v>5248</v>
      </c>
      <c r="D396" s="1">
        <v>42608</v>
      </c>
      <c r="E396" s="1">
        <v>42609</v>
      </c>
      <c r="F396" s="1">
        <v>42611</v>
      </c>
      <c r="G396">
        <v>2</v>
      </c>
      <c r="H396">
        <v>6</v>
      </c>
    </row>
    <row r="397" spans="1:8" x14ac:dyDescent="0.3">
      <c r="A397">
        <v>396</v>
      </c>
      <c r="B397">
        <v>542</v>
      </c>
      <c r="C397" t="s">
        <v>5248</v>
      </c>
      <c r="D397" s="1">
        <v>42609</v>
      </c>
      <c r="E397" s="1">
        <v>42612</v>
      </c>
      <c r="F397" s="1">
        <v>42611</v>
      </c>
      <c r="G397">
        <v>2</v>
      </c>
      <c r="H397">
        <v>6</v>
      </c>
    </row>
    <row r="398" spans="1:8" x14ac:dyDescent="0.3">
      <c r="A398">
        <v>397</v>
      </c>
      <c r="B398">
        <v>1437</v>
      </c>
      <c r="C398" t="s">
        <v>5248</v>
      </c>
      <c r="D398" s="1">
        <v>42610</v>
      </c>
      <c r="E398" s="1">
        <v>42613</v>
      </c>
      <c r="F398" s="1">
        <v>42611</v>
      </c>
      <c r="G398">
        <v>2</v>
      </c>
      <c r="H398">
        <v>7</v>
      </c>
    </row>
    <row r="399" spans="1:8" x14ac:dyDescent="0.3">
      <c r="A399">
        <v>398</v>
      </c>
      <c r="B399">
        <v>447</v>
      </c>
      <c r="C399" t="s">
        <v>5248</v>
      </c>
      <c r="D399" s="1">
        <v>42611</v>
      </c>
      <c r="E399" s="1">
        <v>42612</v>
      </c>
      <c r="F399" s="1">
        <v>42614</v>
      </c>
      <c r="G399">
        <v>1</v>
      </c>
      <c r="H399">
        <v>2</v>
      </c>
    </row>
    <row r="400" spans="1:8" x14ac:dyDescent="0.3">
      <c r="A400">
        <v>399</v>
      </c>
      <c r="B400">
        <v>1001</v>
      </c>
      <c r="C400" t="s">
        <v>5248</v>
      </c>
      <c r="D400" s="1">
        <v>42611</v>
      </c>
      <c r="E400" s="1">
        <v>42614</v>
      </c>
      <c r="F400" s="1">
        <v>42614</v>
      </c>
      <c r="G400">
        <v>2</v>
      </c>
      <c r="H400">
        <v>7</v>
      </c>
    </row>
    <row r="401" spans="1:8" x14ac:dyDescent="0.3">
      <c r="A401">
        <v>400</v>
      </c>
      <c r="B401">
        <v>1295</v>
      </c>
      <c r="C401" t="s">
        <v>5248</v>
      </c>
      <c r="D401" s="1">
        <v>42611</v>
      </c>
      <c r="E401" s="1">
        <v>42612</v>
      </c>
      <c r="F401" s="1">
        <v>42613</v>
      </c>
      <c r="G401">
        <v>2</v>
      </c>
      <c r="H401">
        <v>6</v>
      </c>
    </row>
    <row r="402" spans="1:8" x14ac:dyDescent="0.3">
      <c r="A402">
        <v>401</v>
      </c>
      <c r="B402">
        <v>103</v>
      </c>
      <c r="C402" t="s">
        <v>5248</v>
      </c>
      <c r="D402" s="1">
        <v>42612</v>
      </c>
      <c r="E402" s="1">
        <v>42615</v>
      </c>
      <c r="F402" s="1">
        <v>42614</v>
      </c>
      <c r="G402">
        <v>2</v>
      </c>
      <c r="H402">
        <v>6</v>
      </c>
    </row>
    <row r="403" spans="1:8" x14ac:dyDescent="0.3">
      <c r="A403">
        <v>402</v>
      </c>
      <c r="B403">
        <v>1335</v>
      </c>
      <c r="C403" t="s">
        <v>5248</v>
      </c>
      <c r="D403" s="1">
        <v>42612</v>
      </c>
      <c r="E403" s="1">
        <v>42614</v>
      </c>
      <c r="F403" s="1">
        <v>42613</v>
      </c>
      <c r="G403">
        <v>2</v>
      </c>
      <c r="H403">
        <v>6</v>
      </c>
    </row>
    <row r="404" spans="1:8" x14ac:dyDescent="0.3">
      <c r="A404">
        <v>403</v>
      </c>
      <c r="B404">
        <v>578</v>
      </c>
      <c r="C404" t="s">
        <v>5248</v>
      </c>
      <c r="D404" s="1">
        <v>42613</v>
      </c>
      <c r="E404" s="1">
        <v>42614</v>
      </c>
      <c r="F404" s="1">
        <v>42615</v>
      </c>
      <c r="G404">
        <v>1</v>
      </c>
      <c r="H404">
        <v>3</v>
      </c>
    </row>
    <row r="405" spans="1:8" x14ac:dyDescent="0.3">
      <c r="A405">
        <v>404</v>
      </c>
      <c r="B405">
        <v>396</v>
      </c>
      <c r="C405" t="s">
        <v>5248</v>
      </c>
      <c r="D405" s="1">
        <v>42613</v>
      </c>
      <c r="E405" s="1">
        <v>42616</v>
      </c>
      <c r="F405" s="1">
        <v>42614</v>
      </c>
      <c r="G405">
        <v>2</v>
      </c>
      <c r="H405">
        <v>7</v>
      </c>
    </row>
    <row r="406" spans="1:8" x14ac:dyDescent="0.3">
      <c r="A406">
        <v>405</v>
      </c>
      <c r="B406">
        <v>603</v>
      </c>
      <c r="C406" t="s">
        <v>5248</v>
      </c>
      <c r="D406" s="1">
        <v>42613</v>
      </c>
      <c r="E406" s="1">
        <v>42614</v>
      </c>
      <c r="F406" s="1">
        <v>42614</v>
      </c>
      <c r="G406">
        <v>2</v>
      </c>
      <c r="H406">
        <v>6</v>
      </c>
    </row>
    <row r="407" spans="1:8" x14ac:dyDescent="0.3">
      <c r="A407">
        <v>406</v>
      </c>
      <c r="B407">
        <v>1380</v>
      </c>
      <c r="C407" t="s">
        <v>5248</v>
      </c>
      <c r="D407" s="1">
        <v>42613</v>
      </c>
      <c r="E407" s="1">
        <v>42615</v>
      </c>
      <c r="F407" s="1">
        <v>42614</v>
      </c>
      <c r="G407">
        <v>2</v>
      </c>
      <c r="H407">
        <v>7</v>
      </c>
    </row>
    <row r="408" spans="1:8" x14ac:dyDescent="0.3">
      <c r="A408">
        <v>407</v>
      </c>
      <c r="B408">
        <v>77</v>
      </c>
      <c r="C408" t="s">
        <v>5249</v>
      </c>
      <c r="D408" s="1">
        <v>42614</v>
      </c>
      <c r="E408" s="1">
        <v>42614</v>
      </c>
      <c r="F408" s="1"/>
      <c r="G408">
        <v>3</v>
      </c>
      <c r="H408">
        <v>8</v>
      </c>
    </row>
    <row r="409" spans="1:8" x14ac:dyDescent="0.3">
      <c r="A409">
        <v>408</v>
      </c>
      <c r="B409">
        <v>1071</v>
      </c>
      <c r="C409" t="s">
        <v>5248</v>
      </c>
      <c r="D409" s="1">
        <v>42614</v>
      </c>
      <c r="E409" s="1">
        <v>42615</v>
      </c>
      <c r="F409" s="1">
        <v>42615</v>
      </c>
      <c r="G409">
        <v>1</v>
      </c>
      <c r="H409">
        <v>2</v>
      </c>
    </row>
    <row r="410" spans="1:8" x14ac:dyDescent="0.3">
      <c r="A410">
        <v>409</v>
      </c>
      <c r="B410">
        <v>416</v>
      </c>
      <c r="C410" t="s">
        <v>5248</v>
      </c>
      <c r="D410" s="1">
        <v>42614</v>
      </c>
      <c r="E410" s="1">
        <v>42617</v>
      </c>
      <c r="F410" s="1">
        <v>42617</v>
      </c>
      <c r="G410">
        <v>2</v>
      </c>
      <c r="H410">
        <v>7</v>
      </c>
    </row>
    <row r="411" spans="1:8" x14ac:dyDescent="0.3">
      <c r="A411">
        <v>410</v>
      </c>
      <c r="B411">
        <v>1151</v>
      </c>
      <c r="C411" t="s">
        <v>5248</v>
      </c>
      <c r="D411" s="1">
        <v>42614</v>
      </c>
      <c r="E411" s="1">
        <v>42616</v>
      </c>
      <c r="F411" s="1">
        <v>42615</v>
      </c>
      <c r="G411">
        <v>2</v>
      </c>
      <c r="H411">
        <v>6</v>
      </c>
    </row>
    <row r="412" spans="1:8" x14ac:dyDescent="0.3">
      <c r="A412">
        <v>411</v>
      </c>
      <c r="B412">
        <v>261</v>
      </c>
      <c r="C412" t="s">
        <v>5248</v>
      </c>
      <c r="D412" s="1">
        <v>42615</v>
      </c>
      <c r="E412" s="1">
        <v>42617</v>
      </c>
      <c r="F412" s="1">
        <v>42617</v>
      </c>
      <c r="G412">
        <v>1</v>
      </c>
      <c r="H412">
        <v>3</v>
      </c>
    </row>
    <row r="413" spans="1:8" x14ac:dyDescent="0.3">
      <c r="A413">
        <v>412</v>
      </c>
      <c r="B413">
        <v>1202</v>
      </c>
      <c r="C413" t="s">
        <v>5248</v>
      </c>
      <c r="D413" s="1">
        <v>42615</v>
      </c>
      <c r="E413" s="1">
        <v>42617</v>
      </c>
      <c r="F413" s="1">
        <v>42617</v>
      </c>
      <c r="G413">
        <v>1</v>
      </c>
      <c r="H413">
        <v>3</v>
      </c>
    </row>
    <row r="414" spans="1:8" x14ac:dyDescent="0.3">
      <c r="A414">
        <v>413</v>
      </c>
      <c r="B414">
        <v>717</v>
      </c>
      <c r="C414" t="s">
        <v>5248</v>
      </c>
      <c r="D414" s="1">
        <v>42615</v>
      </c>
      <c r="E414" s="1">
        <v>42618</v>
      </c>
      <c r="F414" s="1">
        <v>42616</v>
      </c>
      <c r="G414">
        <v>2</v>
      </c>
      <c r="H414">
        <v>6</v>
      </c>
    </row>
    <row r="415" spans="1:8" x14ac:dyDescent="0.3">
      <c r="A415">
        <v>414</v>
      </c>
      <c r="B415">
        <v>917</v>
      </c>
      <c r="C415" t="s">
        <v>5248</v>
      </c>
      <c r="D415" s="1">
        <v>42616</v>
      </c>
      <c r="E415" s="1">
        <v>42619</v>
      </c>
      <c r="F415" s="1">
        <v>42619</v>
      </c>
      <c r="G415">
        <v>2</v>
      </c>
      <c r="H415">
        <v>7</v>
      </c>
    </row>
    <row r="416" spans="1:8" x14ac:dyDescent="0.3">
      <c r="A416">
        <v>415</v>
      </c>
      <c r="B416">
        <v>1265</v>
      </c>
      <c r="C416" t="s">
        <v>5248</v>
      </c>
      <c r="D416" s="1">
        <v>42616</v>
      </c>
      <c r="E416" s="1">
        <v>42619</v>
      </c>
      <c r="F416" s="1">
        <v>42619</v>
      </c>
      <c r="G416">
        <v>2</v>
      </c>
      <c r="H416">
        <v>7</v>
      </c>
    </row>
    <row r="417" spans="1:8" x14ac:dyDescent="0.3">
      <c r="A417">
        <v>416</v>
      </c>
      <c r="B417">
        <v>1377</v>
      </c>
      <c r="C417" t="s">
        <v>5248</v>
      </c>
      <c r="D417" s="1">
        <v>42616</v>
      </c>
      <c r="E417" s="1">
        <v>42617</v>
      </c>
      <c r="F417" s="1">
        <v>42619</v>
      </c>
      <c r="G417">
        <v>2</v>
      </c>
      <c r="H417">
        <v>7</v>
      </c>
    </row>
    <row r="418" spans="1:8" x14ac:dyDescent="0.3">
      <c r="A418">
        <v>417</v>
      </c>
      <c r="B418">
        <v>359</v>
      </c>
      <c r="C418" t="s">
        <v>5248</v>
      </c>
      <c r="D418" s="1">
        <v>42617</v>
      </c>
      <c r="E418" s="1">
        <v>42618</v>
      </c>
      <c r="F418" s="1">
        <v>42619</v>
      </c>
      <c r="G418">
        <v>1</v>
      </c>
      <c r="H418">
        <v>3</v>
      </c>
    </row>
    <row r="419" spans="1:8" x14ac:dyDescent="0.3">
      <c r="A419">
        <v>418</v>
      </c>
      <c r="B419">
        <v>88</v>
      </c>
      <c r="C419" t="s">
        <v>5248</v>
      </c>
      <c r="D419" s="1">
        <v>42617</v>
      </c>
      <c r="E419" s="1">
        <v>42618</v>
      </c>
      <c r="F419" s="1">
        <v>42618</v>
      </c>
      <c r="G419">
        <v>2</v>
      </c>
      <c r="H419">
        <v>6</v>
      </c>
    </row>
    <row r="420" spans="1:8" x14ac:dyDescent="0.3">
      <c r="A420">
        <v>419</v>
      </c>
      <c r="B420">
        <v>14</v>
      </c>
      <c r="C420" t="s">
        <v>5248</v>
      </c>
      <c r="D420" s="1">
        <v>42617</v>
      </c>
      <c r="E420" s="1">
        <v>42620</v>
      </c>
      <c r="F420" s="1">
        <v>42619</v>
      </c>
      <c r="G420">
        <v>3</v>
      </c>
      <c r="H420">
        <v>8</v>
      </c>
    </row>
    <row r="421" spans="1:8" x14ac:dyDescent="0.3">
      <c r="A421">
        <v>420</v>
      </c>
      <c r="B421">
        <v>72</v>
      </c>
      <c r="C421" t="s">
        <v>5248</v>
      </c>
      <c r="D421" s="1">
        <v>42618</v>
      </c>
      <c r="E421" s="1">
        <v>42619</v>
      </c>
      <c r="F421" s="1">
        <v>42620</v>
      </c>
      <c r="G421">
        <v>1</v>
      </c>
      <c r="H421">
        <v>3</v>
      </c>
    </row>
    <row r="422" spans="1:8" x14ac:dyDescent="0.3">
      <c r="A422">
        <v>421</v>
      </c>
      <c r="B422">
        <v>240</v>
      </c>
      <c r="C422" t="s">
        <v>5248</v>
      </c>
      <c r="D422" s="1">
        <v>42618</v>
      </c>
      <c r="E422" s="1">
        <v>42619</v>
      </c>
      <c r="F422" s="1">
        <v>42621</v>
      </c>
      <c r="G422">
        <v>1</v>
      </c>
      <c r="H422">
        <v>3</v>
      </c>
    </row>
    <row r="423" spans="1:8" x14ac:dyDescent="0.3">
      <c r="A423">
        <v>422</v>
      </c>
      <c r="B423">
        <v>398</v>
      </c>
      <c r="C423" t="s">
        <v>5248</v>
      </c>
      <c r="D423" s="1">
        <v>42619</v>
      </c>
      <c r="E423" s="1">
        <v>42620</v>
      </c>
      <c r="F423" s="1">
        <v>42622</v>
      </c>
      <c r="G423">
        <v>2</v>
      </c>
      <c r="H423">
        <v>6</v>
      </c>
    </row>
    <row r="424" spans="1:8" x14ac:dyDescent="0.3">
      <c r="A424">
        <v>423</v>
      </c>
      <c r="B424">
        <v>1397</v>
      </c>
      <c r="C424" t="s">
        <v>5248</v>
      </c>
      <c r="D424" s="1">
        <v>42619</v>
      </c>
      <c r="E424" s="1">
        <v>42622</v>
      </c>
      <c r="F424" s="1">
        <v>42622</v>
      </c>
      <c r="G424">
        <v>2</v>
      </c>
      <c r="H424">
        <v>7</v>
      </c>
    </row>
    <row r="425" spans="1:8" x14ac:dyDescent="0.3">
      <c r="A425">
        <v>424</v>
      </c>
      <c r="B425">
        <v>67</v>
      </c>
      <c r="C425" t="s">
        <v>5248</v>
      </c>
      <c r="D425" s="1">
        <v>42621</v>
      </c>
      <c r="E425" s="1">
        <v>42624</v>
      </c>
      <c r="F425" s="1">
        <v>42624</v>
      </c>
      <c r="G425">
        <v>1</v>
      </c>
      <c r="H425">
        <v>3</v>
      </c>
    </row>
    <row r="426" spans="1:8" x14ac:dyDescent="0.3">
      <c r="A426">
        <v>425</v>
      </c>
      <c r="B426">
        <v>843</v>
      </c>
      <c r="C426" t="s">
        <v>5248</v>
      </c>
      <c r="D426" s="1">
        <v>42621</v>
      </c>
      <c r="E426" s="1">
        <v>42624</v>
      </c>
      <c r="F426" s="1">
        <v>42624</v>
      </c>
      <c r="G426">
        <v>2</v>
      </c>
      <c r="H426">
        <v>6</v>
      </c>
    </row>
    <row r="427" spans="1:8" x14ac:dyDescent="0.3">
      <c r="A427">
        <v>426</v>
      </c>
      <c r="B427">
        <v>944</v>
      </c>
      <c r="C427" t="s">
        <v>5248</v>
      </c>
      <c r="D427" s="1">
        <v>42621</v>
      </c>
      <c r="E427" s="1">
        <v>42623</v>
      </c>
      <c r="F427" s="1">
        <v>42623</v>
      </c>
      <c r="G427">
        <v>2</v>
      </c>
      <c r="H427">
        <v>6</v>
      </c>
    </row>
    <row r="428" spans="1:8" x14ac:dyDescent="0.3">
      <c r="A428">
        <v>427</v>
      </c>
      <c r="B428">
        <v>434</v>
      </c>
      <c r="C428" t="s">
        <v>5248</v>
      </c>
      <c r="D428" s="1">
        <v>42622</v>
      </c>
      <c r="E428" s="1">
        <v>42623</v>
      </c>
      <c r="F428" s="1">
        <v>42624</v>
      </c>
      <c r="G428">
        <v>1</v>
      </c>
      <c r="H428">
        <v>2</v>
      </c>
    </row>
    <row r="429" spans="1:8" x14ac:dyDescent="0.3">
      <c r="A429">
        <v>428</v>
      </c>
      <c r="B429">
        <v>1039</v>
      </c>
      <c r="C429" t="s">
        <v>5248</v>
      </c>
      <c r="D429" s="1">
        <v>42622</v>
      </c>
      <c r="E429" s="1">
        <v>42625</v>
      </c>
      <c r="F429" s="1">
        <v>42623</v>
      </c>
      <c r="G429">
        <v>2</v>
      </c>
      <c r="H429">
        <v>6</v>
      </c>
    </row>
    <row r="430" spans="1:8" x14ac:dyDescent="0.3">
      <c r="A430">
        <v>429</v>
      </c>
      <c r="B430">
        <v>153</v>
      </c>
      <c r="C430" t="s">
        <v>5248</v>
      </c>
      <c r="D430" s="1">
        <v>42623</v>
      </c>
      <c r="E430" s="1">
        <v>42625</v>
      </c>
      <c r="F430" s="1">
        <v>42625</v>
      </c>
      <c r="G430">
        <v>3</v>
      </c>
      <c r="H430">
        <v>8</v>
      </c>
    </row>
    <row r="431" spans="1:8" x14ac:dyDescent="0.3">
      <c r="A431">
        <v>430</v>
      </c>
      <c r="B431">
        <v>272</v>
      </c>
      <c r="C431" t="s">
        <v>5248</v>
      </c>
      <c r="D431" s="1">
        <v>42624</v>
      </c>
      <c r="E431" s="1">
        <v>42626</v>
      </c>
      <c r="F431" s="1">
        <v>42625</v>
      </c>
      <c r="G431">
        <v>2</v>
      </c>
      <c r="H431">
        <v>6</v>
      </c>
    </row>
    <row r="432" spans="1:8" x14ac:dyDescent="0.3">
      <c r="A432">
        <v>431</v>
      </c>
      <c r="B432">
        <v>1217</v>
      </c>
      <c r="C432" t="s">
        <v>5248</v>
      </c>
      <c r="D432" s="1">
        <v>42624</v>
      </c>
      <c r="E432" s="1">
        <v>42625</v>
      </c>
      <c r="F432" s="1">
        <v>42625</v>
      </c>
      <c r="G432">
        <v>2</v>
      </c>
      <c r="H432">
        <v>6</v>
      </c>
    </row>
    <row r="433" spans="1:8" x14ac:dyDescent="0.3">
      <c r="A433">
        <v>432</v>
      </c>
      <c r="B433">
        <v>169</v>
      </c>
      <c r="C433" t="s">
        <v>5248</v>
      </c>
      <c r="D433" s="1">
        <v>42625</v>
      </c>
      <c r="E433" s="1">
        <v>42628</v>
      </c>
      <c r="F433" s="1">
        <v>42627</v>
      </c>
      <c r="G433">
        <v>1</v>
      </c>
      <c r="H433">
        <v>2</v>
      </c>
    </row>
    <row r="434" spans="1:8" x14ac:dyDescent="0.3">
      <c r="A434">
        <v>433</v>
      </c>
      <c r="B434">
        <v>1062</v>
      </c>
      <c r="C434" t="s">
        <v>5248</v>
      </c>
      <c r="D434" s="1">
        <v>42625</v>
      </c>
      <c r="E434" s="1">
        <v>42628</v>
      </c>
      <c r="F434" s="1">
        <v>42626</v>
      </c>
      <c r="G434">
        <v>2</v>
      </c>
      <c r="H434">
        <v>6</v>
      </c>
    </row>
    <row r="435" spans="1:8" x14ac:dyDescent="0.3">
      <c r="A435">
        <v>434</v>
      </c>
      <c r="B435">
        <v>726</v>
      </c>
      <c r="C435" t="s">
        <v>5248</v>
      </c>
      <c r="D435" s="1">
        <v>42626</v>
      </c>
      <c r="E435" s="1">
        <v>42628</v>
      </c>
      <c r="F435" s="1">
        <v>42627</v>
      </c>
      <c r="G435">
        <v>2</v>
      </c>
      <c r="H435">
        <v>6</v>
      </c>
    </row>
    <row r="436" spans="1:8" x14ac:dyDescent="0.3">
      <c r="A436">
        <v>435</v>
      </c>
      <c r="B436">
        <v>77</v>
      </c>
      <c r="C436" t="s">
        <v>5248</v>
      </c>
      <c r="D436" s="1">
        <v>42627</v>
      </c>
      <c r="E436" s="1">
        <v>42628</v>
      </c>
      <c r="F436" s="1">
        <v>42629</v>
      </c>
      <c r="G436">
        <v>3</v>
      </c>
      <c r="H436">
        <v>9</v>
      </c>
    </row>
    <row r="437" spans="1:8" x14ac:dyDescent="0.3">
      <c r="A437">
        <v>436</v>
      </c>
      <c r="B437">
        <v>791</v>
      </c>
      <c r="C437" t="s">
        <v>5248</v>
      </c>
      <c r="D437" s="1">
        <v>42629</v>
      </c>
      <c r="E437" s="1">
        <v>42632</v>
      </c>
      <c r="F437" s="1">
        <v>42632</v>
      </c>
      <c r="G437">
        <v>2</v>
      </c>
      <c r="H437">
        <v>7</v>
      </c>
    </row>
    <row r="438" spans="1:8" x14ac:dyDescent="0.3">
      <c r="A438">
        <v>437</v>
      </c>
      <c r="B438">
        <v>1085</v>
      </c>
      <c r="C438" t="s">
        <v>5248</v>
      </c>
      <c r="D438" s="1">
        <v>42629</v>
      </c>
      <c r="E438" s="1">
        <v>42631</v>
      </c>
      <c r="F438" s="1">
        <v>42631</v>
      </c>
      <c r="G438">
        <v>2</v>
      </c>
      <c r="H438">
        <v>7</v>
      </c>
    </row>
    <row r="439" spans="1:8" x14ac:dyDescent="0.3">
      <c r="A439">
        <v>438</v>
      </c>
      <c r="B439">
        <v>314</v>
      </c>
      <c r="C439" t="s">
        <v>5248</v>
      </c>
      <c r="D439" s="1">
        <v>42629</v>
      </c>
      <c r="E439" s="1">
        <v>42632</v>
      </c>
      <c r="F439" s="1">
        <v>42631</v>
      </c>
      <c r="G439">
        <v>3</v>
      </c>
      <c r="H439">
        <v>8</v>
      </c>
    </row>
    <row r="440" spans="1:8" x14ac:dyDescent="0.3">
      <c r="A440">
        <v>439</v>
      </c>
      <c r="B440">
        <v>149</v>
      </c>
      <c r="C440" t="s">
        <v>5248</v>
      </c>
      <c r="D440" s="1">
        <v>42630</v>
      </c>
      <c r="E440" s="1">
        <v>42633</v>
      </c>
      <c r="F440" s="1">
        <v>42631</v>
      </c>
      <c r="G440">
        <v>2</v>
      </c>
      <c r="H440">
        <v>6</v>
      </c>
    </row>
    <row r="441" spans="1:8" x14ac:dyDescent="0.3">
      <c r="A441">
        <v>440</v>
      </c>
      <c r="B441">
        <v>882</v>
      </c>
      <c r="C441" t="s">
        <v>5248</v>
      </c>
      <c r="D441" s="1">
        <v>42630</v>
      </c>
      <c r="E441" s="1">
        <v>42631</v>
      </c>
      <c r="F441" s="1">
        <v>42632</v>
      </c>
      <c r="G441">
        <v>2</v>
      </c>
      <c r="H441">
        <v>7</v>
      </c>
    </row>
    <row r="442" spans="1:8" x14ac:dyDescent="0.3">
      <c r="A442">
        <v>441</v>
      </c>
      <c r="B442">
        <v>704</v>
      </c>
      <c r="C442" t="s">
        <v>5248</v>
      </c>
      <c r="D442" s="1">
        <v>42631</v>
      </c>
      <c r="E442" s="1">
        <v>42632</v>
      </c>
      <c r="F442" s="1">
        <v>42632</v>
      </c>
      <c r="G442">
        <v>1</v>
      </c>
      <c r="H442">
        <v>2</v>
      </c>
    </row>
    <row r="443" spans="1:8" x14ac:dyDescent="0.3">
      <c r="A443">
        <v>442</v>
      </c>
      <c r="B443">
        <v>667</v>
      </c>
      <c r="C443" t="s">
        <v>5248</v>
      </c>
      <c r="D443" s="1">
        <v>42631</v>
      </c>
      <c r="E443" s="1">
        <v>42634</v>
      </c>
      <c r="F443" s="1">
        <v>42634</v>
      </c>
      <c r="G443">
        <v>2</v>
      </c>
      <c r="H443">
        <v>7</v>
      </c>
    </row>
    <row r="444" spans="1:8" x14ac:dyDescent="0.3">
      <c r="A444">
        <v>443</v>
      </c>
      <c r="B444">
        <v>1371</v>
      </c>
      <c r="C444" t="s">
        <v>5248</v>
      </c>
      <c r="D444" s="1">
        <v>42631</v>
      </c>
      <c r="E444" s="1">
        <v>42632</v>
      </c>
      <c r="F444" s="1">
        <v>42633</v>
      </c>
      <c r="G444">
        <v>2</v>
      </c>
      <c r="H444">
        <v>6</v>
      </c>
    </row>
    <row r="445" spans="1:8" x14ac:dyDescent="0.3">
      <c r="A445">
        <v>444</v>
      </c>
      <c r="B445">
        <v>30</v>
      </c>
      <c r="C445" t="s">
        <v>5248</v>
      </c>
      <c r="D445" s="1">
        <v>42632</v>
      </c>
      <c r="E445" s="1">
        <v>42633</v>
      </c>
      <c r="F445" s="1">
        <v>42634</v>
      </c>
      <c r="G445">
        <v>1</v>
      </c>
      <c r="H445">
        <v>2</v>
      </c>
    </row>
    <row r="446" spans="1:8" x14ac:dyDescent="0.3">
      <c r="A446">
        <v>445</v>
      </c>
      <c r="B446">
        <v>362</v>
      </c>
      <c r="C446" t="s">
        <v>5248</v>
      </c>
      <c r="D446" s="1">
        <v>42632</v>
      </c>
      <c r="E446" s="1">
        <v>42635</v>
      </c>
      <c r="F446" s="1">
        <v>42635</v>
      </c>
      <c r="G446">
        <v>2</v>
      </c>
      <c r="H446">
        <v>6</v>
      </c>
    </row>
    <row r="447" spans="1:8" x14ac:dyDescent="0.3">
      <c r="A447">
        <v>446</v>
      </c>
      <c r="B447">
        <v>399</v>
      </c>
      <c r="C447" t="s">
        <v>5248</v>
      </c>
      <c r="D447" s="1">
        <v>42632</v>
      </c>
      <c r="E447" s="1">
        <v>42634</v>
      </c>
      <c r="F447" s="1">
        <v>42633</v>
      </c>
      <c r="G447">
        <v>2</v>
      </c>
      <c r="H447">
        <v>7</v>
      </c>
    </row>
    <row r="448" spans="1:8" x14ac:dyDescent="0.3">
      <c r="A448">
        <v>447</v>
      </c>
      <c r="B448">
        <v>808</v>
      </c>
      <c r="C448" t="s">
        <v>5248</v>
      </c>
      <c r="D448" s="1">
        <v>42633</v>
      </c>
      <c r="E448" s="1">
        <v>42636</v>
      </c>
      <c r="F448" s="1">
        <v>42635</v>
      </c>
      <c r="G448">
        <v>3</v>
      </c>
      <c r="H448">
        <v>8</v>
      </c>
    </row>
    <row r="449" spans="1:8" x14ac:dyDescent="0.3">
      <c r="A449">
        <v>448</v>
      </c>
      <c r="B449">
        <v>101</v>
      </c>
      <c r="C449" t="s">
        <v>5248</v>
      </c>
      <c r="D449" s="1">
        <v>42634</v>
      </c>
      <c r="E449" s="1">
        <v>42635</v>
      </c>
      <c r="F449" s="1">
        <v>42637</v>
      </c>
      <c r="G449">
        <v>2</v>
      </c>
      <c r="H449">
        <v>6</v>
      </c>
    </row>
    <row r="450" spans="1:8" x14ac:dyDescent="0.3">
      <c r="A450">
        <v>449</v>
      </c>
      <c r="B450">
        <v>492</v>
      </c>
      <c r="C450" t="s">
        <v>5248</v>
      </c>
      <c r="D450" s="1">
        <v>42634</v>
      </c>
      <c r="E450" s="1">
        <v>42637</v>
      </c>
      <c r="F450" s="1">
        <v>42635</v>
      </c>
      <c r="G450">
        <v>2</v>
      </c>
      <c r="H450">
        <v>7</v>
      </c>
    </row>
    <row r="451" spans="1:8" x14ac:dyDescent="0.3">
      <c r="A451">
        <v>450</v>
      </c>
      <c r="B451">
        <v>575</v>
      </c>
      <c r="C451" t="s">
        <v>5248</v>
      </c>
      <c r="D451" s="1">
        <v>42634</v>
      </c>
      <c r="E451" s="1">
        <v>42637</v>
      </c>
      <c r="F451" s="1">
        <v>42636</v>
      </c>
      <c r="G451">
        <v>2</v>
      </c>
      <c r="H451">
        <v>7</v>
      </c>
    </row>
    <row r="452" spans="1:8" x14ac:dyDescent="0.3">
      <c r="A452">
        <v>451</v>
      </c>
      <c r="B452">
        <v>1146</v>
      </c>
      <c r="C452" t="s">
        <v>5248</v>
      </c>
      <c r="D452" s="1">
        <v>42634</v>
      </c>
      <c r="E452" s="1">
        <v>42636</v>
      </c>
      <c r="F452" s="1">
        <v>42635</v>
      </c>
      <c r="G452">
        <v>2</v>
      </c>
      <c r="H452">
        <v>7</v>
      </c>
    </row>
    <row r="453" spans="1:8" x14ac:dyDescent="0.3">
      <c r="A453">
        <v>452</v>
      </c>
      <c r="B453">
        <v>997</v>
      </c>
      <c r="C453" t="s">
        <v>5248</v>
      </c>
      <c r="D453" s="1">
        <v>42635</v>
      </c>
      <c r="E453" s="1">
        <v>42636</v>
      </c>
      <c r="F453" s="1">
        <v>42637</v>
      </c>
      <c r="G453">
        <v>2</v>
      </c>
      <c r="H453">
        <v>7</v>
      </c>
    </row>
    <row r="454" spans="1:8" x14ac:dyDescent="0.3">
      <c r="A454">
        <v>453</v>
      </c>
      <c r="B454">
        <v>1028</v>
      </c>
      <c r="C454" t="s">
        <v>5248</v>
      </c>
      <c r="D454" s="1">
        <v>42635</v>
      </c>
      <c r="E454" s="1">
        <v>42637</v>
      </c>
      <c r="F454" s="1">
        <v>42638</v>
      </c>
      <c r="G454">
        <v>2</v>
      </c>
      <c r="H454">
        <v>7</v>
      </c>
    </row>
    <row r="455" spans="1:8" x14ac:dyDescent="0.3">
      <c r="A455">
        <v>454</v>
      </c>
      <c r="B455">
        <v>988</v>
      </c>
      <c r="C455" t="s">
        <v>5248</v>
      </c>
      <c r="D455" s="1">
        <v>42636</v>
      </c>
      <c r="E455" s="1">
        <v>42638</v>
      </c>
      <c r="F455" s="1">
        <v>42639</v>
      </c>
      <c r="G455">
        <v>2</v>
      </c>
      <c r="H455">
        <v>6</v>
      </c>
    </row>
    <row r="456" spans="1:8" x14ac:dyDescent="0.3">
      <c r="A456">
        <v>455</v>
      </c>
      <c r="B456">
        <v>1055</v>
      </c>
      <c r="C456" t="s">
        <v>5248</v>
      </c>
      <c r="D456" s="1">
        <v>42636</v>
      </c>
      <c r="E456" s="1">
        <v>42637</v>
      </c>
      <c r="F456" s="1">
        <v>42637</v>
      </c>
      <c r="G456">
        <v>2</v>
      </c>
      <c r="H456">
        <v>7</v>
      </c>
    </row>
    <row r="457" spans="1:8" x14ac:dyDescent="0.3">
      <c r="A457">
        <v>456</v>
      </c>
      <c r="B457">
        <v>1061</v>
      </c>
      <c r="C457" t="s">
        <v>5248</v>
      </c>
      <c r="D457" s="1">
        <v>42636</v>
      </c>
      <c r="E457" s="1">
        <v>42639</v>
      </c>
      <c r="F457" s="1">
        <v>42638</v>
      </c>
      <c r="G457">
        <v>3</v>
      </c>
      <c r="H457">
        <v>9</v>
      </c>
    </row>
    <row r="458" spans="1:8" x14ac:dyDescent="0.3">
      <c r="A458">
        <v>457</v>
      </c>
      <c r="B458">
        <v>1349</v>
      </c>
      <c r="C458" t="s">
        <v>5248</v>
      </c>
      <c r="D458" s="1">
        <v>42637</v>
      </c>
      <c r="E458" s="1">
        <v>42640</v>
      </c>
      <c r="F458" s="1">
        <v>42640</v>
      </c>
      <c r="G458">
        <v>1</v>
      </c>
      <c r="H458">
        <v>3</v>
      </c>
    </row>
    <row r="459" spans="1:8" x14ac:dyDescent="0.3">
      <c r="A459">
        <v>458</v>
      </c>
      <c r="B459">
        <v>197</v>
      </c>
      <c r="C459" t="s">
        <v>5248</v>
      </c>
      <c r="D459" s="1">
        <v>42638</v>
      </c>
      <c r="E459" s="1">
        <v>42641</v>
      </c>
      <c r="F459" s="1">
        <v>42639</v>
      </c>
      <c r="G459">
        <v>2</v>
      </c>
      <c r="H459">
        <v>6</v>
      </c>
    </row>
    <row r="460" spans="1:8" x14ac:dyDescent="0.3">
      <c r="A460">
        <v>459</v>
      </c>
      <c r="B460">
        <v>874</v>
      </c>
      <c r="C460" t="s">
        <v>5248</v>
      </c>
      <c r="D460" s="1">
        <v>42638</v>
      </c>
      <c r="E460" s="1">
        <v>42641</v>
      </c>
      <c r="F460" s="1">
        <v>42639</v>
      </c>
      <c r="G460">
        <v>2</v>
      </c>
      <c r="H460">
        <v>6</v>
      </c>
    </row>
    <row r="461" spans="1:8" x14ac:dyDescent="0.3">
      <c r="A461">
        <v>460</v>
      </c>
      <c r="B461">
        <v>691</v>
      </c>
      <c r="C461" t="s">
        <v>5248</v>
      </c>
      <c r="D461" s="1">
        <v>42638</v>
      </c>
      <c r="E461" s="1">
        <v>42640</v>
      </c>
      <c r="F461" s="1">
        <v>42639</v>
      </c>
      <c r="G461">
        <v>3</v>
      </c>
      <c r="H461">
        <v>8</v>
      </c>
    </row>
    <row r="462" spans="1:8" x14ac:dyDescent="0.3">
      <c r="A462">
        <v>461</v>
      </c>
      <c r="B462">
        <v>853</v>
      </c>
      <c r="C462" t="s">
        <v>5248</v>
      </c>
      <c r="D462" s="1">
        <v>42639</v>
      </c>
      <c r="E462" s="1">
        <v>42640</v>
      </c>
      <c r="F462" s="1">
        <v>42640</v>
      </c>
      <c r="G462">
        <v>2</v>
      </c>
      <c r="H462">
        <v>7</v>
      </c>
    </row>
    <row r="463" spans="1:8" x14ac:dyDescent="0.3">
      <c r="A463">
        <v>462</v>
      </c>
      <c r="B463">
        <v>852</v>
      </c>
      <c r="C463" t="s">
        <v>5248</v>
      </c>
      <c r="D463" s="1">
        <v>42640</v>
      </c>
      <c r="E463" s="1">
        <v>42641</v>
      </c>
      <c r="F463" s="1">
        <v>42642</v>
      </c>
      <c r="G463">
        <v>2</v>
      </c>
      <c r="H463">
        <v>6</v>
      </c>
    </row>
    <row r="464" spans="1:8" x14ac:dyDescent="0.3">
      <c r="A464">
        <v>463</v>
      </c>
      <c r="B464">
        <v>964</v>
      </c>
      <c r="C464" t="s">
        <v>5248</v>
      </c>
      <c r="D464" s="1">
        <v>42640</v>
      </c>
      <c r="E464" s="1">
        <v>42641</v>
      </c>
      <c r="F464" s="1">
        <v>42641</v>
      </c>
      <c r="G464">
        <v>3</v>
      </c>
      <c r="H464">
        <v>8</v>
      </c>
    </row>
    <row r="465" spans="1:8" x14ac:dyDescent="0.3">
      <c r="A465">
        <v>464</v>
      </c>
      <c r="B465">
        <v>74</v>
      </c>
      <c r="C465" t="s">
        <v>5248</v>
      </c>
      <c r="D465" s="1">
        <v>42641</v>
      </c>
      <c r="E465" s="1">
        <v>42643</v>
      </c>
      <c r="F465" s="1">
        <v>42642</v>
      </c>
      <c r="G465">
        <v>2</v>
      </c>
      <c r="H465">
        <v>7</v>
      </c>
    </row>
    <row r="466" spans="1:8" x14ac:dyDescent="0.3">
      <c r="A466">
        <v>465</v>
      </c>
      <c r="B466">
        <v>1198</v>
      </c>
      <c r="C466" t="s">
        <v>5248</v>
      </c>
      <c r="D466" s="1">
        <v>42641</v>
      </c>
      <c r="E466" s="1">
        <v>42644</v>
      </c>
      <c r="F466" s="1">
        <v>42644</v>
      </c>
      <c r="G466">
        <v>2</v>
      </c>
      <c r="H466">
        <v>6</v>
      </c>
    </row>
    <row r="467" spans="1:8" x14ac:dyDescent="0.3">
      <c r="A467">
        <v>466</v>
      </c>
      <c r="B467">
        <v>1440</v>
      </c>
      <c r="C467" t="s">
        <v>5248</v>
      </c>
      <c r="D467" s="1">
        <v>42641</v>
      </c>
      <c r="E467" s="1">
        <v>42642</v>
      </c>
      <c r="F467" s="1">
        <v>42644</v>
      </c>
      <c r="G467">
        <v>2</v>
      </c>
      <c r="H467">
        <v>7</v>
      </c>
    </row>
    <row r="468" spans="1:8" x14ac:dyDescent="0.3">
      <c r="A468">
        <v>467</v>
      </c>
      <c r="B468">
        <v>555</v>
      </c>
      <c r="C468" t="s">
        <v>5248</v>
      </c>
      <c r="D468" s="1">
        <v>42641</v>
      </c>
      <c r="E468" s="1">
        <v>42643</v>
      </c>
      <c r="F468" s="1">
        <v>42643</v>
      </c>
      <c r="G468">
        <v>3</v>
      </c>
      <c r="H468">
        <v>8</v>
      </c>
    </row>
    <row r="469" spans="1:8" x14ac:dyDescent="0.3">
      <c r="A469">
        <v>468</v>
      </c>
      <c r="B469">
        <v>1261</v>
      </c>
      <c r="C469" t="s">
        <v>5248</v>
      </c>
      <c r="D469" s="1">
        <v>42642</v>
      </c>
      <c r="E469" s="1">
        <v>42645</v>
      </c>
      <c r="F469" s="1">
        <v>42643</v>
      </c>
      <c r="G469">
        <v>1</v>
      </c>
      <c r="H469">
        <v>3</v>
      </c>
    </row>
    <row r="470" spans="1:8" x14ac:dyDescent="0.3">
      <c r="A470">
        <v>469</v>
      </c>
      <c r="B470">
        <v>1089</v>
      </c>
      <c r="C470" t="s">
        <v>5248</v>
      </c>
      <c r="D470" s="1">
        <v>42642</v>
      </c>
      <c r="E470" s="1">
        <v>42645</v>
      </c>
      <c r="F470" s="1">
        <v>42645</v>
      </c>
      <c r="G470">
        <v>2</v>
      </c>
      <c r="H470">
        <v>7</v>
      </c>
    </row>
    <row r="471" spans="1:8" x14ac:dyDescent="0.3">
      <c r="A471">
        <v>470</v>
      </c>
      <c r="B471">
        <v>641</v>
      </c>
      <c r="C471" t="s">
        <v>5248</v>
      </c>
      <c r="D471" s="1">
        <v>42643</v>
      </c>
      <c r="E471" s="1">
        <v>42645</v>
      </c>
      <c r="F471" s="1">
        <v>42645</v>
      </c>
      <c r="G471">
        <v>1</v>
      </c>
      <c r="H471">
        <v>3</v>
      </c>
    </row>
    <row r="472" spans="1:8" x14ac:dyDescent="0.3">
      <c r="A472">
        <v>471</v>
      </c>
      <c r="B472">
        <v>697</v>
      </c>
      <c r="C472" t="s">
        <v>5248</v>
      </c>
      <c r="D472" s="1">
        <v>42643</v>
      </c>
      <c r="E472" s="1">
        <v>42645</v>
      </c>
      <c r="F472" s="1">
        <v>42644</v>
      </c>
      <c r="G472">
        <v>1</v>
      </c>
      <c r="H472">
        <v>3</v>
      </c>
    </row>
    <row r="473" spans="1:8" x14ac:dyDescent="0.3">
      <c r="A473">
        <v>472</v>
      </c>
      <c r="B473">
        <v>468</v>
      </c>
      <c r="C473" t="s">
        <v>5248</v>
      </c>
      <c r="D473" s="1">
        <v>42643</v>
      </c>
      <c r="E473" s="1">
        <v>42644</v>
      </c>
      <c r="F473" s="1">
        <v>42644</v>
      </c>
      <c r="G473">
        <v>2</v>
      </c>
      <c r="H473">
        <v>7</v>
      </c>
    </row>
    <row r="474" spans="1:8" x14ac:dyDescent="0.3">
      <c r="A474">
        <v>473</v>
      </c>
      <c r="B474">
        <v>549</v>
      </c>
      <c r="C474" t="s">
        <v>5248</v>
      </c>
      <c r="D474" s="1">
        <v>42643</v>
      </c>
      <c r="E474" s="1">
        <v>42645</v>
      </c>
      <c r="F474" s="1">
        <v>42646</v>
      </c>
      <c r="G474">
        <v>2</v>
      </c>
      <c r="H474">
        <v>7</v>
      </c>
    </row>
    <row r="475" spans="1:8" x14ac:dyDescent="0.3">
      <c r="A475">
        <v>474</v>
      </c>
      <c r="B475">
        <v>553</v>
      </c>
      <c r="C475" t="s">
        <v>5248</v>
      </c>
      <c r="D475" s="1">
        <v>42644</v>
      </c>
      <c r="E475" s="1">
        <v>42647</v>
      </c>
      <c r="F475" s="1">
        <v>42647</v>
      </c>
      <c r="G475">
        <v>1</v>
      </c>
      <c r="H475">
        <v>3</v>
      </c>
    </row>
    <row r="476" spans="1:8" x14ac:dyDescent="0.3">
      <c r="A476">
        <v>475</v>
      </c>
      <c r="B476">
        <v>241</v>
      </c>
      <c r="C476" t="s">
        <v>5248</v>
      </c>
      <c r="D476" s="1">
        <v>42644</v>
      </c>
      <c r="E476" s="1">
        <v>42647</v>
      </c>
      <c r="F476" s="1">
        <v>42646</v>
      </c>
      <c r="G476">
        <v>2</v>
      </c>
      <c r="H476">
        <v>7</v>
      </c>
    </row>
    <row r="477" spans="1:8" x14ac:dyDescent="0.3">
      <c r="A477">
        <v>476</v>
      </c>
      <c r="B477">
        <v>559</v>
      </c>
      <c r="C477" t="s">
        <v>5248</v>
      </c>
      <c r="D477" s="1">
        <v>42644</v>
      </c>
      <c r="E477" s="1">
        <v>42647</v>
      </c>
      <c r="F477" s="1">
        <v>42645</v>
      </c>
      <c r="G477">
        <v>2</v>
      </c>
      <c r="H477">
        <v>6</v>
      </c>
    </row>
    <row r="478" spans="1:8" x14ac:dyDescent="0.3">
      <c r="A478">
        <v>477</v>
      </c>
      <c r="B478">
        <v>449</v>
      </c>
      <c r="C478" t="s">
        <v>5248</v>
      </c>
      <c r="D478" s="1">
        <v>42645</v>
      </c>
      <c r="E478" s="1">
        <v>42648</v>
      </c>
      <c r="F478" s="1">
        <v>42647</v>
      </c>
      <c r="G478">
        <v>1</v>
      </c>
      <c r="H478">
        <v>2</v>
      </c>
    </row>
    <row r="479" spans="1:8" x14ac:dyDescent="0.3">
      <c r="A479">
        <v>478</v>
      </c>
      <c r="B479">
        <v>304</v>
      </c>
      <c r="C479" t="s">
        <v>5248</v>
      </c>
      <c r="D479" s="1">
        <v>42645</v>
      </c>
      <c r="E479" s="1">
        <v>42648</v>
      </c>
      <c r="F479" s="1">
        <v>42646</v>
      </c>
      <c r="G479">
        <v>2</v>
      </c>
      <c r="H479">
        <v>7</v>
      </c>
    </row>
    <row r="480" spans="1:8" x14ac:dyDescent="0.3">
      <c r="A480">
        <v>479</v>
      </c>
      <c r="B480">
        <v>984</v>
      </c>
      <c r="C480" t="s">
        <v>5248</v>
      </c>
      <c r="D480" s="1">
        <v>42646</v>
      </c>
      <c r="E480" s="1">
        <v>42647</v>
      </c>
      <c r="F480" s="1">
        <v>42647</v>
      </c>
      <c r="G480">
        <v>2</v>
      </c>
      <c r="H480">
        <v>6</v>
      </c>
    </row>
    <row r="481" spans="1:8" x14ac:dyDescent="0.3">
      <c r="A481">
        <v>480</v>
      </c>
      <c r="B481">
        <v>686</v>
      </c>
      <c r="C481" t="s">
        <v>5248</v>
      </c>
      <c r="D481" s="1">
        <v>42647</v>
      </c>
      <c r="E481" s="1">
        <v>42650</v>
      </c>
      <c r="F481" s="1">
        <v>42648</v>
      </c>
      <c r="G481">
        <v>1</v>
      </c>
      <c r="H481">
        <v>3</v>
      </c>
    </row>
    <row r="482" spans="1:8" x14ac:dyDescent="0.3">
      <c r="A482">
        <v>481</v>
      </c>
      <c r="B482">
        <v>481</v>
      </c>
      <c r="C482" t="s">
        <v>5248</v>
      </c>
      <c r="D482" s="1">
        <v>42647</v>
      </c>
      <c r="E482" s="1">
        <v>42650</v>
      </c>
      <c r="F482" s="1">
        <v>42649</v>
      </c>
      <c r="G482">
        <v>3</v>
      </c>
      <c r="H482">
        <v>9</v>
      </c>
    </row>
    <row r="483" spans="1:8" x14ac:dyDescent="0.3">
      <c r="A483">
        <v>482</v>
      </c>
      <c r="B483">
        <v>513</v>
      </c>
      <c r="C483" t="s">
        <v>5248</v>
      </c>
      <c r="D483" s="1">
        <v>42648</v>
      </c>
      <c r="E483" s="1">
        <v>42649</v>
      </c>
      <c r="F483" s="1">
        <v>42649</v>
      </c>
      <c r="G483">
        <v>2</v>
      </c>
      <c r="H483">
        <v>6</v>
      </c>
    </row>
    <row r="484" spans="1:8" x14ac:dyDescent="0.3">
      <c r="A484">
        <v>483</v>
      </c>
      <c r="B484">
        <v>703</v>
      </c>
      <c r="C484" t="s">
        <v>5248</v>
      </c>
      <c r="D484" s="1">
        <v>42649</v>
      </c>
      <c r="E484" s="1">
        <v>42650</v>
      </c>
      <c r="F484" s="1">
        <v>42652</v>
      </c>
      <c r="G484">
        <v>1</v>
      </c>
      <c r="H484">
        <v>2</v>
      </c>
    </row>
    <row r="485" spans="1:8" x14ac:dyDescent="0.3">
      <c r="A485">
        <v>484</v>
      </c>
      <c r="B485">
        <v>421</v>
      </c>
      <c r="C485" t="s">
        <v>5248</v>
      </c>
      <c r="D485" s="1">
        <v>42649</v>
      </c>
      <c r="E485" s="1">
        <v>42652</v>
      </c>
      <c r="F485" s="1">
        <v>42650</v>
      </c>
      <c r="G485">
        <v>2</v>
      </c>
      <c r="H485">
        <v>7</v>
      </c>
    </row>
    <row r="486" spans="1:8" x14ac:dyDescent="0.3">
      <c r="A486">
        <v>485</v>
      </c>
      <c r="B486">
        <v>465</v>
      </c>
      <c r="C486" t="s">
        <v>5248</v>
      </c>
      <c r="D486" s="1">
        <v>42649</v>
      </c>
      <c r="E486" s="1">
        <v>42651</v>
      </c>
      <c r="F486" s="1">
        <v>42650</v>
      </c>
      <c r="G486">
        <v>2</v>
      </c>
      <c r="H486">
        <v>7</v>
      </c>
    </row>
    <row r="487" spans="1:8" x14ac:dyDescent="0.3">
      <c r="A487">
        <v>486</v>
      </c>
      <c r="B487">
        <v>709</v>
      </c>
      <c r="C487" t="s">
        <v>5248</v>
      </c>
      <c r="D487" s="1">
        <v>42649</v>
      </c>
      <c r="E487" s="1">
        <v>42651</v>
      </c>
      <c r="F487" s="1">
        <v>42652</v>
      </c>
      <c r="G487">
        <v>2</v>
      </c>
      <c r="H487">
        <v>7</v>
      </c>
    </row>
    <row r="488" spans="1:8" x14ac:dyDescent="0.3">
      <c r="A488">
        <v>487</v>
      </c>
      <c r="B488">
        <v>827</v>
      </c>
      <c r="C488" t="s">
        <v>5248</v>
      </c>
      <c r="D488" s="1">
        <v>42649</v>
      </c>
      <c r="E488" s="1">
        <v>42652</v>
      </c>
      <c r="F488" s="1">
        <v>42652</v>
      </c>
      <c r="G488">
        <v>2</v>
      </c>
      <c r="H488">
        <v>6</v>
      </c>
    </row>
    <row r="489" spans="1:8" x14ac:dyDescent="0.3">
      <c r="A489">
        <v>488</v>
      </c>
      <c r="B489">
        <v>921</v>
      </c>
      <c r="C489" t="s">
        <v>5248</v>
      </c>
      <c r="D489" s="1">
        <v>42649</v>
      </c>
      <c r="E489" s="1">
        <v>42652</v>
      </c>
      <c r="F489" s="1">
        <v>42651</v>
      </c>
      <c r="G489">
        <v>2</v>
      </c>
      <c r="H489">
        <v>6</v>
      </c>
    </row>
    <row r="490" spans="1:8" x14ac:dyDescent="0.3">
      <c r="A490">
        <v>489</v>
      </c>
      <c r="B490">
        <v>899</v>
      </c>
      <c r="C490" t="s">
        <v>5248</v>
      </c>
      <c r="D490" s="1">
        <v>42649</v>
      </c>
      <c r="E490" s="1">
        <v>42651</v>
      </c>
      <c r="F490" s="1">
        <v>42651</v>
      </c>
      <c r="G490">
        <v>3</v>
      </c>
      <c r="H490">
        <v>8</v>
      </c>
    </row>
    <row r="491" spans="1:8" x14ac:dyDescent="0.3">
      <c r="A491">
        <v>490</v>
      </c>
      <c r="B491">
        <v>876</v>
      </c>
      <c r="C491" t="s">
        <v>5248</v>
      </c>
      <c r="D491" s="1">
        <v>42650</v>
      </c>
      <c r="E491" s="1">
        <v>42653</v>
      </c>
      <c r="F491" s="1">
        <v>42652</v>
      </c>
      <c r="G491">
        <v>2</v>
      </c>
      <c r="H491">
        <v>6</v>
      </c>
    </row>
    <row r="492" spans="1:8" x14ac:dyDescent="0.3">
      <c r="A492">
        <v>491</v>
      </c>
      <c r="B492">
        <v>1048</v>
      </c>
      <c r="C492" t="s">
        <v>5248</v>
      </c>
      <c r="D492" s="1">
        <v>42651</v>
      </c>
      <c r="E492" s="1">
        <v>42653</v>
      </c>
      <c r="F492" s="1">
        <v>42654</v>
      </c>
      <c r="G492">
        <v>1</v>
      </c>
      <c r="H492">
        <v>2</v>
      </c>
    </row>
    <row r="493" spans="1:8" x14ac:dyDescent="0.3">
      <c r="A493">
        <v>492</v>
      </c>
      <c r="B493">
        <v>191</v>
      </c>
      <c r="C493" t="s">
        <v>5248</v>
      </c>
      <c r="D493" s="1">
        <v>42652</v>
      </c>
      <c r="E493" s="1">
        <v>42653</v>
      </c>
      <c r="F493" s="1">
        <v>42655</v>
      </c>
      <c r="G493">
        <v>1</v>
      </c>
      <c r="H493">
        <v>2</v>
      </c>
    </row>
    <row r="494" spans="1:8" x14ac:dyDescent="0.3">
      <c r="A494">
        <v>493</v>
      </c>
      <c r="B494">
        <v>796</v>
      </c>
      <c r="C494" t="s">
        <v>5248</v>
      </c>
      <c r="D494" s="1">
        <v>42652</v>
      </c>
      <c r="E494" s="1">
        <v>42655</v>
      </c>
      <c r="F494" s="1">
        <v>42654</v>
      </c>
      <c r="G494">
        <v>1</v>
      </c>
      <c r="H494">
        <v>3</v>
      </c>
    </row>
    <row r="495" spans="1:8" x14ac:dyDescent="0.3">
      <c r="A495">
        <v>494</v>
      </c>
      <c r="B495">
        <v>875</v>
      </c>
      <c r="C495" t="s">
        <v>5248</v>
      </c>
      <c r="D495" s="1">
        <v>42652</v>
      </c>
      <c r="E495" s="1">
        <v>42653</v>
      </c>
      <c r="F495" s="1">
        <v>42654</v>
      </c>
      <c r="G495">
        <v>2</v>
      </c>
      <c r="H495">
        <v>6</v>
      </c>
    </row>
    <row r="496" spans="1:8" x14ac:dyDescent="0.3">
      <c r="A496">
        <v>495</v>
      </c>
      <c r="B496">
        <v>712</v>
      </c>
      <c r="C496" t="s">
        <v>5248</v>
      </c>
      <c r="D496" s="1">
        <v>42653</v>
      </c>
      <c r="E496" s="1">
        <v>42655</v>
      </c>
      <c r="F496" s="1">
        <v>42656</v>
      </c>
      <c r="G496">
        <v>1</v>
      </c>
      <c r="H496">
        <v>3</v>
      </c>
    </row>
    <row r="497" spans="1:8" x14ac:dyDescent="0.3">
      <c r="A497">
        <v>496</v>
      </c>
      <c r="B497">
        <v>193</v>
      </c>
      <c r="C497" t="s">
        <v>5248</v>
      </c>
      <c r="D497" s="1">
        <v>42653</v>
      </c>
      <c r="E497" s="1">
        <v>42655</v>
      </c>
      <c r="F497" s="1">
        <v>42654</v>
      </c>
      <c r="G497">
        <v>2</v>
      </c>
      <c r="H497">
        <v>6</v>
      </c>
    </row>
    <row r="498" spans="1:8" x14ac:dyDescent="0.3">
      <c r="A498">
        <v>497</v>
      </c>
      <c r="B498">
        <v>785</v>
      </c>
      <c r="C498" t="s">
        <v>5248</v>
      </c>
      <c r="D498" s="1">
        <v>42653</v>
      </c>
      <c r="E498" s="1">
        <v>42654</v>
      </c>
      <c r="F498" s="1">
        <v>42654</v>
      </c>
      <c r="G498">
        <v>2</v>
      </c>
      <c r="H498">
        <v>6</v>
      </c>
    </row>
    <row r="499" spans="1:8" x14ac:dyDescent="0.3">
      <c r="A499">
        <v>498</v>
      </c>
      <c r="B499">
        <v>1331</v>
      </c>
      <c r="C499" t="s">
        <v>5248</v>
      </c>
      <c r="D499" s="1">
        <v>42653</v>
      </c>
      <c r="E499" s="1">
        <v>42655</v>
      </c>
      <c r="F499" s="1">
        <v>42654</v>
      </c>
      <c r="G499">
        <v>2</v>
      </c>
      <c r="H499">
        <v>6</v>
      </c>
    </row>
    <row r="500" spans="1:8" x14ac:dyDescent="0.3">
      <c r="A500">
        <v>499</v>
      </c>
      <c r="B500">
        <v>260</v>
      </c>
      <c r="C500" t="s">
        <v>5248</v>
      </c>
      <c r="D500" s="1">
        <v>42654</v>
      </c>
      <c r="E500" s="1">
        <v>42657</v>
      </c>
      <c r="F500" s="1">
        <v>42656</v>
      </c>
      <c r="G500">
        <v>1</v>
      </c>
      <c r="H500">
        <v>2</v>
      </c>
    </row>
    <row r="501" spans="1:8" x14ac:dyDescent="0.3">
      <c r="A501">
        <v>500</v>
      </c>
      <c r="B501">
        <v>148</v>
      </c>
      <c r="C501" t="s">
        <v>5248</v>
      </c>
      <c r="D501" s="1">
        <v>42654</v>
      </c>
      <c r="E501" s="1">
        <v>42655</v>
      </c>
      <c r="F501" s="1">
        <v>42656</v>
      </c>
      <c r="G501">
        <v>2</v>
      </c>
      <c r="H501">
        <v>6</v>
      </c>
    </row>
    <row r="502" spans="1:8" x14ac:dyDescent="0.3">
      <c r="A502">
        <v>501</v>
      </c>
      <c r="B502">
        <v>977</v>
      </c>
      <c r="C502" t="s">
        <v>5248</v>
      </c>
      <c r="D502" s="1">
        <v>42654</v>
      </c>
      <c r="E502" s="1">
        <v>42655</v>
      </c>
      <c r="F502" s="1">
        <v>42656</v>
      </c>
      <c r="G502">
        <v>2</v>
      </c>
      <c r="H502">
        <v>7</v>
      </c>
    </row>
    <row r="503" spans="1:8" x14ac:dyDescent="0.3">
      <c r="A503">
        <v>502</v>
      </c>
      <c r="B503">
        <v>401</v>
      </c>
      <c r="C503" t="s">
        <v>5248</v>
      </c>
      <c r="D503" s="1">
        <v>42655</v>
      </c>
      <c r="E503" s="1">
        <v>42656</v>
      </c>
      <c r="F503" s="1">
        <v>42656</v>
      </c>
      <c r="G503">
        <v>3</v>
      </c>
      <c r="H503">
        <v>9</v>
      </c>
    </row>
    <row r="504" spans="1:8" x14ac:dyDescent="0.3">
      <c r="A504">
        <v>503</v>
      </c>
      <c r="B504">
        <v>932</v>
      </c>
      <c r="C504" t="s">
        <v>5248</v>
      </c>
      <c r="D504" s="1">
        <v>42656</v>
      </c>
      <c r="E504" s="1">
        <v>42659</v>
      </c>
      <c r="F504" s="1">
        <v>42657</v>
      </c>
      <c r="G504">
        <v>2</v>
      </c>
      <c r="H504">
        <v>6</v>
      </c>
    </row>
    <row r="505" spans="1:8" x14ac:dyDescent="0.3">
      <c r="A505">
        <v>504</v>
      </c>
      <c r="B505">
        <v>1381</v>
      </c>
      <c r="C505" t="s">
        <v>5248</v>
      </c>
      <c r="D505" s="1">
        <v>42657</v>
      </c>
      <c r="E505" s="1">
        <v>42658</v>
      </c>
      <c r="F505" s="1">
        <v>42658</v>
      </c>
      <c r="G505">
        <v>1</v>
      </c>
      <c r="H505">
        <v>2</v>
      </c>
    </row>
    <row r="506" spans="1:8" x14ac:dyDescent="0.3">
      <c r="A506">
        <v>505</v>
      </c>
      <c r="B506">
        <v>721</v>
      </c>
      <c r="C506" t="s">
        <v>5248</v>
      </c>
      <c r="D506" s="1">
        <v>42657</v>
      </c>
      <c r="E506" s="1">
        <v>42659</v>
      </c>
      <c r="F506" s="1">
        <v>42660</v>
      </c>
      <c r="G506">
        <v>2</v>
      </c>
      <c r="H506">
        <v>6</v>
      </c>
    </row>
    <row r="507" spans="1:8" x14ac:dyDescent="0.3">
      <c r="A507">
        <v>506</v>
      </c>
      <c r="B507">
        <v>831</v>
      </c>
      <c r="C507" t="s">
        <v>5248</v>
      </c>
      <c r="D507" s="1">
        <v>42657</v>
      </c>
      <c r="E507" s="1">
        <v>42659</v>
      </c>
      <c r="F507" s="1">
        <v>42659</v>
      </c>
      <c r="G507">
        <v>2</v>
      </c>
      <c r="H507">
        <v>6</v>
      </c>
    </row>
    <row r="508" spans="1:8" x14ac:dyDescent="0.3">
      <c r="A508">
        <v>507</v>
      </c>
      <c r="B508">
        <v>1378</v>
      </c>
      <c r="C508" t="s">
        <v>5248</v>
      </c>
      <c r="D508" s="1">
        <v>42658</v>
      </c>
      <c r="E508" s="1">
        <v>42660</v>
      </c>
      <c r="F508" s="1">
        <v>42660</v>
      </c>
      <c r="G508">
        <v>1</v>
      </c>
      <c r="H508">
        <v>3</v>
      </c>
    </row>
    <row r="509" spans="1:8" x14ac:dyDescent="0.3">
      <c r="A509">
        <v>508</v>
      </c>
      <c r="B509">
        <v>1359</v>
      </c>
      <c r="C509" t="s">
        <v>5248</v>
      </c>
      <c r="D509" s="1">
        <v>42658</v>
      </c>
      <c r="E509" s="1">
        <v>42661</v>
      </c>
      <c r="F509" s="1">
        <v>42661</v>
      </c>
      <c r="G509">
        <v>2</v>
      </c>
      <c r="H509">
        <v>6</v>
      </c>
    </row>
    <row r="510" spans="1:8" x14ac:dyDescent="0.3">
      <c r="A510">
        <v>509</v>
      </c>
      <c r="B510">
        <v>235</v>
      </c>
      <c r="C510" t="s">
        <v>5248</v>
      </c>
      <c r="D510" s="1">
        <v>42659</v>
      </c>
      <c r="E510" s="1">
        <v>42660</v>
      </c>
      <c r="F510" s="1">
        <v>42660</v>
      </c>
      <c r="G510">
        <v>2</v>
      </c>
      <c r="H510">
        <v>7</v>
      </c>
    </row>
    <row r="511" spans="1:8" x14ac:dyDescent="0.3">
      <c r="A511">
        <v>510</v>
      </c>
      <c r="B511">
        <v>586</v>
      </c>
      <c r="C511" t="s">
        <v>5248</v>
      </c>
      <c r="D511" s="1">
        <v>42660</v>
      </c>
      <c r="E511" s="1">
        <v>42661</v>
      </c>
      <c r="F511" s="1">
        <v>42661</v>
      </c>
      <c r="G511">
        <v>2</v>
      </c>
      <c r="H511">
        <v>7</v>
      </c>
    </row>
    <row r="512" spans="1:8" x14ac:dyDescent="0.3">
      <c r="A512">
        <v>511</v>
      </c>
      <c r="B512">
        <v>377</v>
      </c>
      <c r="C512" t="s">
        <v>5248</v>
      </c>
      <c r="D512" s="1">
        <v>42661</v>
      </c>
      <c r="E512" s="1">
        <v>42663</v>
      </c>
      <c r="F512" s="1">
        <v>42662</v>
      </c>
      <c r="G512">
        <v>2</v>
      </c>
      <c r="H512">
        <v>7</v>
      </c>
    </row>
    <row r="513" spans="1:8" x14ac:dyDescent="0.3">
      <c r="A513">
        <v>512</v>
      </c>
      <c r="B513">
        <v>8</v>
      </c>
      <c r="C513" t="s">
        <v>5248</v>
      </c>
      <c r="D513" s="1">
        <v>42662</v>
      </c>
      <c r="E513" s="1">
        <v>42665</v>
      </c>
      <c r="F513" s="1">
        <v>42663</v>
      </c>
      <c r="G513">
        <v>2</v>
      </c>
      <c r="H513">
        <v>7</v>
      </c>
    </row>
    <row r="514" spans="1:8" x14ac:dyDescent="0.3">
      <c r="A514">
        <v>513</v>
      </c>
      <c r="B514">
        <v>155</v>
      </c>
      <c r="C514" t="s">
        <v>5248</v>
      </c>
      <c r="D514" s="1">
        <v>42662</v>
      </c>
      <c r="E514" s="1">
        <v>42664</v>
      </c>
      <c r="F514" s="1">
        <v>42664</v>
      </c>
      <c r="G514">
        <v>2</v>
      </c>
      <c r="H514">
        <v>6</v>
      </c>
    </row>
    <row r="515" spans="1:8" x14ac:dyDescent="0.3">
      <c r="A515">
        <v>514</v>
      </c>
      <c r="B515">
        <v>927</v>
      </c>
      <c r="C515" t="s">
        <v>5248</v>
      </c>
      <c r="D515" s="1">
        <v>42662</v>
      </c>
      <c r="E515" s="1">
        <v>42664</v>
      </c>
      <c r="F515" s="1">
        <v>42663</v>
      </c>
      <c r="G515">
        <v>2</v>
      </c>
      <c r="H515">
        <v>7</v>
      </c>
    </row>
    <row r="516" spans="1:8" x14ac:dyDescent="0.3">
      <c r="A516">
        <v>515</v>
      </c>
      <c r="B516">
        <v>986</v>
      </c>
      <c r="C516" t="s">
        <v>5248</v>
      </c>
      <c r="D516" s="1">
        <v>42662</v>
      </c>
      <c r="E516" s="1">
        <v>42663</v>
      </c>
      <c r="F516" s="1">
        <v>42665</v>
      </c>
      <c r="G516">
        <v>2</v>
      </c>
      <c r="H516">
        <v>6</v>
      </c>
    </row>
    <row r="517" spans="1:8" x14ac:dyDescent="0.3">
      <c r="A517">
        <v>516</v>
      </c>
      <c r="B517">
        <v>111</v>
      </c>
      <c r="C517" t="s">
        <v>5248</v>
      </c>
      <c r="D517" s="1">
        <v>42664</v>
      </c>
      <c r="E517" s="1">
        <v>42666</v>
      </c>
      <c r="F517" s="1">
        <v>42667</v>
      </c>
      <c r="G517">
        <v>2</v>
      </c>
      <c r="H517">
        <v>6</v>
      </c>
    </row>
    <row r="518" spans="1:8" x14ac:dyDescent="0.3">
      <c r="A518">
        <v>517</v>
      </c>
      <c r="B518">
        <v>613</v>
      </c>
      <c r="C518" t="s">
        <v>5248</v>
      </c>
      <c r="D518" s="1">
        <v>42664</v>
      </c>
      <c r="E518" s="1">
        <v>42665</v>
      </c>
      <c r="F518" s="1">
        <v>42667</v>
      </c>
      <c r="G518">
        <v>2</v>
      </c>
      <c r="H518">
        <v>6</v>
      </c>
    </row>
    <row r="519" spans="1:8" x14ac:dyDescent="0.3">
      <c r="A519">
        <v>518</v>
      </c>
      <c r="B519">
        <v>1374</v>
      </c>
      <c r="C519" t="s">
        <v>5248</v>
      </c>
      <c r="D519" s="1">
        <v>42665</v>
      </c>
      <c r="E519" s="1">
        <v>42667</v>
      </c>
      <c r="F519" s="1">
        <v>42668</v>
      </c>
      <c r="G519">
        <v>1</v>
      </c>
      <c r="H519">
        <v>2</v>
      </c>
    </row>
    <row r="520" spans="1:8" x14ac:dyDescent="0.3">
      <c r="A520">
        <v>519</v>
      </c>
      <c r="B520">
        <v>54</v>
      </c>
      <c r="C520" t="s">
        <v>5248</v>
      </c>
      <c r="D520" s="1">
        <v>42665</v>
      </c>
      <c r="E520" s="1">
        <v>42666</v>
      </c>
      <c r="F520" s="1">
        <v>42667</v>
      </c>
      <c r="G520">
        <v>2</v>
      </c>
      <c r="H520">
        <v>7</v>
      </c>
    </row>
    <row r="521" spans="1:8" x14ac:dyDescent="0.3">
      <c r="A521">
        <v>520</v>
      </c>
      <c r="B521">
        <v>639</v>
      </c>
      <c r="C521" t="s">
        <v>5248</v>
      </c>
      <c r="D521" s="1">
        <v>42666</v>
      </c>
      <c r="E521" s="1">
        <v>42669</v>
      </c>
      <c r="F521" s="1">
        <v>42667</v>
      </c>
      <c r="G521">
        <v>2</v>
      </c>
      <c r="H521">
        <v>7</v>
      </c>
    </row>
    <row r="522" spans="1:8" x14ac:dyDescent="0.3">
      <c r="A522">
        <v>521</v>
      </c>
      <c r="B522">
        <v>664</v>
      </c>
      <c r="C522" t="s">
        <v>5248</v>
      </c>
      <c r="D522" s="1">
        <v>42666</v>
      </c>
      <c r="E522" s="1">
        <v>42668</v>
      </c>
      <c r="F522" s="1">
        <v>42668</v>
      </c>
      <c r="G522">
        <v>2</v>
      </c>
      <c r="H522">
        <v>6</v>
      </c>
    </row>
    <row r="523" spans="1:8" x14ac:dyDescent="0.3">
      <c r="A523">
        <v>522</v>
      </c>
      <c r="B523">
        <v>724</v>
      </c>
      <c r="C523" t="s">
        <v>5248</v>
      </c>
      <c r="D523" s="1">
        <v>42666</v>
      </c>
      <c r="E523" s="1">
        <v>42667</v>
      </c>
      <c r="F523" s="1">
        <v>42667</v>
      </c>
      <c r="G523">
        <v>2</v>
      </c>
      <c r="H523">
        <v>7</v>
      </c>
    </row>
    <row r="524" spans="1:8" x14ac:dyDescent="0.3">
      <c r="A524">
        <v>523</v>
      </c>
      <c r="B524">
        <v>1056</v>
      </c>
      <c r="C524" t="s">
        <v>5248</v>
      </c>
      <c r="D524" s="1">
        <v>42667</v>
      </c>
      <c r="E524" s="1">
        <v>42669</v>
      </c>
      <c r="F524" s="1">
        <v>42670</v>
      </c>
      <c r="G524">
        <v>2</v>
      </c>
      <c r="H524">
        <v>6</v>
      </c>
    </row>
    <row r="525" spans="1:8" x14ac:dyDescent="0.3">
      <c r="A525">
        <v>524</v>
      </c>
      <c r="B525">
        <v>569</v>
      </c>
      <c r="C525" t="s">
        <v>5248</v>
      </c>
      <c r="D525" s="1">
        <v>42668</v>
      </c>
      <c r="E525" s="1">
        <v>42669</v>
      </c>
      <c r="F525" s="1">
        <v>42670</v>
      </c>
      <c r="G525">
        <v>1</v>
      </c>
      <c r="H525">
        <v>2</v>
      </c>
    </row>
    <row r="526" spans="1:8" x14ac:dyDescent="0.3">
      <c r="A526">
        <v>525</v>
      </c>
      <c r="B526">
        <v>1315</v>
      </c>
      <c r="C526" t="s">
        <v>5248</v>
      </c>
      <c r="D526" s="1">
        <v>42669</v>
      </c>
      <c r="E526" s="1">
        <v>42671</v>
      </c>
      <c r="F526" s="1">
        <v>42672</v>
      </c>
      <c r="G526">
        <v>1</v>
      </c>
      <c r="H526">
        <v>3</v>
      </c>
    </row>
    <row r="527" spans="1:8" x14ac:dyDescent="0.3">
      <c r="A527">
        <v>526</v>
      </c>
      <c r="B527">
        <v>1096</v>
      </c>
      <c r="C527" t="s">
        <v>5248</v>
      </c>
      <c r="D527" s="1">
        <v>42669</v>
      </c>
      <c r="E527" s="1">
        <v>42671</v>
      </c>
      <c r="F527" s="1">
        <v>42671</v>
      </c>
      <c r="G527">
        <v>2</v>
      </c>
      <c r="H527">
        <v>6</v>
      </c>
    </row>
    <row r="528" spans="1:8" x14ac:dyDescent="0.3">
      <c r="A528">
        <v>527</v>
      </c>
      <c r="B528">
        <v>506</v>
      </c>
      <c r="C528" t="s">
        <v>5248</v>
      </c>
      <c r="D528" s="1">
        <v>42670</v>
      </c>
      <c r="E528" s="1">
        <v>42672</v>
      </c>
      <c r="F528" s="1">
        <v>42671</v>
      </c>
      <c r="G528">
        <v>1</v>
      </c>
      <c r="H528">
        <v>2</v>
      </c>
    </row>
    <row r="529" spans="1:8" x14ac:dyDescent="0.3">
      <c r="A529">
        <v>528</v>
      </c>
      <c r="B529">
        <v>676</v>
      </c>
      <c r="C529" t="s">
        <v>5248</v>
      </c>
      <c r="D529" s="1">
        <v>42671</v>
      </c>
      <c r="E529" s="1">
        <v>42674</v>
      </c>
      <c r="F529" s="1">
        <v>42674</v>
      </c>
      <c r="G529">
        <v>2</v>
      </c>
      <c r="H529">
        <v>7</v>
      </c>
    </row>
    <row r="530" spans="1:8" x14ac:dyDescent="0.3">
      <c r="A530">
        <v>529</v>
      </c>
      <c r="B530">
        <v>753</v>
      </c>
      <c r="C530" t="s">
        <v>5248</v>
      </c>
      <c r="D530" s="1">
        <v>42671</v>
      </c>
      <c r="E530" s="1">
        <v>42673</v>
      </c>
      <c r="F530" s="1">
        <v>42674</v>
      </c>
      <c r="G530">
        <v>2</v>
      </c>
      <c r="H530">
        <v>7</v>
      </c>
    </row>
    <row r="531" spans="1:8" x14ac:dyDescent="0.3">
      <c r="A531">
        <v>530</v>
      </c>
      <c r="B531">
        <v>773</v>
      </c>
      <c r="C531" t="s">
        <v>5248</v>
      </c>
      <c r="D531" s="1">
        <v>42671</v>
      </c>
      <c r="E531" s="1">
        <v>42674</v>
      </c>
      <c r="F531" s="1">
        <v>42674</v>
      </c>
      <c r="G531">
        <v>2</v>
      </c>
      <c r="H531">
        <v>6</v>
      </c>
    </row>
    <row r="532" spans="1:8" x14ac:dyDescent="0.3">
      <c r="A532">
        <v>531</v>
      </c>
      <c r="B532">
        <v>116</v>
      </c>
      <c r="C532" t="s">
        <v>5248</v>
      </c>
      <c r="D532" s="1">
        <v>42671</v>
      </c>
      <c r="E532" s="1">
        <v>42672</v>
      </c>
      <c r="F532" s="1">
        <v>42673</v>
      </c>
      <c r="G532">
        <v>3</v>
      </c>
      <c r="H532">
        <v>8</v>
      </c>
    </row>
    <row r="533" spans="1:8" x14ac:dyDescent="0.3">
      <c r="A533">
        <v>532</v>
      </c>
      <c r="B533">
        <v>817</v>
      </c>
      <c r="C533" t="s">
        <v>5248</v>
      </c>
      <c r="D533" s="1">
        <v>42672</v>
      </c>
      <c r="E533" s="1">
        <v>42674</v>
      </c>
      <c r="F533" s="1">
        <v>42673</v>
      </c>
      <c r="G533">
        <v>2</v>
      </c>
      <c r="H533">
        <v>7</v>
      </c>
    </row>
    <row r="534" spans="1:8" x14ac:dyDescent="0.3">
      <c r="A534">
        <v>533</v>
      </c>
      <c r="B534">
        <v>1334</v>
      </c>
      <c r="C534" t="s">
        <v>5248</v>
      </c>
      <c r="D534" s="1">
        <v>42672</v>
      </c>
      <c r="E534" s="1">
        <v>42675</v>
      </c>
      <c r="F534" s="1">
        <v>42675</v>
      </c>
      <c r="G534">
        <v>2</v>
      </c>
      <c r="H534">
        <v>6</v>
      </c>
    </row>
    <row r="535" spans="1:8" x14ac:dyDescent="0.3">
      <c r="A535">
        <v>534</v>
      </c>
      <c r="B535">
        <v>1406</v>
      </c>
      <c r="C535" t="s">
        <v>5248</v>
      </c>
      <c r="D535" s="1">
        <v>42672</v>
      </c>
      <c r="E535" s="1">
        <v>42673</v>
      </c>
      <c r="F535" s="1">
        <v>42674</v>
      </c>
      <c r="G535">
        <v>2</v>
      </c>
      <c r="H535">
        <v>7</v>
      </c>
    </row>
    <row r="536" spans="1:8" x14ac:dyDescent="0.3">
      <c r="A536">
        <v>535</v>
      </c>
      <c r="B536">
        <v>835</v>
      </c>
      <c r="C536" t="s">
        <v>5248</v>
      </c>
      <c r="D536" s="1">
        <v>42672</v>
      </c>
      <c r="E536" s="1">
        <v>42674</v>
      </c>
      <c r="F536" s="1">
        <v>42675</v>
      </c>
      <c r="G536">
        <v>3</v>
      </c>
      <c r="H536">
        <v>9</v>
      </c>
    </row>
    <row r="537" spans="1:8" x14ac:dyDescent="0.3">
      <c r="A537">
        <v>536</v>
      </c>
      <c r="B537">
        <v>759</v>
      </c>
      <c r="C537" t="s">
        <v>5248</v>
      </c>
      <c r="D537" s="1">
        <v>42674</v>
      </c>
      <c r="E537" s="1">
        <v>42676</v>
      </c>
      <c r="F537" s="1">
        <v>42675</v>
      </c>
      <c r="G537">
        <v>1</v>
      </c>
      <c r="H537">
        <v>3</v>
      </c>
    </row>
    <row r="538" spans="1:8" x14ac:dyDescent="0.3">
      <c r="A538">
        <v>537</v>
      </c>
      <c r="B538">
        <v>1353</v>
      </c>
      <c r="C538" t="s">
        <v>5248</v>
      </c>
      <c r="D538" s="1">
        <v>42674</v>
      </c>
      <c r="E538" s="1">
        <v>42675</v>
      </c>
      <c r="F538" s="1">
        <v>42677</v>
      </c>
      <c r="G538">
        <v>1</v>
      </c>
      <c r="H538">
        <v>2</v>
      </c>
    </row>
    <row r="539" spans="1:8" x14ac:dyDescent="0.3">
      <c r="A539">
        <v>538</v>
      </c>
      <c r="B539">
        <v>341</v>
      </c>
      <c r="C539" t="s">
        <v>5248</v>
      </c>
      <c r="D539" s="1">
        <v>42676</v>
      </c>
      <c r="E539" s="1">
        <v>42679</v>
      </c>
      <c r="F539" s="1">
        <v>42679</v>
      </c>
      <c r="G539">
        <v>2</v>
      </c>
      <c r="H539">
        <v>6</v>
      </c>
    </row>
    <row r="540" spans="1:8" x14ac:dyDescent="0.3">
      <c r="A540">
        <v>539</v>
      </c>
      <c r="B540">
        <v>1144</v>
      </c>
      <c r="C540" t="s">
        <v>5248</v>
      </c>
      <c r="D540" s="1">
        <v>42676</v>
      </c>
      <c r="E540" s="1">
        <v>42678</v>
      </c>
      <c r="F540" s="1">
        <v>42677</v>
      </c>
      <c r="G540">
        <v>2</v>
      </c>
      <c r="H540">
        <v>7</v>
      </c>
    </row>
    <row r="541" spans="1:8" x14ac:dyDescent="0.3">
      <c r="A541">
        <v>540</v>
      </c>
      <c r="B541">
        <v>1429</v>
      </c>
      <c r="C541" t="s">
        <v>5248</v>
      </c>
      <c r="D541" s="1">
        <v>42677</v>
      </c>
      <c r="E541" s="1">
        <v>42679</v>
      </c>
      <c r="F541" s="1">
        <v>42680</v>
      </c>
      <c r="G541">
        <v>1</v>
      </c>
      <c r="H541">
        <v>3</v>
      </c>
    </row>
    <row r="542" spans="1:8" x14ac:dyDescent="0.3">
      <c r="A542">
        <v>541</v>
      </c>
      <c r="B542">
        <v>1228</v>
      </c>
      <c r="C542" t="s">
        <v>5248</v>
      </c>
      <c r="D542" s="1">
        <v>42678</v>
      </c>
      <c r="E542" s="1">
        <v>42681</v>
      </c>
      <c r="F542" s="1">
        <v>42681</v>
      </c>
      <c r="G542">
        <v>1</v>
      </c>
      <c r="H542">
        <v>3</v>
      </c>
    </row>
    <row r="543" spans="1:8" x14ac:dyDescent="0.3">
      <c r="A543">
        <v>542</v>
      </c>
      <c r="B543">
        <v>313</v>
      </c>
      <c r="C543" t="s">
        <v>5248</v>
      </c>
      <c r="D543" s="1">
        <v>42678</v>
      </c>
      <c r="E543" s="1">
        <v>42680</v>
      </c>
      <c r="F543" s="1">
        <v>42679</v>
      </c>
      <c r="G543">
        <v>2</v>
      </c>
      <c r="H543">
        <v>7</v>
      </c>
    </row>
    <row r="544" spans="1:8" x14ac:dyDescent="0.3">
      <c r="A544">
        <v>543</v>
      </c>
      <c r="B544">
        <v>62</v>
      </c>
      <c r="C544" t="s">
        <v>5248</v>
      </c>
      <c r="D544" s="1">
        <v>42680</v>
      </c>
      <c r="E544" s="1">
        <v>42683</v>
      </c>
      <c r="F544" s="1">
        <v>42682</v>
      </c>
      <c r="G544">
        <v>2</v>
      </c>
      <c r="H544">
        <v>6</v>
      </c>
    </row>
    <row r="545" spans="1:8" x14ac:dyDescent="0.3">
      <c r="A545">
        <v>544</v>
      </c>
      <c r="B545">
        <v>321</v>
      </c>
      <c r="C545" t="s">
        <v>5248</v>
      </c>
      <c r="D545" s="1">
        <v>42680</v>
      </c>
      <c r="E545" s="1">
        <v>42681</v>
      </c>
      <c r="F545" s="1">
        <v>42682</v>
      </c>
      <c r="G545">
        <v>2</v>
      </c>
      <c r="H545">
        <v>7</v>
      </c>
    </row>
    <row r="546" spans="1:8" x14ac:dyDescent="0.3">
      <c r="A546">
        <v>545</v>
      </c>
      <c r="B546">
        <v>1108</v>
      </c>
      <c r="C546" t="s">
        <v>5248</v>
      </c>
      <c r="D546" s="1">
        <v>42682</v>
      </c>
      <c r="E546" s="1">
        <v>42684</v>
      </c>
      <c r="F546" s="1">
        <v>42683</v>
      </c>
      <c r="G546">
        <v>3</v>
      </c>
      <c r="H546">
        <v>9</v>
      </c>
    </row>
    <row r="547" spans="1:8" x14ac:dyDescent="0.3">
      <c r="A547">
        <v>546</v>
      </c>
      <c r="B547">
        <v>470</v>
      </c>
      <c r="C547" t="s">
        <v>5248</v>
      </c>
      <c r="D547" s="1">
        <v>42683</v>
      </c>
      <c r="E547" s="1">
        <v>42686</v>
      </c>
      <c r="F547" s="1">
        <v>42684</v>
      </c>
      <c r="G547">
        <v>2</v>
      </c>
      <c r="H547">
        <v>7</v>
      </c>
    </row>
    <row r="548" spans="1:8" x14ac:dyDescent="0.3">
      <c r="A548">
        <v>547</v>
      </c>
      <c r="B548">
        <v>20</v>
      </c>
      <c r="C548" t="s">
        <v>5248</v>
      </c>
      <c r="D548" s="1">
        <v>42683</v>
      </c>
      <c r="E548" s="1">
        <v>42685</v>
      </c>
      <c r="F548" s="1">
        <v>42684</v>
      </c>
      <c r="G548">
        <v>3</v>
      </c>
      <c r="H548">
        <v>8</v>
      </c>
    </row>
    <row r="549" spans="1:8" x14ac:dyDescent="0.3">
      <c r="A549">
        <v>548</v>
      </c>
      <c r="B549">
        <v>739</v>
      </c>
      <c r="C549" t="s">
        <v>5248</v>
      </c>
      <c r="D549" s="1">
        <v>42685</v>
      </c>
      <c r="E549" s="1">
        <v>42687</v>
      </c>
      <c r="F549" s="1">
        <v>42687</v>
      </c>
      <c r="G549">
        <v>2</v>
      </c>
      <c r="H549">
        <v>7</v>
      </c>
    </row>
    <row r="550" spans="1:8" x14ac:dyDescent="0.3">
      <c r="A550">
        <v>549</v>
      </c>
      <c r="B550">
        <v>64</v>
      </c>
      <c r="C550" t="s">
        <v>5249</v>
      </c>
      <c r="D550" s="1">
        <v>42686</v>
      </c>
      <c r="E550" s="1">
        <v>42686</v>
      </c>
      <c r="F550" s="1"/>
      <c r="G550">
        <v>3</v>
      </c>
      <c r="H550">
        <v>9</v>
      </c>
    </row>
    <row r="551" spans="1:8" x14ac:dyDescent="0.3">
      <c r="A551">
        <v>550</v>
      </c>
      <c r="B551">
        <v>892</v>
      </c>
      <c r="C551" t="s">
        <v>5248</v>
      </c>
      <c r="D551" s="1">
        <v>42686</v>
      </c>
      <c r="E551" s="1">
        <v>42688</v>
      </c>
      <c r="F551" s="1">
        <v>42689</v>
      </c>
      <c r="G551">
        <v>2</v>
      </c>
      <c r="H551">
        <v>7</v>
      </c>
    </row>
    <row r="552" spans="1:8" x14ac:dyDescent="0.3">
      <c r="A552">
        <v>551</v>
      </c>
      <c r="B552">
        <v>1169</v>
      </c>
      <c r="C552" t="s">
        <v>5248</v>
      </c>
      <c r="D552" s="1">
        <v>42686</v>
      </c>
      <c r="E552" s="1">
        <v>42687</v>
      </c>
      <c r="F552" s="1">
        <v>42687</v>
      </c>
      <c r="G552">
        <v>2</v>
      </c>
      <c r="H552">
        <v>6</v>
      </c>
    </row>
    <row r="553" spans="1:8" x14ac:dyDescent="0.3">
      <c r="A553">
        <v>552</v>
      </c>
      <c r="B553">
        <v>1282</v>
      </c>
      <c r="C553" t="s">
        <v>5248</v>
      </c>
      <c r="D553" s="1">
        <v>42686</v>
      </c>
      <c r="E553" s="1">
        <v>42689</v>
      </c>
      <c r="F553" s="1">
        <v>42687</v>
      </c>
      <c r="G553">
        <v>2</v>
      </c>
      <c r="H553">
        <v>7</v>
      </c>
    </row>
    <row r="554" spans="1:8" x14ac:dyDescent="0.3">
      <c r="A554">
        <v>553</v>
      </c>
      <c r="B554">
        <v>913</v>
      </c>
      <c r="C554" t="s">
        <v>5248</v>
      </c>
      <c r="D554" s="1">
        <v>42686</v>
      </c>
      <c r="E554" s="1">
        <v>42687</v>
      </c>
      <c r="F554" s="1">
        <v>42689</v>
      </c>
      <c r="G554">
        <v>3</v>
      </c>
      <c r="H554">
        <v>9</v>
      </c>
    </row>
    <row r="555" spans="1:8" x14ac:dyDescent="0.3">
      <c r="A555">
        <v>554</v>
      </c>
      <c r="B555">
        <v>104</v>
      </c>
      <c r="C555" t="s">
        <v>5248</v>
      </c>
      <c r="D555" s="1">
        <v>42687</v>
      </c>
      <c r="E555" s="1">
        <v>42688</v>
      </c>
      <c r="F555" s="1">
        <v>42690</v>
      </c>
      <c r="G555">
        <v>1</v>
      </c>
      <c r="H555">
        <v>3</v>
      </c>
    </row>
    <row r="556" spans="1:8" x14ac:dyDescent="0.3">
      <c r="A556">
        <v>555</v>
      </c>
      <c r="B556">
        <v>212</v>
      </c>
      <c r="C556" t="s">
        <v>5248</v>
      </c>
      <c r="D556" s="1">
        <v>42687</v>
      </c>
      <c r="E556" s="1">
        <v>42688</v>
      </c>
      <c r="F556" s="1">
        <v>42690</v>
      </c>
      <c r="G556">
        <v>2</v>
      </c>
      <c r="H556">
        <v>7</v>
      </c>
    </row>
    <row r="557" spans="1:8" x14ac:dyDescent="0.3">
      <c r="A557">
        <v>556</v>
      </c>
      <c r="B557">
        <v>61</v>
      </c>
      <c r="C557" t="s">
        <v>5248</v>
      </c>
      <c r="D557" s="1">
        <v>42687</v>
      </c>
      <c r="E557" s="1">
        <v>42688</v>
      </c>
      <c r="F557" s="1">
        <v>42689</v>
      </c>
      <c r="G557">
        <v>3</v>
      </c>
      <c r="H557">
        <v>9</v>
      </c>
    </row>
    <row r="558" spans="1:8" x14ac:dyDescent="0.3">
      <c r="A558">
        <v>557</v>
      </c>
      <c r="B558">
        <v>1248</v>
      </c>
      <c r="C558" t="s">
        <v>5248</v>
      </c>
      <c r="D558" s="1">
        <v>42688</v>
      </c>
      <c r="E558" s="1">
        <v>42691</v>
      </c>
      <c r="F558" s="1">
        <v>42689</v>
      </c>
      <c r="G558">
        <v>2</v>
      </c>
      <c r="H558">
        <v>6</v>
      </c>
    </row>
    <row r="559" spans="1:8" x14ac:dyDescent="0.3">
      <c r="A559">
        <v>558</v>
      </c>
      <c r="B559">
        <v>1443</v>
      </c>
      <c r="C559" t="s">
        <v>5248</v>
      </c>
      <c r="D559" s="1">
        <v>42689</v>
      </c>
      <c r="E559" s="1">
        <v>42690</v>
      </c>
      <c r="F559" s="1">
        <v>42691</v>
      </c>
      <c r="G559">
        <v>2</v>
      </c>
      <c r="H559">
        <v>7</v>
      </c>
    </row>
    <row r="560" spans="1:8" x14ac:dyDescent="0.3">
      <c r="A560">
        <v>559</v>
      </c>
      <c r="B560">
        <v>959</v>
      </c>
      <c r="C560" t="s">
        <v>5248</v>
      </c>
      <c r="D560" s="1">
        <v>42690</v>
      </c>
      <c r="E560" s="1">
        <v>42691</v>
      </c>
      <c r="F560" s="1">
        <v>42691</v>
      </c>
      <c r="G560">
        <v>1</v>
      </c>
      <c r="H560">
        <v>2</v>
      </c>
    </row>
    <row r="561" spans="1:8" x14ac:dyDescent="0.3">
      <c r="A561">
        <v>560</v>
      </c>
      <c r="B561">
        <v>1405</v>
      </c>
      <c r="C561" t="s">
        <v>5248</v>
      </c>
      <c r="D561" s="1">
        <v>42692</v>
      </c>
      <c r="E561" s="1">
        <v>42693</v>
      </c>
      <c r="F561" s="1">
        <v>42695</v>
      </c>
      <c r="G561">
        <v>2</v>
      </c>
      <c r="H561">
        <v>6</v>
      </c>
    </row>
    <row r="562" spans="1:8" x14ac:dyDescent="0.3">
      <c r="A562">
        <v>561</v>
      </c>
      <c r="B562">
        <v>90</v>
      </c>
      <c r="C562" t="s">
        <v>5248</v>
      </c>
      <c r="D562" s="1">
        <v>42693</v>
      </c>
      <c r="E562" s="1">
        <v>42696</v>
      </c>
      <c r="F562" s="1">
        <v>42696</v>
      </c>
      <c r="G562">
        <v>2</v>
      </c>
      <c r="H562">
        <v>6</v>
      </c>
    </row>
    <row r="563" spans="1:8" x14ac:dyDescent="0.3">
      <c r="A563">
        <v>562</v>
      </c>
      <c r="B563">
        <v>942</v>
      </c>
      <c r="C563" t="s">
        <v>5248</v>
      </c>
      <c r="D563" s="1">
        <v>42693</v>
      </c>
      <c r="E563" s="1">
        <v>42694</v>
      </c>
      <c r="F563" s="1">
        <v>42696</v>
      </c>
      <c r="G563">
        <v>2</v>
      </c>
      <c r="H563">
        <v>7</v>
      </c>
    </row>
    <row r="564" spans="1:8" x14ac:dyDescent="0.3">
      <c r="A564">
        <v>563</v>
      </c>
      <c r="B564">
        <v>365</v>
      </c>
      <c r="C564" t="s">
        <v>5248</v>
      </c>
      <c r="D564" s="1">
        <v>42694</v>
      </c>
      <c r="E564" s="1">
        <v>42696</v>
      </c>
      <c r="F564" s="1">
        <v>42695</v>
      </c>
      <c r="G564">
        <v>2</v>
      </c>
      <c r="H564">
        <v>6</v>
      </c>
    </row>
    <row r="565" spans="1:8" x14ac:dyDescent="0.3">
      <c r="A565">
        <v>564</v>
      </c>
      <c r="B565">
        <v>1058</v>
      </c>
      <c r="C565" t="s">
        <v>5248</v>
      </c>
      <c r="D565" s="1">
        <v>42694</v>
      </c>
      <c r="E565" s="1">
        <v>42697</v>
      </c>
      <c r="F565" s="1">
        <v>42696</v>
      </c>
      <c r="G565">
        <v>2</v>
      </c>
      <c r="H565">
        <v>7</v>
      </c>
    </row>
    <row r="566" spans="1:8" x14ac:dyDescent="0.3">
      <c r="A566">
        <v>565</v>
      </c>
      <c r="B566">
        <v>894</v>
      </c>
      <c r="C566" t="s">
        <v>5248</v>
      </c>
      <c r="D566" s="1">
        <v>42695</v>
      </c>
      <c r="E566" s="1">
        <v>42696</v>
      </c>
      <c r="F566" s="1">
        <v>42696</v>
      </c>
      <c r="G566">
        <v>2</v>
      </c>
      <c r="H566">
        <v>7</v>
      </c>
    </row>
    <row r="567" spans="1:8" x14ac:dyDescent="0.3">
      <c r="A567">
        <v>566</v>
      </c>
      <c r="B567">
        <v>298</v>
      </c>
      <c r="C567" t="s">
        <v>5248</v>
      </c>
      <c r="D567" s="1">
        <v>42696</v>
      </c>
      <c r="E567" s="1">
        <v>42699</v>
      </c>
      <c r="F567" s="1">
        <v>42697</v>
      </c>
      <c r="G567">
        <v>1</v>
      </c>
      <c r="H567">
        <v>3</v>
      </c>
    </row>
    <row r="568" spans="1:8" x14ac:dyDescent="0.3">
      <c r="A568">
        <v>567</v>
      </c>
      <c r="B568">
        <v>1430</v>
      </c>
      <c r="C568" t="s">
        <v>5248</v>
      </c>
      <c r="D568" s="1">
        <v>42696</v>
      </c>
      <c r="E568" s="1">
        <v>42697</v>
      </c>
      <c r="F568" s="1">
        <v>42697</v>
      </c>
      <c r="G568">
        <v>1</v>
      </c>
      <c r="H568">
        <v>2</v>
      </c>
    </row>
    <row r="569" spans="1:8" x14ac:dyDescent="0.3">
      <c r="A569">
        <v>568</v>
      </c>
      <c r="B569">
        <v>1275</v>
      </c>
      <c r="C569" t="s">
        <v>5248</v>
      </c>
      <c r="D569" s="1">
        <v>42697</v>
      </c>
      <c r="E569" s="1">
        <v>42699</v>
      </c>
      <c r="F569" s="1">
        <v>42698</v>
      </c>
      <c r="G569">
        <v>1</v>
      </c>
      <c r="H569">
        <v>3</v>
      </c>
    </row>
    <row r="570" spans="1:8" x14ac:dyDescent="0.3">
      <c r="A570">
        <v>569</v>
      </c>
      <c r="B570">
        <v>707</v>
      </c>
      <c r="C570" t="s">
        <v>5248</v>
      </c>
      <c r="D570" s="1">
        <v>42697</v>
      </c>
      <c r="E570" s="1">
        <v>42698</v>
      </c>
      <c r="F570" s="1">
        <v>42699</v>
      </c>
      <c r="G570">
        <v>2</v>
      </c>
      <c r="H570">
        <v>6</v>
      </c>
    </row>
    <row r="571" spans="1:8" x14ac:dyDescent="0.3">
      <c r="A571">
        <v>570</v>
      </c>
      <c r="B571">
        <v>989</v>
      </c>
      <c r="C571" t="s">
        <v>5248</v>
      </c>
      <c r="D571" s="1">
        <v>42697</v>
      </c>
      <c r="E571" s="1">
        <v>42698</v>
      </c>
      <c r="F571" s="1">
        <v>42699</v>
      </c>
      <c r="G571">
        <v>2</v>
      </c>
      <c r="H571">
        <v>6</v>
      </c>
    </row>
    <row r="572" spans="1:8" x14ac:dyDescent="0.3">
      <c r="A572">
        <v>571</v>
      </c>
      <c r="B572">
        <v>5</v>
      </c>
      <c r="C572" t="s">
        <v>5248</v>
      </c>
      <c r="D572" s="1">
        <v>42698</v>
      </c>
      <c r="E572" s="1">
        <v>42699</v>
      </c>
      <c r="F572" s="1">
        <v>42701</v>
      </c>
      <c r="G572">
        <v>1</v>
      </c>
      <c r="H572">
        <v>2</v>
      </c>
    </row>
    <row r="573" spans="1:8" x14ac:dyDescent="0.3">
      <c r="A573">
        <v>572</v>
      </c>
      <c r="B573">
        <v>178</v>
      </c>
      <c r="C573" t="s">
        <v>5248</v>
      </c>
      <c r="D573" s="1">
        <v>42698</v>
      </c>
      <c r="E573" s="1">
        <v>42700</v>
      </c>
      <c r="F573" s="1">
        <v>42700</v>
      </c>
      <c r="G573">
        <v>2</v>
      </c>
      <c r="H573">
        <v>6</v>
      </c>
    </row>
    <row r="574" spans="1:8" x14ac:dyDescent="0.3">
      <c r="A574">
        <v>573</v>
      </c>
      <c r="B574">
        <v>423</v>
      </c>
      <c r="C574" t="s">
        <v>5248</v>
      </c>
      <c r="D574" s="1">
        <v>42698</v>
      </c>
      <c r="E574" s="1">
        <v>42700</v>
      </c>
      <c r="F574" s="1">
        <v>42701</v>
      </c>
      <c r="G574">
        <v>2</v>
      </c>
      <c r="H574">
        <v>6</v>
      </c>
    </row>
    <row r="575" spans="1:8" x14ac:dyDescent="0.3">
      <c r="A575">
        <v>574</v>
      </c>
      <c r="B575">
        <v>833</v>
      </c>
      <c r="C575" t="s">
        <v>5248</v>
      </c>
      <c r="D575" s="1">
        <v>42700</v>
      </c>
      <c r="E575" s="1">
        <v>42701</v>
      </c>
      <c r="F575" s="1">
        <v>42703</v>
      </c>
      <c r="G575">
        <v>2</v>
      </c>
      <c r="H575">
        <v>7</v>
      </c>
    </row>
    <row r="576" spans="1:8" x14ac:dyDescent="0.3">
      <c r="A576">
        <v>575</v>
      </c>
      <c r="B576">
        <v>33</v>
      </c>
      <c r="C576" t="s">
        <v>5248</v>
      </c>
      <c r="D576" s="1">
        <v>42701</v>
      </c>
      <c r="E576" s="1">
        <v>42702</v>
      </c>
      <c r="F576" s="1">
        <v>42704</v>
      </c>
      <c r="G576">
        <v>1</v>
      </c>
      <c r="H576">
        <v>3</v>
      </c>
    </row>
    <row r="577" spans="1:8" x14ac:dyDescent="0.3">
      <c r="A577">
        <v>576</v>
      </c>
      <c r="B577">
        <v>1272</v>
      </c>
      <c r="C577" t="s">
        <v>5248</v>
      </c>
      <c r="D577" s="1">
        <v>42701</v>
      </c>
      <c r="E577" s="1">
        <v>42704</v>
      </c>
      <c r="F577" s="1">
        <v>42702</v>
      </c>
      <c r="G577">
        <v>1</v>
      </c>
      <c r="H577">
        <v>3</v>
      </c>
    </row>
    <row r="578" spans="1:8" x14ac:dyDescent="0.3">
      <c r="A578">
        <v>577</v>
      </c>
      <c r="B578">
        <v>445</v>
      </c>
      <c r="C578" t="s">
        <v>5248</v>
      </c>
      <c r="D578" s="1">
        <v>42701</v>
      </c>
      <c r="E578" s="1">
        <v>42704</v>
      </c>
      <c r="F578" s="1">
        <v>42703</v>
      </c>
      <c r="G578">
        <v>2</v>
      </c>
      <c r="H578">
        <v>6</v>
      </c>
    </row>
    <row r="579" spans="1:8" x14ac:dyDescent="0.3">
      <c r="A579">
        <v>578</v>
      </c>
      <c r="B579">
        <v>819</v>
      </c>
      <c r="C579" t="s">
        <v>5248</v>
      </c>
      <c r="D579" s="1">
        <v>42701</v>
      </c>
      <c r="E579" s="1">
        <v>42702</v>
      </c>
      <c r="F579" s="1">
        <v>42703</v>
      </c>
      <c r="G579">
        <v>2</v>
      </c>
      <c r="H579">
        <v>7</v>
      </c>
    </row>
    <row r="580" spans="1:8" x14ac:dyDescent="0.3">
      <c r="A580">
        <v>579</v>
      </c>
      <c r="B580">
        <v>160</v>
      </c>
      <c r="C580" t="s">
        <v>5248</v>
      </c>
      <c r="D580" s="1">
        <v>42701</v>
      </c>
      <c r="E580" s="1">
        <v>42704</v>
      </c>
      <c r="F580" s="1">
        <v>42703</v>
      </c>
      <c r="G580">
        <v>3</v>
      </c>
      <c r="H580">
        <v>8</v>
      </c>
    </row>
    <row r="581" spans="1:8" x14ac:dyDescent="0.3">
      <c r="A581">
        <v>580</v>
      </c>
      <c r="B581">
        <v>581</v>
      </c>
      <c r="C581" t="s">
        <v>5248</v>
      </c>
      <c r="D581" s="1">
        <v>42704</v>
      </c>
      <c r="E581" s="1">
        <v>42706</v>
      </c>
      <c r="F581" s="1">
        <v>42706</v>
      </c>
      <c r="G581">
        <v>1</v>
      </c>
      <c r="H581">
        <v>3</v>
      </c>
    </row>
    <row r="582" spans="1:8" x14ac:dyDescent="0.3">
      <c r="A582">
        <v>581</v>
      </c>
      <c r="B582">
        <v>688</v>
      </c>
      <c r="C582" t="s">
        <v>5248</v>
      </c>
      <c r="D582" s="1">
        <v>42707</v>
      </c>
      <c r="E582" s="1">
        <v>42709</v>
      </c>
      <c r="F582" s="1">
        <v>42710</v>
      </c>
      <c r="G582">
        <v>1</v>
      </c>
      <c r="H582">
        <v>3</v>
      </c>
    </row>
    <row r="583" spans="1:8" x14ac:dyDescent="0.3">
      <c r="A583">
        <v>582</v>
      </c>
      <c r="B583">
        <v>32</v>
      </c>
      <c r="C583" t="s">
        <v>5249</v>
      </c>
      <c r="D583" s="1">
        <v>42708</v>
      </c>
      <c r="E583" s="1">
        <v>42708</v>
      </c>
      <c r="F583" s="1"/>
      <c r="G583">
        <v>1</v>
      </c>
      <c r="H583">
        <v>2</v>
      </c>
    </row>
    <row r="584" spans="1:8" x14ac:dyDescent="0.3">
      <c r="A584">
        <v>583</v>
      </c>
      <c r="B584">
        <v>792</v>
      </c>
      <c r="C584" t="s">
        <v>5248</v>
      </c>
      <c r="D584" s="1">
        <v>42708</v>
      </c>
      <c r="E584" s="1">
        <v>42709</v>
      </c>
      <c r="F584" s="1">
        <v>42711</v>
      </c>
      <c r="G584">
        <v>2</v>
      </c>
      <c r="H584">
        <v>7</v>
      </c>
    </row>
    <row r="585" spans="1:8" x14ac:dyDescent="0.3">
      <c r="A585">
        <v>584</v>
      </c>
      <c r="B585">
        <v>1209</v>
      </c>
      <c r="C585" t="s">
        <v>5248</v>
      </c>
      <c r="D585" s="1">
        <v>42708</v>
      </c>
      <c r="E585" s="1">
        <v>42709</v>
      </c>
      <c r="F585" s="1">
        <v>42709</v>
      </c>
      <c r="G585">
        <v>2</v>
      </c>
      <c r="H585">
        <v>7</v>
      </c>
    </row>
    <row r="586" spans="1:8" x14ac:dyDescent="0.3">
      <c r="A586">
        <v>585</v>
      </c>
      <c r="B586">
        <v>1219</v>
      </c>
      <c r="C586" t="s">
        <v>5248</v>
      </c>
      <c r="D586" s="1">
        <v>42708</v>
      </c>
      <c r="E586" s="1">
        <v>42709</v>
      </c>
      <c r="F586" s="1">
        <v>42709</v>
      </c>
      <c r="G586">
        <v>2</v>
      </c>
      <c r="H586">
        <v>7</v>
      </c>
    </row>
    <row r="587" spans="1:8" x14ac:dyDescent="0.3">
      <c r="A587">
        <v>586</v>
      </c>
      <c r="B587">
        <v>1306</v>
      </c>
      <c r="C587" t="s">
        <v>5248</v>
      </c>
      <c r="D587" s="1">
        <v>42708</v>
      </c>
      <c r="E587" s="1">
        <v>42710</v>
      </c>
      <c r="F587" s="1">
        <v>42709</v>
      </c>
      <c r="G587">
        <v>2</v>
      </c>
      <c r="H587">
        <v>6</v>
      </c>
    </row>
    <row r="588" spans="1:8" x14ac:dyDescent="0.3">
      <c r="A588">
        <v>587</v>
      </c>
      <c r="B588">
        <v>487</v>
      </c>
      <c r="C588" t="s">
        <v>5248</v>
      </c>
      <c r="D588" s="1">
        <v>42710</v>
      </c>
      <c r="E588" s="1">
        <v>42712</v>
      </c>
      <c r="F588" s="1">
        <v>42712</v>
      </c>
      <c r="G588">
        <v>1</v>
      </c>
      <c r="H588">
        <v>2</v>
      </c>
    </row>
    <row r="589" spans="1:8" x14ac:dyDescent="0.3">
      <c r="A589">
        <v>588</v>
      </c>
      <c r="B589">
        <v>102</v>
      </c>
      <c r="C589" t="s">
        <v>5248</v>
      </c>
      <c r="D589" s="1">
        <v>42710</v>
      </c>
      <c r="E589" s="1">
        <v>42711</v>
      </c>
      <c r="F589" s="1">
        <v>42711</v>
      </c>
      <c r="G589">
        <v>2</v>
      </c>
      <c r="H589">
        <v>7</v>
      </c>
    </row>
    <row r="590" spans="1:8" x14ac:dyDescent="0.3">
      <c r="A590">
        <v>589</v>
      </c>
      <c r="B590">
        <v>719</v>
      </c>
      <c r="C590" t="s">
        <v>5248</v>
      </c>
      <c r="D590" s="1">
        <v>42710</v>
      </c>
      <c r="E590" s="1">
        <v>42711</v>
      </c>
      <c r="F590" s="1">
        <v>42711</v>
      </c>
      <c r="G590">
        <v>2</v>
      </c>
      <c r="H590">
        <v>7</v>
      </c>
    </row>
    <row r="591" spans="1:8" x14ac:dyDescent="0.3">
      <c r="A591">
        <v>590</v>
      </c>
      <c r="B591">
        <v>990</v>
      </c>
      <c r="C591" t="s">
        <v>5248</v>
      </c>
      <c r="D591" s="1">
        <v>42710</v>
      </c>
      <c r="E591" s="1">
        <v>42713</v>
      </c>
      <c r="F591" s="1">
        <v>42711</v>
      </c>
      <c r="G591">
        <v>2</v>
      </c>
      <c r="H591">
        <v>7</v>
      </c>
    </row>
    <row r="592" spans="1:8" x14ac:dyDescent="0.3">
      <c r="A592">
        <v>591</v>
      </c>
      <c r="B592">
        <v>1211</v>
      </c>
      <c r="C592" t="s">
        <v>5248</v>
      </c>
      <c r="D592" s="1">
        <v>42710</v>
      </c>
      <c r="E592" s="1">
        <v>42713</v>
      </c>
      <c r="F592" s="1">
        <v>42713</v>
      </c>
      <c r="G592">
        <v>2</v>
      </c>
      <c r="H592">
        <v>7</v>
      </c>
    </row>
    <row r="593" spans="1:8" x14ac:dyDescent="0.3">
      <c r="A593">
        <v>592</v>
      </c>
      <c r="B593">
        <v>1232</v>
      </c>
      <c r="C593" t="s">
        <v>5248</v>
      </c>
      <c r="D593" s="1">
        <v>42710</v>
      </c>
      <c r="E593" s="1">
        <v>42712</v>
      </c>
      <c r="F593" s="1">
        <v>42712</v>
      </c>
      <c r="G593">
        <v>2</v>
      </c>
      <c r="H593">
        <v>7</v>
      </c>
    </row>
    <row r="594" spans="1:8" x14ac:dyDescent="0.3">
      <c r="A594">
        <v>593</v>
      </c>
      <c r="B594">
        <v>50</v>
      </c>
      <c r="C594" t="s">
        <v>5248</v>
      </c>
      <c r="D594" s="1">
        <v>42711</v>
      </c>
      <c r="E594" s="1">
        <v>42714</v>
      </c>
      <c r="F594" s="1">
        <v>42712</v>
      </c>
      <c r="G594">
        <v>3</v>
      </c>
      <c r="H594">
        <v>8</v>
      </c>
    </row>
    <row r="595" spans="1:8" x14ac:dyDescent="0.3">
      <c r="A595">
        <v>594</v>
      </c>
      <c r="B595">
        <v>1318</v>
      </c>
      <c r="C595" t="s">
        <v>5248</v>
      </c>
      <c r="D595" s="1">
        <v>42711</v>
      </c>
      <c r="E595" s="1">
        <v>42712</v>
      </c>
      <c r="F595" s="1">
        <v>42712</v>
      </c>
      <c r="G595">
        <v>3</v>
      </c>
      <c r="H595">
        <v>8</v>
      </c>
    </row>
    <row r="596" spans="1:8" x14ac:dyDescent="0.3">
      <c r="A596">
        <v>595</v>
      </c>
      <c r="B596">
        <v>538</v>
      </c>
      <c r="C596" t="s">
        <v>5248</v>
      </c>
      <c r="D596" s="1">
        <v>42712</v>
      </c>
      <c r="E596" s="1">
        <v>42713</v>
      </c>
      <c r="F596" s="1">
        <v>42715</v>
      </c>
      <c r="G596">
        <v>1</v>
      </c>
      <c r="H596">
        <v>2</v>
      </c>
    </row>
    <row r="597" spans="1:8" x14ac:dyDescent="0.3">
      <c r="A597">
        <v>596</v>
      </c>
      <c r="B597">
        <v>952</v>
      </c>
      <c r="C597" t="s">
        <v>5248</v>
      </c>
      <c r="D597" s="1">
        <v>42712</v>
      </c>
      <c r="E597" s="1">
        <v>42713</v>
      </c>
      <c r="F597" s="1">
        <v>42713</v>
      </c>
      <c r="G597">
        <v>1</v>
      </c>
      <c r="H597">
        <v>3</v>
      </c>
    </row>
    <row r="598" spans="1:8" x14ac:dyDescent="0.3">
      <c r="A598">
        <v>597</v>
      </c>
      <c r="B598">
        <v>1121</v>
      </c>
      <c r="C598" t="s">
        <v>5248</v>
      </c>
      <c r="D598" s="1">
        <v>42712</v>
      </c>
      <c r="E598" s="1">
        <v>42713</v>
      </c>
      <c r="F598" s="1">
        <v>42714</v>
      </c>
      <c r="G598">
        <v>2</v>
      </c>
      <c r="H598">
        <v>6</v>
      </c>
    </row>
    <row r="599" spans="1:8" x14ac:dyDescent="0.3">
      <c r="A599">
        <v>598</v>
      </c>
      <c r="B599">
        <v>40</v>
      </c>
      <c r="C599" t="s">
        <v>5249</v>
      </c>
      <c r="D599" s="1">
        <v>42713</v>
      </c>
      <c r="E599" s="1">
        <v>42713</v>
      </c>
      <c r="F599" s="1"/>
      <c r="G599">
        <v>1</v>
      </c>
      <c r="H599">
        <v>3</v>
      </c>
    </row>
    <row r="600" spans="1:8" x14ac:dyDescent="0.3">
      <c r="A600">
        <v>599</v>
      </c>
      <c r="B600">
        <v>1</v>
      </c>
      <c r="C600" t="s">
        <v>5248</v>
      </c>
      <c r="D600" s="1">
        <v>42713</v>
      </c>
      <c r="E600" s="1">
        <v>42714</v>
      </c>
      <c r="F600" s="1">
        <v>42716</v>
      </c>
      <c r="G600">
        <v>2</v>
      </c>
      <c r="H600">
        <v>6</v>
      </c>
    </row>
    <row r="601" spans="1:8" x14ac:dyDescent="0.3">
      <c r="A601">
        <v>600</v>
      </c>
      <c r="B601">
        <v>624</v>
      </c>
      <c r="C601" t="s">
        <v>5248</v>
      </c>
      <c r="D601" s="1">
        <v>42713</v>
      </c>
      <c r="E601" s="1">
        <v>42716</v>
      </c>
      <c r="F601" s="1">
        <v>42715</v>
      </c>
      <c r="G601">
        <v>2</v>
      </c>
      <c r="H601">
        <v>7</v>
      </c>
    </row>
    <row r="602" spans="1:8" x14ac:dyDescent="0.3">
      <c r="A602">
        <v>601</v>
      </c>
      <c r="B602">
        <v>683</v>
      </c>
      <c r="C602" t="s">
        <v>5248</v>
      </c>
      <c r="D602" s="1">
        <v>42713</v>
      </c>
      <c r="E602" s="1">
        <v>42714</v>
      </c>
      <c r="F602" s="1">
        <v>42714</v>
      </c>
      <c r="G602">
        <v>2</v>
      </c>
      <c r="H602">
        <v>6</v>
      </c>
    </row>
    <row r="603" spans="1:8" x14ac:dyDescent="0.3">
      <c r="A603">
        <v>602</v>
      </c>
      <c r="B603">
        <v>823</v>
      </c>
      <c r="C603" t="s">
        <v>5248</v>
      </c>
      <c r="D603" s="1">
        <v>42713</v>
      </c>
      <c r="E603" s="1">
        <v>42714</v>
      </c>
      <c r="F603" s="1">
        <v>42715</v>
      </c>
      <c r="G603">
        <v>2</v>
      </c>
      <c r="H603">
        <v>6</v>
      </c>
    </row>
    <row r="604" spans="1:8" x14ac:dyDescent="0.3">
      <c r="A604">
        <v>603</v>
      </c>
      <c r="B604">
        <v>1032</v>
      </c>
      <c r="C604" t="s">
        <v>5248</v>
      </c>
      <c r="D604" s="1">
        <v>42713</v>
      </c>
      <c r="E604" s="1">
        <v>42714</v>
      </c>
      <c r="F604" s="1">
        <v>42714</v>
      </c>
      <c r="G604">
        <v>2</v>
      </c>
      <c r="H604">
        <v>7</v>
      </c>
    </row>
    <row r="605" spans="1:8" x14ac:dyDescent="0.3">
      <c r="A605">
        <v>604</v>
      </c>
      <c r="B605">
        <v>96</v>
      </c>
      <c r="C605" t="s">
        <v>5248</v>
      </c>
      <c r="D605" s="1">
        <v>42714</v>
      </c>
      <c r="E605" s="1">
        <v>42717</v>
      </c>
      <c r="F605" s="1">
        <v>42716</v>
      </c>
      <c r="G605">
        <v>2</v>
      </c>
      <c r="H605">
        <v>7</v>
      </c>
    </row>
    <row r="606" spans="1:8" x14ac:dyDescent="0.3">
      <c r="A606">
        <v>605</v>
      </c>
      <c r="B606">
        <v>1208</v>
      </c>
      <c r="C606" t="s">
        <v>5248</v>
      </c>
      <c r="D606" s="1">
        <v>42714</v>
      </c>
      <c r="E606" s="1">
        <v>42715</v>
      </c>
      <c r="F606" s="1">
        <v>42716</v>
      </c>
      <c r="G606">
        <v>2</v>
      </c>
      <c r="H606">
        <v>6</v>
      </c>
    </row>
    <row r="607" spans="1:8" x14ac:dyDescent="0.3">
      <c r="A607">
        <v>606</v>
      </c>
      <c r="B607">
        <v>18</v>
      </c>
      <c r="C607" t="s">
        <v>5248</v>
      </c>
      <c r="D607" s="1">
        <v>42715</v>
      </c>
      <c r="E607" s="1">
        <v>42716</v>
      </c>
      <c r="F607" s="1">
        <v>42717</v>
      </c>
      <c r="G607">
        <v>2</v>
      </c>
      <c r="H607">
        <v>7</v>
      </c>
    </row>
    <row r="608" spans="1:8" x14ac:dyDescent="0.3">
      <c r="A608">
        <v>607</v>
      </c>
      <c r="B608">
        <v>309</v>
      </c>
      <c r="C608" t="s">
        <v>5248</v>
      </c>
      <c r="D608" s="1">
        <v>42715</v>
      </c>
      <c r="E608" s="1">
        <v>42718</v>
      </c>
      <c r="F608" s="1">
        <v>42717</v>
      </c>
      <c r="G608">
        <v>2</v>
      </c>
      <c r="H608">
        <v>6</v>
      </c>
    </row>
    <row r="609" spans="1:8" x14ac:dyDescent="0.3">
      <c r="A609">
        <v>608</v>
      </c>
      <c r="B609">
        <v>1103</v>
      </c>
      <c r="C609" t="s">
        <v>5248</v>
      </c>
      <c r="D609" s="1">
        <v>42716</v>
      </c>
      <c r="E609" s="1">
        <v>42719</v>
      </c>
      <c r="F609" s="1">
        <v>42718</v>
      </c>
      <c r="G609">
        <v>1</v>
      </c>
      <c r="H609">
        <v>3</v>
      </c>
    </row>
    <row r="610" spans="1:8" x14ac:dyDescent="0.3">
      <c r="A610">
        <v>609</v>
      </c>
      <c r="B610">
        <v>896</v>
      </c>
      <c r="C610" t="s">
        <v>5248</v>
      </c>
      <c r="D610" s="1">
        <v>42716</v>
      </c>
      <c r="E610" s="1">
        <v>42717</v>
      </c>
      <c r="F610" s="1">
        <v>42718</v>
      </c>
      <c r="G610">
        <v>2</v>
      </c>
      <c r="H610">
        <v>7</v>
      </c>
    </row>
    <row r="611" spans="1:8" x14ac:dyDescent="0.3">
      <c r="A611">
        <v>610</v>
      </c>
      <c r="B611">
        <v>711</v>
      </c>
      <c r="C611" t="s">
        <v>5248</v>
      </c>
      <c r="D611" s="1">
        <v>42717</v>
      </c>
      <c r="E611" s="1">
        <v>42719</v>
      </c>
      <c r="F611" s="1">
        <v>42718</v>
      </c>
      <c r="G611">
        <v>2</v>
      </c>
      <c r="H611">
        <v>6</v>
      </c>
    </row>
    <row r="612" spans="1:8" x14ac:dyDescent="0.3">
      <c r="A612">
        <v>611</v>
      </c>
      <c r="B612">
        <v>1073</v>
      </c>
      <c r="C612" t="s">
        <v>5248</v>
      </c>
      <c r="D612" s="1">
        <v>42719</v>
      </c>
      <c r="E612" s="1">
        <v>42721</v>
      </c>
      <c r="F612" s="1">
        <v>42722</v>
      </c>
      <c r="G612">
        <v>2</v>
      </c>
      <c r="H612">
        <v>7</v>
      </c>
    </row>
    <row r="613" spans="1:8" x14ac:dyDescent="0.3">
      <c r="A613">
        <v>612</v>
      </c>
      <c r="B613">
        <v>634</v>
      </c>
      <c r="C613" t="s">
        <v>5248</v>
      </c>
      <c r="D613" s="1">
        <v>42720</v>
      </c>
      <c r="E613" s="1">
        <v>42721</v>
      </c>
      <c r="F613" s="1">
        <v>42721</v>
      </c>
      <c r="G613">
        <v>2</v>
      </c>
      <c r="H613">
        <v>7</v>
      </c>
    </row>
    <row r="614" spans="1:8" x14ac:dyDescent="0.3">
      <c r="A614">
        <v>613</v>
      </c>
      <c r="B614">
        <v>1159</v>
      </c>
      <c r="C614" t="s">
        <v>5248</v>
      </c>
      <c r="D614" s="1">
        <v>42721</v>
      </c>
      <c r="E614" s="1">
        <v>42723</v>
      </c>
      <c r="F614" s="1">
        <v>42723</v>
      </c>
      <c r="G614">
        <v>2</v>
      </c>
      <c r="H614">
        <v>7</v>
      </c>
    </row>
    <row r="615" spans="1:8" x14ac:dyDescent="0.3">
      <c r="A615">
        <v>614</v>
      </c>
      <c r="B615">
        <v>654</v>
      </c>
      <c r="C615" t="s">
        <v>5248</v>
      </c>
      <c r="D615" s="1">
        <v>42722</v>
      </c>
      <c r="E615" s="1">
        <v>42725</v>
      </c>
      <c r="F615" s="1">
        <v>42725</v>
      </c>
      <c r="G615">
        <v>1</v>
      </c>
      <c r="H615">
        <v>2</v>
      </c>
    </row>
    <row r="616" spans="1:8" x14ac:dyDescent="0.3">
      <c r="A616">
        <v>615</v>
      </c>
      <c r="B616">
        <v>560</v>
      </c>
      <c r="C616" t="s">
        <v>5248</v>
      </c>
      <c r="D616" s="1">
        <v>42723</v>
      </c>
      <c r="E616" s="1">
        <v>42726</v>
      </c>
      <c r="F616" s="1">
        <v>42725</v>
      </c>
      <c r="G616">
        <v>3</v>
      </c>
      <c r="H616">
        <v>9</v>
      </c>
    </row>
    <row r="617" spans="1:8" x14ac:dyDescent="0.3">
      <c r="A617">
        <v>616</v>
      </c>
      <c r="B617">
        <v>1444</v>
      </c>
      <c r="C617" t="s">
        <v>5248</v>
      </c>
      <c r="D617" s="1">
        <v>42724</v>
      </c>
      <c r="E617" s="1">
        <v>42727</v>
      </c>
      <c r="F617" s="1">
        <v>42727</v>
      </c>
      <c r="G617">
        <v>2</v>
      </c>
      <c r="H617">
        <v>6</v>
      </c>
    </row>
    <row r="618" spans="1:8" x14ac:dyDescent="0.3">
      <c r="A618">
        <v>617</v>
      </c>
      <c r="B618">
        <v>118</v>
      </c>
      <c r="C618" t="s">
        <v>5248</v>
      </c>
      <c r="D618" s="1">
        <v>42725</v>
      </c>
      <c r="E618" s="1">
        <v>42727</v>
      </c>
      <c r="F618" s="1">
        <v>42727</v>
      </c>
      <c r="G618">
        <v>2</v>
      </c>
      <c r="H618">
        <v>7</v>
      </c>
    </row>
    <row r="619" spans="1:8" x14ac:dyDescent="0.3">
      <c r="A619">
        <v>618</v>
      </c>
      <c r="B619">
        <v>131</v>
      </c>
      <c r="C619" t="s">
        <v>5248</v>
      </c>
      <c r="D619" s="1">
        <v>42725</v>
      </c>
      <c r="E619" s="1">
        <v>42726</v>
      </c>
      <c r="F619" s="1">
        <v>42726</v>
      </c>
      <c r="G619">
        <v>2</v>
      </c>
      <c r="H619">
        <v>6</v>
      </c>
    </row>
    <row r="620" spans="1:8" x14ac:dyDescent="0.3">
      <c r="A620">
        <v>619</v>
      </c>
      <c r="B620">
        <v>454</v>
      </c>
      <c r="C620" t="s">
        <v>5248</v>
      </c>
      <c r="D620" s="1">
        <v>42726</v>
      </c>
      <c r="E620" s="1">
        <v>42729</v>
      </c>
      <c r="F620" s="1">
        <v>42729</v>
      </c>
      <c r="G620">
        <v>2</v>
      </c>
      <c r="H620">
        <v>7</v>
      </c>
    </row>
    <row r="621" spans="1:8" x14ac:dyDescent="0.3">
      <c r="A621">
        <v>620</v>
      </c>
      <c r="B621">
        <v>466</v>
      </c>
      <c r="C621" t="s">
        <v>5248</v>
      </c>
      <c r="D621" s="1">
        <v>42726</v>
      </c>
      <c r="E621" s="1">
        <v>42728</v>
      </c>
      <c r="F621" s="1">
        <v>42728</v>
      </c>
      <c r="G621">
        <v>2</v>
      </c>
      <c r="H621">
        <v>6</v>
      </c>
    </row>
    <row r="622" spans="1:8" x14ac:dyDescent="0.3">
      <c r="A622">
        <v>621</v>
      </c>
      <c r="B622">
        <v>1157</v>
      </c>
      <c r="C622" t="s">
        <v>5248</v>
      </c>
      <c r="D622" s="1">
        <v>42727</v>
      </c>
      <c r="E622" s="1">
        <v>42729</v>
      </c>
      <c r="F622" s="1">
        <v>42728</v>
      </c>
      <c r="G622">
        <v>2</v>
      </c>
      <c r="H622">
        <v>6</v>
      </c>
    </row>
    <row r="623" spans="1:8" x14ac:dyDescent="0.3">
      <c r="A623">
        <v>622</v>
      </c>
      <c r="B623">
        <v>1398</v>
      </c>
      <c r="C623" t="s">
        <v>5248</v>
      </c>
      <c r="D623" s="1">
        <v>42727</v>
      </c>
      <c r="E623" s="1">
        <v>42730</v>
      </c>
      <c r="F623" s="1">
        <v>42729</v>
      </c>
      <c r="G623">
        <v>2</v>
      </c>
      <c r="H623">
        <v>7</v>
      </c>
    </row>
    <row r="624" spans="1:8" x14ac:dyDescent="0.3">
      <c r="A624">
        <v>623</v>
      </c>
      <c r="B624">
        <v>678</v>
      </c>
      <c r="C624" t="s">
        <v>5248</v>
      </c>
      <c r="D624" s="1">
        <v>42728</v>
      </c>
      <c r="E624" s="1">
        <v>42730</v>
      </c>
      <c r="F624" s="1">
        <v>42731</v>
      </c>
      <c r="G624">
        <v>2</v>
      </c>
      <c r="H624">
        <v>6</v>
      </c>
    </row>
    <row r="625" spans="1:8" x14ac:dyDescent="0.3">
      <c r="A625">
        <v>624</v>
      </c>
      <c r="B625">
        <v>814</v>
      </c>
      <c r="C625" t="s">
        <v>5248</v>
      </c>
      <c r="D625" s="1">
        <v>42728</v>
      </c>
      <c r="E625" s="1">
        <v>42729</v>
      </c>
      <c r="F625" s="1">
        <v>42731</v>
      </c>
      <c r="G625">
        <v>2</v>
      </c>
      <c r="H625">
        <v>6</v>
      </c>
    </row>
    <row r="626" spans="1:8" x14ac:dyDescent="0.3">
      <c r="A626">
        <v>625</v>
      </c>
      <c r="B626">
        <v>1163</v>
      </c>
      <c r="C626" t="s">
        <v>5248</v>
      </c>
      <c r="D626" s="1">
        <v>42729</v>
      </c>
      <c r="E626" s="1">
        <v>42732</v>
      </c>
      <c r="F626" s="1">
        <v>42730</v>
      </c>
      <c r="G626">
        <v>1</v>
      </c>
      <c r="H626">
        <v>2</v>
      </c>
    </row>
    <row r="627" spans="1:8" x14ac:dyDescent="0.3">
      <c r="A627">
        <v>626</v>
      </c>
      <c r="B627">
        <v>130</v>
      </c>
      <c r="C627" t="s">
        <v>5248</v>
      </c>
      <c r="D627" s="1">
        <v>42729</v>
      </c>
      <c r="E627" s="1">
        <v>42732</v>
      </c>
      <c r="F627" s="1">
        <v>42731</v>
      </c>
      <c r="G627">
        <v>2</v>
      </c>
      <c r="H627">
        <v>7</v>
      </c>
    </row>
    <row r="628" spans="1:8" x14ac:dyDescent="0.3">
      <c r="A628">
        <v>627</v>
      </c>
      <c r="B628">
        <v>1119</v>
      </c>
      <c r="C628" t="s">
        <v>5248</v>
      </c>
      <c r="D628" s="1">
        <v>42729</v>
      </c>
      <c r="E628" s="1">
        <v>42730</v>
      </c>
      <c r="F628" s="1">
        <v>42732</v>
      </c>
      <c r="G628">
        <v>2</v>
      </c>
      <c r="H628">
        <v>6</v>
      </c>
    </row>
    <row r="629" spans="1:8" x14ac:dyDescent="0.3">
      <c r="A629">
        <v>628</v>
      </c>
      <c r="B629">
        <v>561</v>
      </c>
      <c r="C629" t="s">
        <v>5248</v>
      </c>
      <c r="D629" s="1">
        <v>42730</v>
      </c>
      <c r="E629" s="1">
        <v>42733</v>
      </c>
      <c r="F629" s="1">
        <v>42731</v>
      </c>
      <c r="G629">
        <v>1</v>
      </c>
      <c r="H629">
        <v>3</v>
      </c>
    </row>
    <row r="630" spans="1:8" x14ac:dyDescent="0.3">
      <c r="A630">
        <v>629</v>
      </c>
      <c r="B630">
        <v>973</v>
      </c>
      <c r="C630" t="s">
        <v>5248</v>
      </c>
      <c r="D630" s="1">
        <v>42730</v>
      </c>
      <c r="E630" s="1">
        <v>42731</v>
      </c>
      <c r="F630" s="1">
        <v>42733</v>
      </c>
      <c r="G630">
        <v>1</v>
      </c>
      <c r="H630">
        <v>2</v>
      </c>
    </row>
    <row r="631" spans="1:8" x14ac:dyDescent="0.3">
      <c r="A631">
        <v>630</v>
      </c>
      <c r="B631">
        <v>1404</v>
      </c>
      <c r="C631" t="s">
        <v>5248</v>
      </c>
      <c r="D631" s="1">
        <v>42730</v>
      </c>
      <c r="E631" s="1">
        <v>42731</v>
      </c>
      <c r="F631" s="1">
        <v>42732</v>
      </c>
      <c r="G631">
        <v>2</v>
      </c>
      <c r="H631">
        <v>6</v>
      </c>
    </row>
    <row r="632" spans="1:8" x14ac:dyDescent="0.3">
      <c r="A632">
        <v>631</v>
      </c>
      <c r="B632">
        <v>855</v>
      </c>
      <c r="C632" t="s">
        <v>5248</v>
      </c>
      <c r="D632" s="1">
        <v>42731</v>
      </c>
      <c r="E632" s="1">
        <v>42733</v>
      </c>
      <c r="F632" s="1">
        <v>42733</v>
      </c>
      <c r="G632">
        <v>1</v>
      </c>
      <c r="H632">
        <v>3</v>
      </c>
    </row>
    <row r="633" spans="1:8" x14ac:dyDescent="0.3">
      <c r="A633">
        <v>632</v>
      </c>
      <c r="B633">
        <v>163</v>
      </c>
      <c r="C633" t="s">
        <v>5248</v>
      </c>
      <c r="D633" s="1">
        <v>42731</v>
      </c>
      <c r="E633" s="1">
        <v>42733</v>
      </c>
      <c r="F633" s="1">
        <v>42733</v>
      </c>
      <c r="G633">
        <v>2</v>
      </c>
      <c r="H633">
        <v>7</v>
      </c>
    </row>
    <row r="634" spans="1:8" x14ac:dyDescent="0.3">
      <c r="A634">
        <v>633</v>
      </c>
      <c r="B634">
        <v>1040</v>
      </c>
      <c r="C634" t="s">
        <v>5248</v>
      </c>
      <c r="D634" s="1">
        <v>42732</v>
      </c>
      <c r="E634" s="1">
        <v>42735</v>
      </c>
      <c r="F634" s="1">
        <v>42734</v>
      </c>
      <c r="G634">
        <v>3</v>
      </c>
      <c r="H634">
        <v>8</v>
      </c>
    </row>
    <row r="635" spans="1:8" x14ac:dyDescent="0.3">
      <c r="A635">
        <v>634</v>
      </c>
      <c r="B635">
        <v>27</v>
      </c>
      <c r="C635" t="s">
        <v>5248</v>
      </c>
      <c r="D635" s="1">
        <v>42733</v>
      </c>
      <c r="E635" s="1">
        <v>42736</v>
      </c>
      <c r="F635" s="1">
        <v>42734</v>
      </c>
      <c r="G635">
        <v>2</v>
      </c>
      <c r="H635">
        <v>6</v>
      </c>
    </row>
    <row r="636" spans="1:8" x14ac:dyDescent="0.3">
      <c r="A636">
        <v>635</v>
      </c>
      <c r="B636">
        <v>520</v>
      </c>
      <c r="C636" t="s">
        <v>5248</v>
      </c>
      <c r="D636" s="1">
        <v>42734</v>
      </c>
      <c r="E636" s="1">
        <v>42737</v>
      </c>
      <c r="F636" s="1">
        <v>42735</v>
      </c>
      <c r="G636">
        <v>2</v>
      </c>
      <c r="H636">
        <v>6</v>
      </c>
    </row>
    <row r="637" spans="1:8" x14ac:dyDescent="0.3">
      <c r="A637">
        <v>636</v>
      </c>
      <c r="B637">
        <v>532</v>
      </c>
      <c r="C637" t="s">
        <v>5248</v>
      </c>
      <c r="D637" s="1">
        <v>42738</v>
      </c>
      <c r="E637" s="1">
        <v>42739</v>
      </c>
      <c r="F637" s="1">
        <v>42740</v>
      </c>
      <c r="G637">
        <v>1</v>
      </c>
      <c r="H637">
        <v>2</v>
      </c>
    </row>
    <row r="638" spans="1:8" x14ac:dyDescent="0.3">
      <c r="A638">
        <v>637</v>
      </c>
      <c r="B638">
        <v>512</v>
      </c>
      <c r="C638" t="s">
        <v>5248</v>
      </c>
      <c r="D638" s="1">
        <v>42738</v>
      </c>
      <c r="E638" s="1">
        <v>42740</v>
      </c>
      <c r="F638" s="1">
        <v>42740</v>
      </c>
      <c r="G638">
        <v>2</v>
      </c>
      <c r="H638">
        <v>6</v>
      </c>
    </row>
    <row r="639" spans="1:8" x14ac:dyDescent="0.3">
      <c r="A639">
        <v>638</v>
      </c>
      <c r="B639">
        <v>1302</v>
      </c>
      <c r="C639" t="s">
        <v>5248</v>
      </c>
      <c r="D639" s="1">
        <v>42739</v>
      </c>
      <c r="E639" s="1">
        <v>42740</v>
      </c>
      <c r="F639" s="1">
        <v>42741</v>
      </c>
      <c r="G639">
        <v>2</v>
      </c>
      <c r="H639">
        <v>7</v>
      </c>
    </row>
    <row r="640" spans="1:8" x14ac:dyDescent="0.3">
      <c r="A640">
        <v>639</v>
      </c>
      <c r="B640">
        <v>550</v>
      </c>
      <c r="C640" t="s">
        <v>5248</v>
      </c>
      <c r="D640" s="1">
        <v>42741</v>
      </c>
      <c r="E640" s="1">
        <v>42742</v>
      </c>
      <c r="F640" s="1">
        <v>42742</v>
      </c>
      <c r="G640">
        <v>2</v>
      </c>
      <c r="H640">
        <v>6</v>
      </c>
    </row>
    <row r="641" spans="1:8" x14ac:dyDescent="0.3">
      <c r="A641">
        <v>640</v>
      </c>
      <c r="B641">
        <v>1093</v>
      </c>
      <c r="C641" t="s">
        <v>5248</v>
      </c>
      <c r="D641" s="1">
        <v>42741</v>
      </c>
      <c r="E641" s="1">
        <v>42743</v>
      </c>
      <c r="F641" s="1">
        <v>42742</v>
      </c>
      <c r="G641">
        <v>2</v>
      </c>
      <c r="H641">
        <v>6</v>
      </c>
    </row>
    <row r="642" spans="1:8" x14ac:dyDescent="0.3">
      <c r="A642">
        <v>641</v>
      </c>
      <c r="B642">
        <v>673</v>
      </c>
      <c r="C642" t="s">
        <v>5248</v>
      </c>
      <c r="D642" s="1">
        <v>42742</v>
      </c>
      <c r="E642" s="1">
        <v>42745</v>
      </c>
      <c r="F642" s="1">
        <v>42743</v>
      </c>
      <c r="G642">
        <v>1</v>
      </c>
      <c r="H642">
        <v>3</v>
      </c>
    </row>
    <row r="643" spans="1:8" x14ac:dyDescent="0.3">
      <c r="A643">
        <v>642</v>
      </c>
      <c r="B643">
        <v>847</v>
      </c>
      <c r="C643" t="s">
        <v>5248</v>
      </c>
      <c r="D643" s="1">
        <v>42742</v>
      </c>
      <c r="E643" s="1">
        <v>42744</v>
      </c>
      <c r="F643" s="1">
        <v>42745</v>
      </c>
      <c r="G643">
        <v>2</v>
      </c>
      <c r="H643">
        <v>7</v>
      </c>
    </row>
    <row r="644" spans="1:8" x14ac:dyDescent="0.3">
      <c r="A644">
        <v>643</v>
      </c>
      <c r="B644">
        <v>901</v>
      </c>
      <c r="C644" t="s">
        <v>5248</v>
      </c>
      <c r="D644" s="1">
        <v>42743</v>
      </c>
      <c r="E644" s="1">
        <v>42744</v>
      </c>
      <c r="F644" s="1">
        <v>42746</v>
      </c>
      <c r="G644">
        <v>1</v>
      </c>
      <c r="H644">
        <v>3</v>
      </c>
    </row>
    <row r="645" spans="1:8" x14ac:dyDescent="0.3">
      <c r="A645">
        <v>644</v>
      </c>
      <c r="B645">
        <v>439</v>
      </c>
      <c r="C645" t="s">
        <v>5248</v>
      </c>
      <c r="D645" s="1">
        <v>42743</v>
      </c>
      <c r="E645" s="1">
        <v>42746</v>
      </c>
      <c r="F645" s="1">
        <v>42745</v>
      </c>
      <c r="G645">
        <v>2</v>
      </c>
      <c r="H645">
        <v>6</v>
      </c>
    </row>
    <row r="646" spans="1:8" x14ac:dyDescent="0.3">
      <c r="A646">
        <v>645</v>
      </c>
      <c r="B646">
        <v>1199</v>
      </c>
      <c r="C646" t="s">
        <v>5248</v>
      </c>
      <c r="D646" s="1">
        <v>42743</v>
      </c>
      <c r="E646" s="1">
        <v>42746</v>
      </c>
      <c r="F646" s="1">
        <v>42745</v>
      </c>
      <c r="G646">
        <v>2</v>
      </c>
      <c r="H646">
        <v>6</v>
      </c>
    </row>
    <row r="647" spans="1:8" x14ac:dyDescent="0.3">
      <c r="A647">
        <v>646</v>
      </c>
      <c r="B647">
        <v>975</v>
      </c>
      <c r="C647" t="s">
        <v>5248</v>
      </c>
      <c r="D647" s="1">
        <v>42744</v>
      </c>
      <c r="E647" s="1">
        <v>42747</v>
      </c>
      <c r="F647" s="1">
        <v>42746</v>
      </c>
      <c r="G647">
        <v>1</v>
      </c>
      <c r="H647">
        <v>2</v>
      </c>
    </row>
    <row r="648" spans="1:8" x14ac:dyDescent="0.3">
      <c r="A648">
        <v>647</v>
      </c>
      <c r="B648">
        <v>283</v>
      </c>
      <c r="C648" t="s">
        <v>5248</v>
      </c>
      <c r="D648" s="1">
        <v>42744</v>
      </c>
      <c r="E648" s="1">
        <v>42745</v>
      </c>
      <c r="F648" s="1">
        <v>42746</v>
      </c>
      <c r="G648">
        <v>2</v>
      </c>
      <c r="H648">
        <v>7</v>
      </c>
    </row>
    <row r="649" spans="1:8" x14ac:dyDescent="0.3">
      <c r="A649">
        <v>648</v>
      </c>
      <c r="B649">
        <v>684</v>
      </c>
      <c r="C649" t="s">
        <v>5248</v>
      </c>
      <c r="D649" s="1">
        <v>42744</v>
      </c>
      <c r="E649" s="1">
        <v>42746</v>
      </c>
      <c r="F649" s="1">
        <v>42746</v>
      </c>
      <c r="G649">
        <v>2</v>
      </c>
      <c r="H649">
        <v>6</v>
      </c>
    </row>
    <row r="650" spans="1:8" x14ac:dyDescent="0.3">
      <c r="A650">
        <v>649</v>
      </c>
      <c r="B650">
        <v>1153</v>
      </c>
      <c r="C650" t="s">
        <v>5248</v>
      </c>
      <c r="D650" s="1">
        <v>42745</v>
      </c>
      <c r="E650" s="1">
        <v>42746</v>
      </c>
      <c r="F650" s="1">
        <v>42748</v>
      </c>
      <c r="G650">
        <v>1</v>
      </c>
      <c r="H650">
        <v>3</v>
      </c>
    </row>
    <row r="651" spans="1:8" x14ac:dyDescent="0.3">
      <c r="A651">
        <v>650</v>
      </c>
      <c r="B651">
        <v>729</v>
      </c>
      <c r="C651" t="s">
        <v>5248</v>
      </c>
      <c r="D651" s="1">
        <v>42746</v>
      </c>
      <c r="E651" s="1">
        <v>42749</v>
      </c>
      <c r="F651" s="1">
        <v>42747</v>
      </c>
      <c r="G651">
        <v>1</v>
      </c>
      <c r="H651">
        <v>2</v>
      </c>
    </row>
    <row r="652" spans="1:8" x14ac:dyDescent="0.3">
      <c r="A652">
        <v>651</v>
      </c>
      <c r="B652">
        <v>190</v>
      </c>
      <c r="C652" t="s">
        <v>5248</v>
      </c>
      <c r="D652" s="1">
        <v>42746</v>
      </c>
      <c r="E652" s="1">
        <v>42748</v>
      </c>
      <c r="F652" s="1">
        <v>42748</v>
      </c>
      <c r="G652">
        <v>2</v>
      </c>
      <c r="H652">
        <v>7</v>
      </c>
    </row>
    <row r="653" spans="1:8" x14ac:dyDescent="0.3">
      <c r="A653">
        <v>652</v>
      </c>
      <c r="B653">
        <v>985</v>
      </c>
      <c r="C653" t="s">
        <v>5248</v>
      </c>
      <c r="D653" s="1">
        <v>42747</v>
      </c>
      <c r="E653" s="1">
        <v>42750</v>
      </c>
      <c r="F653" s="1">
        <v>42748</v>
      </c>
      <c r="G653">
        <v>3</v>
      </c>
      <c r="H653">
        <v>9</v>
      </c>
    </row>
    <row r="654" spans="1:8" x14ac:dyDescent="0.3">
      <c r="A654">
        <v>653</v>
      </c>
      <c r="B654">
        <v>1249</v>
      </c>
      <c r="C654" t="s">
        <v>5248</v>
      </c>
      <c r="D654" s="1">
        <v>42749</v>
      </c>
      <c r="E654" s="1">
        <v>42752</v>
      </c>
      <c r="F654" s="1">
        <v>42750</v>
      </c>
      <c r="G654">
        <v>1</v>
      </c>
      <c r="H654">
        <v>2</v>
      </c>
    </row>
    <row r="655" spans="1:8" x14ac:dyDescent="0.3">
      <c r="A655">
        <v>654</v>
      </c>
      <c r="B655">
        <v>1129</v>
      </c>
      <c r="C655" t="s">
        <v>5248</v>
      </c>
      <c r="D655" s="1">
        <v>42749</v>
      </c>
      <c r="E655" s="1">
        <v>42750</v>
      </c>
      <c r="F655" s="1">
        <v>42752</v>
      </c>
      <c r="G655">
        <v>2</v>
      </c>
      <c r="H655">
        <v>7</v>
      </c>
    </row>
    <row r="656" spans="1:8" x14ac:dyDescent="0.3">
      <c r="A656">
        <v>655</v>
      </c>
      <c r="B656">
        <v>347</v>
      </c>
      <c r="C656" t="s">
        <v>5248</v>
      </c>
      <c r="D656" s="1">
        <v>42751</v>
      </c>
      <c r="E656" s="1">
        <v>42752</v>
      </c>
      <c r="F656" s="1">
        <v>42753</v>
      </c>
      <c r="G656">
        <v>1</v>
      </c>
      <c r="H656">
        <v>3</v>
      </c>
    </row>
    <row r="657" spans="1:8" x14ac:dyDescent="0.3">
      <c r="A657">
        <v>656</v>
      </c>
      <c r="B657">
        <v>949</v>
      </c>
      <c r="C657" t="s">
        <v>5248</v>
      </c>
      <c r="D657" s="1">
        <v>42751</v>
      </c>
      <c r="E657" s="1">
        <v>42752</v>
      </c>
      <c r="F657" s="1">
        <v>42753</v>
      </c>
      <c r="G657">
        <v>2</v>
      </c>
      <c r="H657">
        <v>7</v>
      </c>
    </row>
    <row r="658" spans="1:8" x14ac:dyDescent="0.3">
      <c r="A658">
        <v>657</v>
      </c>
      <c r="B658">
        <v>349</v>
      </c>
      <c r="C658" t="s">
        <v>5248</v>
      </c>
      <c r="D658" s="1">
        <v>42752</v>
      </c>
      <c r="E658" s="1">
        <v>42754</v>
      </c>
      <c r="F658" s="1">
        <v>42755</v>
      </c>
      <c r="G658">
        <v>1</v>
      </c>
      <c r="H658">
        <v>2</v>
      </c>
    </row>
    <row r="659" spans="1:8" x14ac:dyDescent="0.3">
      <c r="A659">
        <v>658</v>
      </c>
      <c r="B659">
        <v>1051</v>
      </c>
      <c r="C659" t="s">
        <v>5248</v>
      </c>
      <c r="D659" s="1">
        <v>42752</v>
      </c>
      <c r="E659" s="1">
        <v>42753</v>
      </c>
      <c r="F659" s="1">
        <v>42753</v>
      </c>
      <c r="G659">
        <v>2</v>
      </c>
      <c r="H659">
        <v>7</v>
      </c>
    </row>
    <row r="660" spans="1:8" x14ac:dyDescent="0.3">
      <c r="A660">
        <v>659</v>
      </c>
      <c r="B660">
        <v>1391</v>
      </c>
      <c r="C660" t="s">
        <v>5248</v>
      </c>
      <c r="D660" s="1">
        <v>42752</v>
      </c>
      <c r="E660" s="1">
        <v>42754</v>
      </c>
      <c r="F660" s="1">
        <v>42753</v>
      </c>
      <c r="G660">
        <v>2</v>
      </c>
      <c r="H660">
        <v>7</v>
      </c>
    </row>
    <row r="661" spans="1:8" x14ac:dyDescent="0.3">
      <c r="A661">
        <v>660</v>
      </c>
      <c r="B661">
        <v>383</v>
      </c>
      <c r="C661" t="s">
        <v>5248</v>
      </c>
      <c r="D661" s="1">
        <v>42753</v>
      </c>
      <c r="E661" s="1">
        <v>42754</v>
      </c>
      <c r="F661" s="1">
        <v>42754</v>
      </c>
      <c r="G661">
        <v>2</v>
      </c>
      <c r="H661">
        <v>7</v>
      </c>
    </row>
    <row r="662" spans="1:8" x14ac:dyDescent="0.3">
      <c r="A662">
        <v>661</v>
      </c>
      <c r="B662">
        <v>626</v>
      </c>
      <c r="C662" t="s">
        <v>5248</v>
      </c>
      <c r="D662" s="1">
        <v>42753</v>
      </c>
      <c r="E662" s="1">
        <v>42754</v>
      </c>
      <c r="F662" s="1">
        <v>42755</v>
      </c>
      <c r="G662">
        <v>2</v>
      </c>
      <c r="H662">
        <v>6</v>
      </c>
    </row>
    <row r="663" spans="1:8" x14ac:dyDescent="0.3">
      <c r="A663">
        <v>662</v>
      </c>
      <c r="B663">
        <v>1125</v>
      </c>
      <c r="C663" t="s">
        <v>5248</v>
      </c>
      <c r="D663" s="1">
        <v>42754</v>
      </c>
      <c r="E663" s="1">
        <v>42755</v>
      </c>
      <c r="F663" s="1">
        <v>42755</v>
      </c>
      <c r="G663">
        <v>1</v>
      </c>
      <c r="H663">
        <v>3</v>
      </c>
    </row>
    <row r="664" spans="1:8" x14ac:dyDescent="0.3">
      <c r="A664">
        <v>663</v>
      </c>
      <c r="B664">
        <v>344</v>
      </c>
      <c r="C664" t="s">
        <v>5248</v>
      </c>
      <c r="D664" s="1">
        <v>42755</v>
      </c>
      <c r="E664" s="1">
        <v>42757</v>
      </c>
      <c r="F664" s="1">
        <v>42758</v>
      </c>
      <c r="G664">
        <v>1</v>
      </c>
      <c r="H664">
        <v>3</v>
      </c>
    </row>
    <row r="665" spans="1:8" x14ac:dyDescent="0.3">
      <c r="A665">
        <v>664</v>
      </c>
      <c r="B665">
        <v>681</v>
      </c>
      <c r="C665" t="s">
        <v>5248</v>
      </c>
      <c r="D665" s="1">
        <v>42755</v>
      </c>
      <c r="E665" s="1">
        <v>42758</v>
      </c>
      <c r="F665" s="1">
        <v>42757</v>
      </c>
      <c r="G665">
        <v>2</v>
      </c>
      <c r="H665">
        <v>7</v>
      </c>
    </row>
    <row r="666" spans="1:8" x14ac:dyDescent="0.3">
      <c r="A666">
        <v>665</v>
      </c>
      <c r="B666">
        <v>29</v>
      </c>
      <c r="C666" t="s">
        <v>5248</v>
      </c>
      <c r="D666" s="1">
        <v>42756</v>
      </c>
      <c r="E666" s="1">
        <v>42757</v>
      </c>
      <c r="F666" s="1">
        <v>42758</v>
      </c>
      <c r="G666">
        <v>2</v>
      </c>
      <c r="H666">
        <v>6</v>
      </c>
    </row>
    <row r="667" spans="1:8" x14ac:dyDescent="0.3">
      <c r="A667">
        <v>666</v>
      </c>
      <c r="B667">
        <v>770</v>
      </c>
      <c r="C667" t="s">
        <v>5248</v>
      </c>
      <c r="D667" s="1">
        <v>42756</v>
      </c>
      <c r="E667" s="1">
        <v>42757</v>
      </c>
      <c r="F667" s="1">
        <v>42759</v>
      </c>
      <c r="G667">
        <v>2</v>
      </c>
      <c r="H667">
        <v>7</v>
      </c>
    </row>
    <row r="668" spans="1:8" x14ac:dyDescent="0.3">
      <c r="A668">
        <v>667</v>
      </c>
      <c r="B668">
        <v>858</v>
      </c>
      <c r="C668" t="s">
        <v>5248</v>
      </c>
      <c r="D668" s="1">
        <v>42757</v>
      </c>
      <c r="E668" s="1">
        <v>42759</v>
      </c>
      <c r="F668" s="1">
        <v>42760</v>
      </c>
      <c r="G668">
        <v>2</v>
      </c>
      <c r="H668">
        <v>7</v>
      </c>
    </row>
    <row r="669" spans="1:8" x14ac:dyDescent="0.3">
      <c r="A669">
        <v>668</v>
      </c>
      <c r="B669">
        <v>297</v>
      </c>
      <c r="C669" t="s">
        <v>5248</v>
      </c>
      <c r="D669" s="1">
        <v>42757</v>
      </c>
      <c r="E669" s="1">
        <v>42758</v>
      </c>
      <c r="F669" s="1">
        <v>42759</v>
      </c>
      <c r="G669">
        <v>3</v>
      </c>
      <c r="H669">
        <v>8</v>
      </c>
    </row>
    <row r="670" spans="1:8" x14ac:dyDescent="0.3">
      <c r="A670">
        <v>669</v>
      </c>
      <c r="B670">
        <v>745</v>
      </c>
      <c r="C670" t="s">
        <v>5248</v>
      </c>
      <c r="D670" s="1">
        <v>42758</v>
      </c>
      <c r="E670" s="1">
        <v>42759</v>
      </c>
      <c r="F670" s="1">
        <v>42761</v>
      </c>
      <c r="G670">
        <v>2</v>
      </c>
      <c r="H670">
        <v>7</v>
      </c>
    </row>
    <row r="671" spans="1:8" x14ac:dyDescent="0.3">
      <c r="A671">
        <v>670</v>
      </c>
      <c r="B671">
        <v>361</v>
      </c>
      <c r="C671" t="s">
        <v>5248</v>
      </c>
      <c r="D671" s="1">
        <v>42759</v>
      </c>
      <c r="E671" s="1">
        <v>42760</v>
      </c>
      <c r="F671" s="1">
        <v>42760</v>
      </c>
      <c r="G671">
        <v>2</v>
      </c>
      <c r="H671">
        <v>6</v>
      </c>
    </row>
    <row r="672" spans="1:8" x14ac:dyDescent="0.3">
      <c r="A672">
        <v>671</v>
      </c>
      <c r="B672">
        <v>922</v>
      </c>
      <c r="C672" t="s">
        <v>5248</v>
      </c>
      <c r="D672" s="1">
        <v>42760</v>
      </c>
      <c r="E672" s="1">
        <v>42763</v>
      </c>
      <c r="F672" s="1">
        <v>42761</v>
      </c>
      <c r="G672">
        <v>2</v>
      </c>
      <c r="H672">
        <v>7</v>
      </c>
    </row>
    <row r="673" spans="1:8" x14ac:dyDescent="0.3">
      <c r="A673">
        <v>672</v>
      </c>
      <c r="B673">
        <v>908</v>
      </c>
      <c r="C673" t="s">
        <v>5248</v>
      </c>
      <c r="D673" s="1">
        <v>42761</v>
      </c>
      <c r="E673" s="1">
        <v>42764</v>
      </c>
      <c r="F673" s="1">
        <v>42764</v>
      </c>
      <c r="G673">
        <v>2</v>
      </c>
      <c r="H673">
        <v>6</v>
      </c>
    </row>
    <row r="674" spans="1:8" x14ac:dyDescent="0.3">
      <c r="A674">
        <v>673</v>
      </c>
      <c r="B674">
        <v>64</v>
      </c>
      <c r="C674" t="s">
        <v>5248</v>
      </c>
      <c r="D674" s="1">
        <v>42761</v>
      </c>
      <c r="E674" s="1">
        <v>42763</v>
      </c>
      <c r="F674" s="1">
        <v>42762</v>
      </c>
      <c r="G674">
        <v>3</v>
      </c>
      <c r="H674">
        <v>9</v>
      </c>
    </row>
    <row r="675" spans="1:8" x14ac:dyDescent="0.3">
      <c r="A675">
        <v>674</v>
      </c>
      <c r="B675">
        <v>733</v>
      </c>
      <c r="C675" t="s">
        <v>5248</v>
      </c>
      <c r="D675" s="1">
        <v>42762</v>
      </c>
      <c r="E675" s="1">
        <v>42763</v>
      </c>
      <c r="F675" s="1">
        <v>42764</v>
      </c>
      <c r="G675">
        <v>2</v>
      </c>
      <c r="H675">
        <v>6</v>
      </c>
    </row>
    <row r="676" spans="1:8" x14ac:dyDescent="0.3">
      <c r="A676">
        <v>675</v>
      </c>
      <c r="B676">
        <v>291</v>
      </c>
      <c r="C676" t="s">
        <v>5248</v>
      </c>
      <c r="D676" s="1">
        <v>42763</v>
      </c>
      <c r="E676" s="1">
        <v>42766</v>
      </c>
      <c r="F676" s="1">
        <v>42765</v>
      </c>
      <c r="G676">
        <v>2</v>
      </c>
      <c r="H676">
        <v>7</v>
      </c>
    </row>
    <row r="677" spans="1:8" x14ac:dyDescent="0.3">
      <c r="A677">
        <v>676</v>
      </c>
      <c r="B677">
        <v>790</v>
      </c>
      <c r="C677" t="s">
        <v>5248</v>
      </c>
      <c r="D677" s="1">
        <v>42763</v>
      </c>
      <c r="E677" s="1">
        <v>42765</v>
      </c>
      <c r="F677" s="1">
        <v>42766</v>
      </c>
      <c r="G677">
        <v>2</v>
      </c>
      <c r="H677">
        <v>7</v>
      </c>
    </row>
    <row r="678" spans="1:8" x14ac:dyDescent="0.3">
      <c r="A678">
        <v>677</v>
      </c>
      <c r="B678">
        <v>809</v>
      </c>
      <c r="C678" t="s">
        <v>5248</v>
      </c>
      <c r="D678" s="1">
        <v>42763</v>
      </c>
      <c r="E678" s="1">
        <v>42766</v>
      </c>
      <c r="F678" s="1">
        <v>42765</v>
      </c>
      <c r="G678">
        <v>2</v>
      </c>
      <c r="H678">
        <v>7</v>
      </c>
    </row>
    <row r="679" spans="1:8" x14ac:dyDescent="0.3">
      <c r="A679">
        <v>678</v>
      </c>
      <c r="B679">
        <v>250</v>
      </c>
      <c r="C679" t="s">
        <v>5248</v>
      </c>
      <c r="D679" s="1">
        <v>42763</v>
      </c>
      <c r="E679" s="1">
        <v>42764</v>
      </c>
      <c r="F679" s="1">
        <v>42766</v>
      </c>
      <c r="G679">
        <v>3</v>
      </c>
      <c r="H679">
        <v>9</v>
      </c>
    </row>
    <row r="680" spans="1:8" x14ac:dyDescent="0.3">
      <c r="A680">
        <v>679</v>
      </c>
      <c r="B680">
        <v>81</v>
      </c>
      <c r="C680" t="s">
        <v>5248</v>
      </c>
      <c r="D680" s="1">
        <v>42764</v>
      </c>
      <c r="E680" s="1">
        <v>42765</v>
      </c>
      <c r="F680" s="1">
        <v>42765</v>
      </c>
      <c r="G680">
        <v>1</v>
      </c>
      <c r="H680">
        <v>3</v>
      </c>
    </row>
    <row r="681" spans="1:8" x14ac:dyDescent="0.3">
      <c r="A681">
        <v>680</v>
      </c>
      <c r="B681">
        <v>245</v>
      </c>
      <c r="C681" t="s">
        <v>5248</v>
      </c>
      <c r="D681" s="1">
        <v>42764</v>
      </c>
      <c r="E681" s="1">
        <v>42767</v>
      </c>
      <c r="F681" s="1">
        <v>42765</v>
      </c>
      <c r="G681">
        <v>1</v>
      </c>
      <c r="H681">
        <v>3</v>
      </c>
    </row>
    <row r="682" spans="1:8" x14ac:dyDescent="0.3">
      <c r="A682">
        <v>681</v>
      </c>
      <c r="B682">
        <v>499</v>
      </c>
      <c r="C682" t="s">
        <v>5248</v>
      </c>
      <c r="D682" s="1">
        <v>42764</v>
      </c>
      <c r="E682" s="1">
        <v>42767</v>
      </c>
      <c r="F682" s="1">
        <v>42766</v>
      </c>
      <c r="G682">
        <v>2</v>
      </c>
      <c r="H682">
        <v>7</v>
      </c>
    </row>
    <row r="683" spans="1:8" x14ac:dyDescent="0.3">
      <c r="A683">
        <v>682</v>
      </c>
      <c r="B683">
        <v>614</v>
      </c>
      <c r="C683" t="s">
        <v>5248</v>
      </c>
      <c r="D683" s="1">
        <v>42764</v>
      </c>
      <c r="E683" s="1">
        <v>42765</v>
      </c>
      <c r="F683" s="1">
        <v>42765</v>
      </c>
      <c r="G683">
        <v>2</v>
      </c>
      <c r="H683">
        <v>6</v>
      </c>
    </row>
    <row r="684" spans="1:8" x14ac:dyDescent="0.3">
      <c r="A684">
        <v>683</v>
      </c>
      <c r="B684">
        <v>741</v>
      </c>
      <c r="C684" t="s">
        <v>5248</v>
      </c>
      <c r="D684" s="1">
        <v>42764</v>
      </c>
      <c r="E684" s="1">
        <v>42766</v>
      </c>
      <c r="F684" s="1">
        <v>42767</v>
      </c>
      <c r="G684">
        <v>2</v>
      </c>
      <c r="H684">
        <v>6</v>
      </c>
    </row>
    <row r="685" spans="1:8" x14ac:dyDescent="0.3">
      <c r="A685">
        <v>684</v>
      </c>
      <c r="B685">
        <v>762</v>
      </c>
      <c r="C685" t="s">
        <v>5248</v>
      </c>
      <c r="D685" s="1">
        <v>42766</v>
      </c>
      <c r="E685" s="1">
        <v>42767</v>
      </c>
      <c r="F685" s="1">
        <v>42768</v>
      </c>
      <c r="G685">
        <v>2</v>
      </c>
      <c r="H685">
        <v>6</v>
      </c>
    </row>
    <row r="686" spans="1:8" x14ac:dyDescent="0.3">
      <c r="A686">
        <v>685</v>
      </c>
      <c r="B686">
        <v>976</v>
      </c>
      <c r="C686" t="s">
        <v>5248</v>
      </c>
      <c r="D686" s="1">
        <v>42766</v>
      </c>
      <c r="E686" s="1">
        <v>42769</v>
      </c>
      <c r="F686" s="1">
        <v>42768</v>
      </c>
      <c r="G686">
        <v>2</v>
      </c>
      <c r="H686">
        <v>7</v>
      </c>
    </row>
    <row r="687" spans="1:8" x14ac:dyDescent="0.3">
      <c r="A687">
        <v>686</v>
      </c>
      <c r="B687">
        <v>380</v>
      </c>
      <c r="C687" t="s">
        <v>5248</v>
      </c>
      <c r="D687" s="1">
        <v>42767</v>
      </c>
      <c r="E687" s="1">
        <v>42769</v>
      </c>
      <c r="F687" s="1">
        <v>42770</v>
      </c>
      <c r="G687">
        <v>2</v>
      </c>
      <c r="H687">
        <v>7</v>
      </c>
    </row>
    <row r="688" spans="1:8" x14ac:dyDescent="0.3">
      <c r="A688">
        <v>687</v>
      </c>
      <c r="B688">
        <v>530</v>
      </c>
      <c r="C688" t="s">
        <v>5248</v>
      </c>
      <c r="D688" s="1">
        <v>42768</v>
      </c>
      <c r="E688" s="1">
        <v>42771</v>
      </c>
      <c r="F688" s="1">
        <v>42770</v>
      </c>
      <c r="G688">
        <v>1</v>
      </c>
      <c r="H688">
        <v>3</v>
      </c>
    </row>
    <row r="689" spans="1:8" x14ac:dyDescent="0.3">
      <c r="A689">
        <v>688</v>
      </c>
      <c r="B689">
        <v>343</v>
      </c>
      <c r="C689" t="s">
        <v>5248</v>
      </c>
      <c r="D689" s="1">
        <v>42768</v>
      </c>
      <c r="E689" s="1">
        <v>42769</v>
      </c>
      <c r="F689" s="1">
        <v>42771</v>
      </c>
      <c r="G689">
        <v>2</v>
      </c>
      <c r="H689">
        <v>7</v>
      </c>
    </row>
    <row r="690" spans="1:8" x14ac:dyDescent="0.3">
      <c r="A690">
        <v>689</v>
      </c>
      <c r="B690">
        <v>884</v>
      </c>
      <c r="C690" t="s">
        <v>5248</v>
      </c>
      <c r="D690" s="1">
        <v>42768</v>
      </c>
      <c r="E690" s="1">
        <v>42769</v>
      </c>
      <c r="F690" s="1">
        <v>42771</v>
      </c>
      <c r="G690">
        <v>2</v>
      </c>
      <c r="H690">
        <v>7</v>
      </c>
    </row>
    <row r="691" spans="1:8" x14ac:dyDescent="0.3">
      <c r="A691">
        <v>690</v>
      </c>
      <c r="B691">
        <v>1097</v>
      </c>
      <c r="C691" t="s">
        <v>5248</v>
      </c>
      <c r="D691" s="1">
        <v>42769</v>
      </c>
      <c r="E691" s="1">
        <v>42770</v>
      </c>
      <c r="F691" s="1">
        <v>42772</v>
      </c>
      <c r="G691">
        <v>1</v>
      </c>
      <c r="H691">
        <v>2</v>
      </c>
    </row>
    <row r="692" spans="1:8" x14ac:dyDescent="0.3">
      <c r="A692">
        <v>691</v>
      </c>
      <c r="B692">
        <v>1081</v>
      </c>
      <c r="C692" t="s">
        <v>5248</v>
      </c>
      <c r="D692" s="1">
        <v>42770</v>
      </c>
      <c r="E692" s="1">
        <v>42772</v>
      </c>
      <c r="F692" s="1">
        <v>42772</v>
      </c>
      <c r="G692">
        <v>2</v>
      </c>
      <c r="H692">
        <v>7</v>
      </c>
    </row>
    <row r="693" spans="1:8" x14ac:dyDescent="0.3">
      <c r="A693">
        <v>692</v>
      </c>
      <c r="B693">
        <v>2</v>
      </c>
      <c r="C693" t="s">
        <v>5249</v>
      </c>
      <c r="D693" s="1">
        <v>42771</v>
      </c>
      <c r="E693" s="1">
        <v>42771</v>
      </c>
      <c r="F693" s="1"/>
      <c r="G693">
        <v>1</v>
      </c>
      <c r="H693">
        <v>3</v>
      </c>
    </row>
    <row r="694" spans="1:8" x14ac:dyDescent="0.3">
      <c r="A694">
        <v>693</v>
      </c>
      <c r="B694">
        <v>1233</v>
      </c>
      <c r="C694" t="s">
        <v>5248</v>
      </c>
      <c r="D694" s="1">
        <v>42771</v>
      </c>
      <c r="E694" s="1">
        <v>42773</v>
      </c>
      <c r="F694" s="1">
        <v>42772</v>
      </c>
      <c r="G694">
        <v>1</v>
      </c>
      <c r="H694">
        <v>3</v>
      </c>
    </row>
    <row r="695" spans="1:8" x14ac:dyDescent="0.3">
      <c r="A695">
        <v>694</v>
      </c>
      <c r="B695">
        <v>58</v>
      </c>
      <c r="C695" t="s">
        <v>5248</v>
      </c>
      <c r="D695" s="1">
        <v>42771</v>
      </c>
      <c r="E695" s="1">
        <v>42772</v>
      </c>
      <c r="F695" s="1">
        <v>42774</v>
      </c>
      <c r="G695">
        <v>2</v>
      </c>
      <c r="H695">
        <v>7</v>
      </c>
    </row>
    <row r="696" spans="1:8" x14ac:dyDescent="0.3">
      <c r="A696">
        <v>695</v>
      </c>
      <c r="B696">
        <v>606</v>
      </c>
      <c r="C696" t="s">
        <v>5248</v>
      </c>
      <c r="D696" s="1">
        <v>42771</v>
      </c>
      <c r="E696" s="1">
        <v>42774</v>
      </c>
      <c r="F696" s="1">
        <v>42773</v>
      </c>
      <c r="G696">
        <v>2</v>
      </c>
      <c r="H696">
        <v>7</v>
      </c>
    </row>
    <row r="697" spans="1:8" x14ac:dyDescent="0.3">
      <c r="A697">
        <v>696</v>
      </c>
      <c r="B697">
        <v>1242</v>
      </c>
      <c r="C697" t="s">
        <v>5248</v>
      </c>
      <c r="D697" s="1">
        <v>42771</v>
      </c>
      <c r="E697" s="1">
        <v>42774</v>
      </c>
      <c r="F697" s="1">
        <v>42774</v>
      </c>
      <c r="G697">
        <v>2</v>
      </c>
      <c r="H697">
        <v>7</v>
      </c>
    </row>
    <row r="698" spans="1:8" x14ac:dyDescent="0.3">
      <c r="A698">
        <v>697</v>
      </c>
      <c r="B698">
        <v>562</v>
      </c>
      <c r="C698" t="s">
        <v>5248</v>
      </c>
      <c r="D698" s="1">
        <v>42772</v>
      </c>
      <c r="E698" s="1">
        <v>42774</v>
      </c>
      <c r="F698" s="1">
        <v>42775</v>
      </c>
      <c r="G698">
        <v>1</v>
      </c>
      <c r="H698">
        <v>2</v>
      </c>
    </row>
    <row r="699" spans="1:8" x14ac:dyDescent="0.3">
      <c r="A699">
        <v>698</v>
      </c>
      <c r="B699">
        <v>543</v>
      </c>
      <c r="C699" t="s">
        <v>5248</v>
      </c>
      <c r="D699" s="1">
        <v>42772</v>
      </c>
      <c r="E699" s="1">
        <v>42774</v>
      </c>
      <c r="F699" s="1">
        <v>42775</v>
      </c>
      <c r="G699">
        <v>3</v>
      </c>
      <c r="H699">
        <v>8</v>
      </c>
    </row>
    <row r="700" spans="1:8" x14ac:dyDescent="0.3">
      <c r="A700">
        <v>699</v>
      </c>
      <c r="B700">
        <v>958</v>
      </c>
      <c r="C700" t="s">
        <v>5248</v>
      </c>
      <c r="D700" s="1">
        <v>42772</v>
      </c>
      <c r="E700" s="1">
        <v>42774</v>
      </c>
      <c r="F700" s="1">
        <v>42775</v>
      </c>
      <c r="G700">
        <v>3</v>
      </c>
      <c r="H700">
        <v>9</v>
      </c>
    </row>
    <row r="701" spans="1:8" x14ac:dyDescent="0.3">
      <c r="A701">
        <v>700</v>
      </c>
      <c r="B701">
        <v>4</v>
      </c>
      <c r="C701" t="s">
        <v>5248</v>
      </c>
      <c r="D701" s="1">
        <v>42773</v>
      </c>
      <c r="E701" s="1">
        <v>42776</v>
      </c>
      <c r="F701" s="1">
        <v>42774</v>
      </c>
      <c r="G701">
        <v>2</v>
      </c>
      <c r="H701">
        <v>6</v>
      </c>
    </row>
    <row r="702" spans="1:8" x14ac:dyDescent="0.3">
      <c r="A702">
        <v>701</v>
      </c>
      <c r="B702">
        <v>850</v>
      </c>
      <c r="C702" t="s">
        <v>5248</v>
      </c>
      <c r="D702" s="1">
        <v>42773</v>
      </c>
      <c r="E702" s="1">
        <v>42774</v>
      </c>
      <c r="F702" s="1">
        <v>42775</v>
      </c>
      <c r="G702">
        <v>3</v>
      </c>
      <c r="H702">
        <v>9</v>
      </c>
    </row>
    <row r="703" spans="1:8" x14ac:dyDescent="0.3">
      <c r="A703">
        <v>702</v>
      </c>
      <c r="B703">
        <v>1352</v>
      </c>
      <c r="C703" t="s">
        <v>5248</v>
      </c>
      <c r="D703" s="1">
        <v>42774</v>
      </c>
      <c r="E703" s="1">
        <v>42775</v>
      </c>
      <c r="F703" s="1">
        <v>42777</v>
      </c>
      <c r="G703">
        <v>1</v>
      </c>
      <c r="H703">
        <v>3</v>
      </c>
    </row>
    <row r="704" spans="1:8" x14ac:dyDescent="0.3">
      <c r="A704">
        <v>703</v>
      </c>
      <c r="B704">
        <v>417</v>
      </c>
      <c r="C704" t="s">
        <v>5248</v>
      </c>
      <c r="D704" s="1">
        <v>42774</v>
      </c>
      <c r="E704" s="1">
        <v>42775</v>
      </c>
      <c r="F704" s="1">
        <v>42775</v>
      </c>
      <c r="G704">
        <v>2</v>
      </c>
      <c r="H704">
        <v>7</v>
      </c>
    </row>
    <row r="705" spans="1:8" x14ac:dyDescent="0.3">
      <c r="A705">
        <v>704</v>
      </c>
      <c r="B705">
        <v>1137</v>
      </c>
      <c r="C705" t="s">
        <v>5248</v>
      </c>
      <c r="D705" s="1">
        <v>42774</v>
      </c>
      <c r="E705" s="1">
        <v>42775</v>
      </c>
      <c r="F705" s="1">
        <v>42777</v>
      </c>
      <c r="G705">
        <v>2</v>
      </c>
      <c r="H705">
        <v>6</v>
      </c>
    </row>
    <row r="706" spans="1:8" x14ac:dyDescent="0.3">
      <c r="A706">
        <v>705</v>
      </c>
      <c r="B706">
        <v>1196</v>
      </c>
      <c r="C706" t="s">
        <v>5248</v>
      </c>
      <c r="D706" s="1">
        <v>42774</v>
      </c>
      <c r="E706" s="1">
        <v>42777</v>
      </c>
      <c r="F706" s="1">
        <v>42777</v>
      </c>
      <c r="G706">
        <v>2</v>
      </c>
      <c r="H706">
        <v>7</v>
      </c>
    </row>
    <row r="707" spans="1:8" x14ac:dyDescent="0.3">
      <c r="A707">
        <v>706</v>
      </c>
      <c r="B707">
        <v>1271</v>
      </c>
      <c r="C707" t="s">
        <v>5248</v>
      </c>
      <c r="D707" s="1">
        <v>42775</v>
      </c>
      <c r="E707" s="1">
        <v>42778</v>
      </c>
      <c r="F707" s="1">
        <v>42776</v>
      </c>
      <c r="G707">
        <v>1</v>
      </c>
      <c r="H707">
        <v>2</v>
      </c>
    </row>
    <row r="708" spans="1:8" x14ac:dyDescent="0.3">
      <c r="A708">
        <v>707</v>
      </c>
      <c r="B708">
        <v>79</v>
      </c>
      <c r="C708" t="s">
        <v>5248</v>
      </c>
      <c r="D708" s="1">
        <v>42775</v>
      </c>
      <c r="E708" s="1">
        <v>42777</v>
      </c>
      <c r="F708" s="1">
        <v>42777</v>
      </c>
      <c r="G708">
        <v>2</v>
      </c>
      <c r="H708">
        <v>7</v>
      </c>
    </row>
    <row r="709" spans="1:8" x14ac:dyDescent="0.3">
      <c r="A709">
        <v>708</v>
      </c>
      <c r="B709">
        <v>660</v>
      </c>
      <c r="C709" t="s">
        <v>5248</v>
      </c>
      <c r="D709" s="1">
        <v>42776</v>
      </c>
      <c r="E709" s="1">
        <v>42778</v>
      </c>
      <c r="F709" s="1">
        <v>42777</v>
      </c>
      <c r="G709">
        <v>1</v>
      </c>
      <c r="H709">
        <v>2</v>
      </c>
    </row>
    <row r="710" spans="1:8" x14ac:dyDescent="0.3">
      <c r="A710">
        <v>709</v>
      </c>
      <c r="B710">
        <v>1162</v>
      </c>
      <c r="C710" t="s">
        <v>5248</v>
      </c>
      <c r="D710" s="1">
        <v>42777</v>
      </c>
      <c r="E710" s="1">
        <v>42779</v>
      </c>
      <c r="F710" s="1">
        <v>42778</v>
      </c>
      <c r="G710">
        <v>2</v>
      </c>
      <c r="H710">
        <v>6</v>
      </c>
    </row>
    <row r="711" spans="1:8" x14ac:dyDescent="0.3">
      <c r="A711">
        <v>710</v>
      </c>
      <c r="B711">
        <v>295</v>
      </c>
      <c r="C711" t="s">
        <v>5248</v>
      </c>
      <c r="D711" s="1">
        <v>42779</v>
      </c>
      <c r="E711" s="1">
        <v>42781</v>
      </c>
      <c r="F711" s="1">
        <v>42782</v>
      </c>
      <c r="G711">
        <v>2</v>
      </c>
      <c r="H711">
        <v>6</v>
      </c>
    </row>
    <row r="712" spans="1:8" x14ac:dyDescent="0.3">
      <c r="A712">
        <v>711</v>
      </c>
      <c r="B712">
        <v>1246</v>
      </c>
      <c r="C712" t="s">
        <v>5248</v>
      </c>
      <c r="D712" s="1">
        <v>42779</v>
      </c>
      <c r="E712" s="1">
        <v>42782</v>
      </c>
      <c r="F712" s="1">
        <v>42780</v>
      </c>
      <c r="G712">
        <v>2</v>
      </c>
      <c r="H712">
        <v>6</v>
      </c>
    </row>
    <row r="713" spans="1:8" x14ac:dyDescent="0.3">
      <c r="A713">
        <v>712</v>
      </c>
      <c r="B713">
        <v>173</v>
      </c>
      <c r="C713" t="s">
        <v>5248</v>
      </c>
      <c r="D713" s="1">
        <v>42779</v>
      </c>
      <c r="E713" s="1">
        <v>42780</v>
      </c>
      <c r="F713" s="1">
        <v>42782</v>
      </c>
      <c r="G713">
        <v>3</v>
      </c>
      <c r="H713">
        <v>9</v>
      </c>
    </row>
    <row r="714" spans="1:8" x14ac:dyDescent="0.3">
      <c r="A714">
        <v>713</v>
      </c>
      <c r="B714">
        <v>207</v>
      </c>
      <c r="C714" t="s">
        <v>5248</v>
      </c>
      <c r="D714" s="1">
        <v>42779</v>
      </c>
      <c r="E714" s="1">
        <v>42780</v>
      </c>
      <c r="F714" s="1">
        <v>42781</v>
      </c>
      <c r="G714">
        <v>3</v>
      </c>
      <c r="H714">
        <v>8</v>
      </c>
    </row>
    <row r="715" spans="1:8" x14ac:dyDescent="0.3">
      <c r="A715">
        <v>714</v>
      </c>
      <c r="B715">
        <v>805</v>
      </c>
      <c r="C715" t="s">
        <v>5248</v>
      </c>
      <c r="D715" s="1">
        <v>42780</v>
      </c>
      <c r="E715" s="1">
        <v>42783</v>
      </c>
      <c r="F715" s="1">
        <v>42781</v>
      </c>
      <c r="G715">
        <v>2</v>
      </c>
      <c r="H715">
        <v>7</v>
      </c>
    </row>
    <row r="716" spans="1:8" x14ac:dyDescent="0.3">
      <c r="A716">
        <v>715</v>
      </c>
      <c r="B716">
        <v>12</v>
      </c>
      <c r="C716" t="s">
        <v>5249</v>
      </c>
      <c r="D716" s="1">
        <v>42781</v>
      </c>
      <c r="E716" s="1">
        <v>42781</v>
      </c>
      <c r="F716" s="1"/>
      <c r="G716">
        <v>2</v>
      </c>
      <c r="H716">
        <v>6</v>
      </c>
    </row>
    <row r="717" spans="1:8" x14ac:dyDescent="0.3">
      <c r="A717">
        <v>716</v>
      </c>
      <c r="B717">
        <v>672</v>
      </c>
      <c r="C717" t="s">
        <v>5248</v>
      </c>
      <c r="D717" s="1">
        <v>42781</v>
      </c>
      <c r="E717" s="1">
        <v>42783</v>
      </c>
      <c r="F717" s="1">
        <v>42784</v>
      </c>
      <c r="G717">
        <v>2</v>
      </c>
      <c r="H717">
        <v>6</v>
      </c>
    </row>
    <row r="718" spans="1:8" x14ac:dyDescent="0.3">
      <c r="A718">
        <v>717</v>
      </c>
      <c r="B718">
        <v>1312</v>
      </c>
      <c r="C718" t="s">
        <v>5248</v>
      </c>
      <c r="D718" s="1">
        <v>42781</v>
      </c>
      <c r="E718" s="1">
        <v>42784</v>
      </c>
      <c r="F718" s="1">
        <v>42783</v>
      </c>
      <c r="G718">
        <v>2</v>
      </c>
      <c r="H718">
        <v>6</v>
      </c>
    </row>
    <row r="719" spans="1:8" x14ac:dyDescent="0.3">
      <c r="A719">
        <v>718</v>
      </c>
      <c r="B719">
        <v>38</v>
      </c>
      <c r="C719" t="s">
        <v>5248</v>
      </c>
      <c r="D719" s="1">
        <v>42782</v>
      </c>
      <c r="E719" s="1">
        <v>42783</v>
      </c>
      <c r="F719" s="1">
        <v>42783</v>
      </c>
      <c r="G719">
        <v>2</v>
      </c>
      <c r="H719">
        <v>7</v>
      </c>
    </row>
    <row r="720" spans="1:8" x14ac:dyDescent="0.3">
      <c r="A720">
        <v>719</v>
      </c>
      <c r="B720">
        <v>200</v>
      </c>
      <c r="C720" t="s">
        <v>5248</v>
      </c>
      <c r="D720" s="1">
        <v>42782</v>
      </c>
      <c r="E720" s="1">
        <v>42785</v>
      </c>
      <c r="F720" s="1">
        <v>42784</v>
      </c>
      <c r="G720">
        <v>2</v>
      </c>
      <c r="H720">
        <v>6</v>
      </c>
    </row>
    <row r="721" spans="1:8" x14ac:dyDescent="0.3">
      <c r="A721">
        <v>720</v>
      </c>
      <c r="B721">
        <v>382</v>
      </c>
      <c r="C721" t="s">
        <v>5248</v>
      </c>
      <c r="D721" s="1">
        <v>42782</v>
      </c>
      <c r="E721" s="1">
        <v>42785</v>
      </c>
      <c r="F721" s="1">
        <v>42785</v>
      </c>
      <c r="G721">
        <v>2</v>
      </c>
      <c r="H721">
        <v>6</v>
      </c>
    </row>
    <row r="722" spans="1:8" x14ac:dyDescent="0.3">
      <c r="A722">
        <v>721</v>
      </c>
      <c r="B722">
        <v>625</v>
      </c>
      <c r="C722" t="s">
        <v>5248</v>
      </c>
      <c r="D722" s="1">
        <v>42782</v>
      </c>
      <c r="E722" s="1">
        <v>42785</v>
      </c>
      <c r="F722" s="1">
        <v>42783</v>
      </c>
      <c r="G722">
        <v>2</v>
      </c>
      <c r="H722">
        <v>7</v>
      </c>
    </row>
    <row r="723" spans="1:8" x14ac:dyDescent="0.3">
      <c r="A723">
        <v>722</v>
      </c>
      <c r="B723">
        <v>1399</v>
      </c>
      <c r="C723" t="s">
        <v>5248</v>
      </c>
      <c r="D723" s="1">
        <v>42784</v>
      </c>
      <c r="E723" s="1">
        <v>42786</v>
      </c>
      <c r="F723" s="1">
        <v>42787</v>
      </c>
      <c r="G723">
        <v>2</v>
      </c>
      <c r="H723">
        <v>7</v>
      </c>
    </row>
    <row r="724" spans="1:8" x14ac:dyDescent="0.3">
      <c r="A724">
        <v>723</v>
      </c>
      <c r="B724">
        <v>845</v>
      </c>
      <c r="C724" t="s">
        <v>5248</v>
      </c>
      <c r="D724" s="1">
        <v>42785</v>
      </c>
      <c r="E724" s="1">
        <v>42787</v>
      </c>
      <c r="F724" s="1">
        <v>42788</v>
      </c>
      <c r="G724">
        <v>2</v>
      </c>
      <c r="H724">
        <v>6</v>
      </c>
    </row>
    <row r="725" spans="1:8" x14ac:dyDescent="0.3">
      <c r="A725">
        <v>724</v>
      </c>
      <c r="B725">
        <v>864</v>
      </c>
      <c r="C725" t="s">
        <v>5248</v>
      </c>
      <c r="D725" s="1">
        <v>42785</v>
      </c>
      <c r="E725" s="1">
        <v>42788</v>
      </c>
      <c r="F725" s="1">
        <v>42787</v>
      </c>
      <c r="G725">
        <v>2</v>
      </c>
      <c r="H725">
        <v>6</v>
      </c>
    </row>
    <row r="726" spans="1:8" x14ac:dyDescent="0.3">
      <c r="A726">
        <v>725</v>
      </c>
      <c r="B726">
        <v>870</v>
      </c>
      <c r="C726" t="s">
        <v>5248</v>
      </c>
      <c r="D726" s="1">
        <v>42785</v>
      </c>
      <c r="E726" s="1">
        <v>42788</v>
      </c>
      <c r="F726" s="1">
        <v>42788</v>
      </c>
      <c r="G726">
        <v>2</v>
      </c>
      <c r="H726">
        <v>7</v>
      </c>
    </row>
    <row r="727" spans="1:8" x14ac:dyDescent="0.3">
      <c r="A727">
        <v>726</v>
      </c>
      <c r="B727">
        <v>969</v>
      </c>
      <c r="C727" t="s">
        <v>5248</v>
      </c>
      <c r="D727" s="1">
        <v>42785</v>
      </c>
      <c r="E727" s="1">
        <v>42788</v>
      </c>
      <c r="F727" s="1">
        <v>42786</v>
      </c>
      <c r="G727">
        <v>2</v>
      </c>
      <c r="H727">
        <v>6</v>
      </c>
    </row>
    <row r="728" spans="1:8" x14ac:dyDescent="0.3">
      <c r="A728">
        <v>727</v>
      </c>
      <c r="B728">
        <v>962</v>
      </c>
      <c r="C728" t="s">
        <v>5248</v>
      </c>
      <c r="D728" s="1">
        <v>42785</v>
      </c>
      <c r="E728" s="1">
        <v>42788</v>
      </c>
      <c r="F728" s="1">
        <v>42787</v>
      </c>
      <c r="G728">
        <v>3</v>
      </c>
      <c r="H728">
        <v>9</v>
      </c>
    </row>
    <row r="729" spans="1:8" x14ac:dyDescent="0.3">
      <c r="A729">
        <v>728</v>
      </c>
      <c r="B729">
        <v>1138</v>
      </c>
      <c r="C729" t="s">
        <v>5248</v>
      </c>
      <c r="D729" s="1">
        <v>42786</v>
      </c>
      <c r="E729" s="1">
        <v>42787</v>
      </c>
      <c r="F729" s="1">
        <v>42789</v>
      </c>
      <c r="G729">
        <v>1</v>
      </c>
      <c r="H729">
        <v>3</v>
      </c>
    </row>
    <row r="730" spans="1:8" x14ac:dyDescent="0.3">
      <c r="A730">
        <v>729</v>
      </c>
      <c r="B730">
        <v>897</v>
      </c>
      <c r="C730" t="s">
        <v>5248</v>
      </c>
      <c r="D730" s="1">
        <v>42786</v>
      </c>
      <c r="E730" s="1">
        <v>42788</v>
      </c>
      <c r="F730" s="1">
        <v>42787</v>
      </c>
      <c r="G730">
        <v>2</v>
      </c>
      <c r="H730">
        <v>7</v>
      </c>
    </row>
    <row r="731" spans="1:8" x14ac:dyDescent="0.3">
      <c r="A731">
        <v>730</v>
      </c>
      <c r="B731">
        <v>500</v>
      </c>
      <c r="C731" t="s">
        <v>5248</v>
      </c>
      <c r="D731" s="1">
        <v>42787</v>
      </c>
      <c r="E731" s="1">
        <v>42790</v>
      </c>
      <c r="F731" s="1">
        <v>42788</v>
      </c>
      <c r="G731">
        <v>2</v>
      </c>
      <c r="H731">
        <v>6</v>
      </c>
    </row>
    <row r="732" spans="1:8" x14ac:dyDescent="0.3">
      <c r="A732">
        <v>731</v>
      </c>
      <c r="B732">
        <v>910</v>
      </c>
      <c r="C732" t="s">
        <v>5248</v>
      </c>
      <c r="D732" s="1">
        <v>42791</v>
      </c>
      <c r="E732" s="1">
        <v>42793</v>
      </c>
      <c r="F732" s="1">
        <v>42793</v>
      </c>
      <c r="G732">
        <v>3</v>
      </c>
      <c r="H732">
        <v>9</v>
      </c>
    </row>
    <row r="733" spans="1:8" x14ac:dyDescent="0.3">
      <c r="A733">
        <v>732</v>
      </c>
      <c r="B733">
        <v>147</v>
      </c>
      <c r="C733" t="s">
        <v>5248</v>
      </c>
      <c r="D733" s="1">
        <v>42792</v>
      </c>
      <c r="E733" s="1">
        <v>42793</v>
      </c>
      <c r="F733" s="1">
        <v>42795</v>
      </c>
      <c r="G733">
        <v>2</v>
      </c>
      <c r="H733">
        <v>7</v>
      </c>
    </row>
    <row r="734" spans="1:8" x14ac:dyDescent="0.3">
      <c r="A734">
        <v>733</v>
      </c>
      <c r="B734">
        <v>832</v>
      </c>
      <c r="C734" t="s">
        <v>5248</v>
      </c>
      <c r="D734" s="1">
        <v>42792</v>
      </c>
      <c r="E734" s="1">
        <v>42795</v>
      </c>
      <c r="F734" s="1">
        <v>42793</v>
      </c>
      <c r="G734">
        <v>2</v>
      </c>
      <c r="H734">
        <v>7</v>
      </c>
    </row>
    <row r="735" spans="1:8" x14ac:dyDescent="0.3">
      <c r="A735">
        <v>734</v>
      </c>
      <c r="B735">
        <v>939</v>
      </c>
      <c r="C735" t="s">
        <v>5248</v>
      </c>
      <c r="D735" s="1">
        <v>42792</v>
      </c>
      <c r="E735" s="1">
        <v>42794</v>
      </c>
      <c r="F735" s="1">
        <v>42795</v>
      </c>
      <c r="G735">
        <v>3</v>
      </c>
      <c r="H735">
        <v>9</v>
      </c>
    </row>
    <row r="736" spans="1:8" x14ac:dyDescent="0.3">
      <c r="A736">
        <v>735</v>
      </c>
      <c r="B736">
        <v>20</v>
      </c>
      <c r="C736" t="s">
        <v>5249</v>
      </c>
      <c r="D736" s="1">
        <v>42793</v>
      </c>
      <c r="E736" s="1">
        <v>42793</v>
      </c>
      <c r="F736" s="1"/>
      <c r="G736">
        <v>3</v>
      </c>
      <c r="H736">
        <v>9</v>
      </c>
    </row>
    <row r="737" spans="1:8" x14ac:dyDescent="0.3">
      <c r="A737">
        <v>736</v>
      </c>
      <c r="B737">
        <v>184</v>
      </c>
      <c r="C737" t="s">
        <v>5248</v>
      </c>
      <c r="D737" s="1">
        <v>42793</v>
      </c>
      <c r="E737" s="1">
        <v>42794</v>
      </c>
      <c r="F737" s="1">
        <v>42794</v>
      </c>
      <c r="G737">
        <v>2</v>
      </c>
      <c r="H737">
        <v>7</v>
      </c>
    </row>
    <row r="738" spans="1:8" x14ac:dyDescent="0.3">
      <c r="A738">
        <v>737</v>
      </c>
      <c r="B738">
        <v>694</v>
      </c>
      <c r="C738" t="s">
        <v>5248</v>
      </c>
      <c r="D738" s="1">
        <v>42793</v>
      </c>
      <c r="E738" s="1">
        <v>42795</v>
      </c>
      <c r="F738" s="1">
        <v>42794</v>
      </c>
      <c r="G738">
        <v>2</v>
      </c>
      <c r="H738">
        <v>6</v>
      </c>
    </row>
    <row r="739" spans="1:8" x14ac:dyDescent="0.3">
      <c r="A739">
        <v>738</v>
      </c>
      <c r="B739">
        <v>124</v>
      </c>
      <c r="C739" t="s">
        <v>5248</v>
      </c>
      <c r="D739" s="1">
        <v>42794</v>
      </c>
      <c r="E739" s="1">
        <v>42795</v>
      </c>
      <c r="F739" s="1">
        <v>42797</v>
      </c>
      <c r="G739">
        <v>1</v>
      </c>
      <c r="H739">
        <v>2</v>
      </c>
    </row>
    <row r="740" spans="1:8" x14ac:dyDescent="0.3">
      <c r="A740">
        <v>739</v>
      </c>
      <c r="B740">
        <v>49</v>
      </c>
      <c r="C740" t="s">
        <v>5248</v>
      </c>
      <c r="D740" s="1">
        <v>42794</v>
      </c>
      <c r="E740" s="1">
        <v>42795</v>
      </c>
      <c r="F740" s="1">
        <v>42796</v>
      </c>
      <c r="G740">
        <v>2</v>
      </c>
      <c r="H740">
        <v>6</v>
      </c>
    </row>
    <row r="741" spans="1:8" x14ac:dyDescent="0.3">
      <c r="A741">
        <v>740</v>
      </c>
      <c r="B741">
        <v>1113</v>
      </c>
      <c r="C741" t="s">
        <v>5248</v>
      </c>
      <c r="D741" s="1">
        <v>42794</v>
      </c>
      <c r="E741" s="1">
        <v>42795</v>
      </c>
      <c r="F741" s="1">
        <v>42796</v>
      </c>
      <c r="G741">
        <v>2</v>
      </c>
      <c r="H741">
        <v>6</v>
      </c>
    </row>
    <row r="742" spans="1:8" x14ac:dyDescent="0.3">
      <c r="A742">
        <v>741</v>
      </c>
      <c r="B742">
        <v>119</v>
      </c>
      <c r="C742" t="s">
        <v>5248</v>
      </c>
      <c r="D742" s="1">
        <v>42794</v>
      </c>
      <c r="E742" s="1">
        <v>42795</v>
      </c>
      <c r="F742" s="1">
        <v>42795</v>
      </c>
      <c r="G742">
        <v>3</v>
      </c>
      <c r="H742">
        <v>8</v>
      </c>
    </row>
    <row r="743" spans="1:8" x14ac:dyDescent="0.3">
      <c r="A743">
        <v>742</v>
      </c>
      <c r="B743">
        <v>433</v>
      </c>
      <c r="C743" t="s">
        <v>5248</v>
      </c>
      <c r="D743" s="1">
        <v>42794</v>
      </c>
      <c r="E743" s="1">
        <v>42795</v>
      </c>
      <c r="F743" s="1">
        <v>42795</v>
      </c>
      <c r="G743">
        <v>3</v>
      </c>
      <c r="H743">
        <v>9</v>
      </c>
    </row>
    <row r="744" spans="1:8" x14ac:dyDescent="0.3">
      <c r="A744">
        <v>743</v>
      </c>
      <c r="B744">
        <v>137</v>
      </c>
      <c r="C744" t="s">
        <v>5248</v>
      </c>
      <c r="D744" s="1">
        <v>42795</v>
      </c>
      <c r="E744" s="1">
        <v>42798</v>
      </c>
      <c r="F744" s="1">
        <v>42798</v>
      </c>
      <c r="G744">
        <v>2</v>
      </c>
      <c r="H744">
        <v>6</v>
      </c>
    </row>
    <row r="745" spans="1:8" x14ac:dyDescent="0.3">
      <c r="A745">
        <v>744</v>
      </c>
      <c r="B745">
        <v>166</v>
      </c>
      <c r="C745" t="s">
        <v>5248</v>
      </c>
      <c r="D745" s="1">
        <v>42795</v>
      </c>
      <c r="E745" s="1">
        <v>42796</v>
      </c>
      <c r="F745" s="1">
        <v>42796</v>
      </c>
      <c r="G745">
        <v>2</v>
      </c>
      <c r="H745">
        <v>7</v>
      </c>
    </row>
    <row r="746" spans="1:8" x14ac:dyDescent="0.3">
      <c r="A746">
        <v>745</v>
      </c>
      <c r="B746">
        <v>698</v>
      </c>
      <c r="C746" t="s">
        <v>5248</v>
      </c>
      <c r="D746" s="1">
        <v>42795</v>
      </c>
      <c r="E746" s="1">
        <v>42797</v>
      </c>
      <c r="F746" s="1">
        <v>42797</v>
      </c>
      <c r="G746">
        <v>2</v>
      </c>
      <c r="H746">
        <v>7</v>
      </c>
    </row>
    <row r="747" spans="1:8" x14ac:dyDescent="0.3">
      <c r="A747">
        <v>746</v>
      </c>
      <c r="B747">
        <v>391</v>
      </c>
      <c r="C747" t="s">
        <v>5248</v>
      </c>
      <c r="D747" s="1">
        <v>42796</v>
      </c>
      <c r="E747" s="1">
        <v>42798</v>
      </c>
      <c r="F747" s="1">
        <v>42799</v>
      </c>
      <c r="G747">
        <v>1</v>
      </c>
      <c r="H747">
        <v>3</v>
      </c>
    </row>
    <row r="748" spans="1:8" x14ac:dyDescent="0.3">
      <c r="A748">
        <v>747</v>
      </c>
      <c r="B748">
        <v>87</v>
      </c>
      <c r="C748" t="s">
        <v>5248</v>
      </c>
      <c r="D748" s="1">
        <v>42797</v>
      </c>
      <c r="E748" s="1">
        <v>42798</v>
      </c>
      <c r="F748" s="1">
        <v>42799</v>
      </c>
      <c r="G748">
        <v>1</v>
      </c>
      <c r="H748">
        <v>3</v>
      </c>
    </row>
    <row r="749" spans="1:8" x14ac:dyDescent="0.3">
      <c r="A749">
        <v>748</v>
      </c>
      <c r="B749">
        <v>1072</v>
      </c>
      <c r="C749" t="s">
        <v>5248</v>
      </c>
      <c r="D749" s="1">
        <v>42797</v>
      </c>
      <c r="E749" s="1">
        <v>42799</v>
      </c>
      <c r="F749" s="1">
        <v>42798</v>
      </c>
      <c r="G749">
        <v>3</v>
      </c>
      <c r="H749">
        <v>8</v>
      </c>
    </row>
    <row r="750" spans="1:8" x14ac:dyDescent="0.3">
      <c r="A750">
        <v>749</v>
      </c>
      <c r="B750">
        <v>255</v>
      </c>
      <c r="C750" t="s">
        <v>5248</v>
      </c>
      <c r="D750" s="1">
        <v>42798</v>
      </c>
      <c r="E750" s="1">
        <v>42801</v>
      </c>
      <c r="F750" s="1">
        <v>42799</v>
      </c>
      <c r="G750">
        <v>2</v>
      </c>
      <c r="H750">
        <v>7</v>
      </c>
    </row>
    <row r="751" spans="1:8" x14ac:dyDescent="0.3">
      <c r="A751">
        <v>750</v>
      </c>
      <c r="B751">
        <v>232</v>
      </c>
      <c r="C751" t="s">
        <v>5248</v>
      </c>
      <c r="D751" s="1">
        <v>42798</v>
      </c>
      <c r="E751" s="1">
        <v>42801</v>
      </c>
      <c r="F751" s="1">
        <v>42799</v>
      </c>
      <c r="G751">
        <v>3</v>
      </c>
      <c r="H751">
        <v>8</v>
      </c>
    </row>
    <row r="752" spans="1:8" x14ac:dyDescent="0.3">
      <c r="A752">
        <v>751</v>
      </c>
      <c r="B752">
        <v>731</v>
      </c>
      <c r="C752" t="s">
        <v>5248</v>
      </c>
      <c r="D752" s="1">
        <v>42799</v>
      </c>
      <c r="E752" s="1">
        <v>42802</v>
      </c>
      <c r="F752" s="1">
        <v>42801</v>
      </c>
      <c r="G752">
        <v>1</v>
      </c>
      <c r="H752">
        <v>3</v>
      </c>
    </row>
    <row r="753" spans="1:8" x14ac:dyDescent="0.3">
      <c r="A753">
        <v>752</v>
      </c>
      <c r="B753">
        <v>335</v>
      </c>
      <c r="C753" t="s">
        <v>5248</v>
      </c>
      <c r="D753" s="1">
        <v>42799</v>
      </c>
      <c r="E753" s="1">
        <v>42800</v>
      </c>
      <c r="F753" s="1">
        <v>42801</v>
      </c>
      <c r="G753">
        <v>2</v>
      </c>
      <c r="H753">
        <v>6</v>
      </c>
    </row>
    <row r="754" spans="1:8" x14ac:dyDescent="0.3">
      <c r="A754">
        <v>753</v>
      </c>
      <c r="B754">
        <v>1201</v>
      </c>
      <c r="C754" t="s">
        <v>5248</v>
      </c>
      <c r="D754" s="1">
        <v>42799</v>
      </c>
      <c r="E754" s="1">
        <v>42802</v>
      </c>
      <c r="F754" s="1">
        <v>42802</v>
      </c>
      <c r="G754">
        <v>2</v>
      </c>
      <c r="H754">
        <v>7</v>
      </c>
    </row>
    <row r="755" spans="1:8" x14ac:dyDescent="0.3">
      <c r="A755">
        <v>754</v>
      </c>
      <c r="B755">
        <v>646</v>
      </c>
      <c r="C755" t="s">
        <v>5248</v>
      </c>
      <c r="D755" s="1">
        <v>42800</v>
      </c>
      <c r="E755" s="1">
        <v>42801</v>
      </c>
      <c r="F755" s="1">
        <v>42802</v>
      </c>
      <c r="G755">
        <v>1</v>
      </c>
      <c r="H755">
        <v>2</v>
      </c>
    </row>
    <row r="756" spans="1:8" x14ac:dyDescent="0.3">
      <c r="A756">
        <v>755</v>
      </c>
      <c r="B756">
        <v>531</v>
      </c>
      <c r="C756" t="s">
        <v>5248</v>
      </c>
      <c r="D756" s="1">
        <v>42800</v>
      </c>
      <c r="E756" s="1">
        <v>42801</v>
      </c>
      <c r="F756" s="1">
        <v>42801</v>
      </c>
      <c r="G756">
        <v>2</v>
      </c>
      <c r="H756">
        <v>6</v>
      </c>
    </row>
    <row r="757" spans="1:8" x14ac:dyDescent="0.3">
      <c r="A757">
        <v>756</v>
      </c>
      <c r="B757">
        <v>1143</v>
      </c>
      <c r="C757" t="s">
        <v>5248</v>
      </c>
      <c r="D757" s="1">
        <v>42800</v>
      </c>
      <c r="E757" s="1">
        <v>42801</v>
      </c>
      <c r="F757" s="1">
        <v>42803</v>
      </c>
      <c r="G757">
        <v>2</v>
      </c>
      <c r="H757">
        <v>6</v>
      </c>
    </row>
    <row r="758" spans="1:8" x14ac:dyDescent="0.3">
      <c r="A758">
        <v>757</v>
      </c>
      <c r="B758">
        <v>1336</v>
      </c>
      <c r="C758" t="s">
        <v>5248</v>
      </c>
      <c r="D758" s="1">
        <v>42800</v>
      </c>
      <c r="E758" s="1">
        <v>42802</v>
      </c>
      <c r="F758" s="1">
        <v>42803</v>
      </c>
      <c r="G758">
        <v>2</v>
      </c>
      <c r="H758">
        <v>7</v>
      </c>
    </row>
    <row r="759" spans="1:8" x14ac:dyDescent="0.3">
      <c r="A759">
        <v>758</v>
      </c>
      <c r="B759">
        <v>953</v>
      </c>
      <c r="C759" t="s">
        <v>5248</v>
      </c>
      <c r="D759" s="1">
        <v>42800</v>
      </c>
      <c r="E759" s="1">
        <v>42802</v>
      </c>
      <c r="F759" s="1">
        <v>42801</v>
      </c>
      <c r="G759">
        <v>3</v>
      </c>
      <c r="H759">
        <v>9</v>
      </c>
    </row>
    <row r="760" spans="1:8" x14ac:dyDescent="0.3">
      <c r="A760">
        <v>759</v>
      </c>
      <c r="B760">
        <v>284</v>
      </c>
      <c r="C760" t="s">
        <v>5248</v>
      </c>
      <c r="D760" s="1">
        <v>42801</v>
      </c>
      <c r="E760" s="1">
        <v>42803</v>
      </c>
      <c r="F760" s="1">
        <v>42802</v>
      </c>
      <c r="G760">
        <v>2</v>
      </c>
      <c r="H760">
        <v>7</v>
      </c>
    </row>
    <row r="761" spans="1:8" x14ac:dyDescent="0.3">
      <c r="A761">
        <v>760</v>
      </c>
      <c r="B761">
        <v>1104</v>
      </c>
      <c r="C761" t="s">
        <v>5248</v>
      </c>
      <c r="D761" s="1">
        <v>42801</v>
      </c>
      <c r="E761" s="1">
        <v>42804</v>
      </c>
      <c r="F761" s="1">
        <v>42804</v>
      </c>
      <c r="G761">
        <v>2</v>
      </c>
      <c r="H761">
        <v>6</v>
      </c>
    </row>
    <row r="762" spans="1:8" x14ac:dyDescent="0.3">
      <c r="A762">
        <v>761</v>
      </c>
      <c r="B762">
        <v>1291</v>
      </c>
      <c r="C762" t="s">
        <v>5248</v>
      </c>
      <c r="D762" s="1">
        <v>42801</v>
      </c>
      <c r="E762" s="1">
        <v>42802</v>
      </c>
      <c r="F762" s="1">
        <v>42804</v>
      </c>
      <c r="G762">
        <v>2</v>
      </c>
      <c r="H762">
        <v>7</v>
      </c>
    </row>
    <row r="763" spans="1:8" x14ac:dyDescent="0.3">
      <c r="A763">
        <v>762</v>
      </c>
      <c r="B763">
        <v>572</v>
      </c>
      <c r="C763" t="s">
        <v>5248</v>
      </c>
      <c r="D763" s="1">
        <v>42802</v>
      </c>
      <c r="E763" s="1">
        <v>42803</v>
      </c>
      <c r="F763" s="1">
        <v>42803</v>
      </c>
      <c r="G763">
        <v>2</v>
      </c>
      <c r="H763">
        <v>6</v>
      </c>
    </row>
    <row r="764" spans="1:8" x14ac:dyDescent="0.3">
      <c r="A764">
        <v>763</v>
      </c>
      <c r="B764">
        <v>842</v>
      </c>
      <c r="C764" t="s">
        <v>5248</v>
      </c>
      <c r="D764" s="1">
        <v>42802</v>
      </c>
      <c r="E764" s="1">
        <v>42804</v>
      </c>
      <c r="F764" s="1">
        <v>42803</v>
      </c>
      <c r="G764">
        <v>3</v>
      </c>
      <c r="H764">
        <v>9</v>
      </c>
    </row>
    <row r="765" spans="1:8" x14ac:dyDescent="0.3">
      <c r="A765">
        <v>764</v>
      </c>
      <c r="B765">
        <v>701</v>
      </c>
      <c r="C765" t="s">
        <v>5248</v>
      </c>
      <c r="D765" s="1">
        <v>42803</v>
      </c>
      <c r="E765" s="1">
        <v>42804</v>
      </c>
      <c r="F765" s="1">
        <v>42806</v>
      </c>
      <c r="G765">
        <v>1</v>
      </c>
      <c r="H765">
        <v>2</v>
      </c>
    </row>
    <row r="766" spans="1:8" x14ac:dyDescent="0.3">
      <c r="A766">
        <v>765</v>
      </c>
      <c r="B766">
        <v>1152</v>
      </c>
      <c r="C766" t="s">
        <v>5248</v>
      </c>
      <c r="D766" s="1">
        <v>42803</v>
      </c>
      <c r="E766" s="1">
        <v>42805</v>
      </c>
      <c r="F766" s="1">
        <v>42806</v>
      </c>
      <c r="G766">
        <v>1</v>
      </c>
      <c r="H766">
        <v>2</v>
      </c>
    </row>
    <row r="767" spans="1:8" x14ac:dyDescent="0.3">
      <c r="A767">
        <v>766</v>
      </c>
      <c r="B767">
        <v>141</v>
      </c>
      <c r="C767" t="s">
        <v>5248</v>
      </c>
      <c r="D767" s="1">
        <v>42803</v>
      </c>
      <c r="E767" s="1">
        <v>42805</v>
      </c>
      <c r="F767" s="1">
        <v>42806</v>
      </c>
      <c r="G767">
        <v>2</v>
      </c>
      <c r="H767">
        <v>6</v>
      </c>
    </row>
    <row r="768" spans="1:8" x14ac:dyDescent="0.3">
      <c r="A768">
        <v>767</v>
      </c>
      <c r="B768">
        <v>564</v>
      </c>
      <c r="C768" t="s">
        <v>5248</v>
      </c>
      <c r="D768" s="1">
        <v>42803</v>
      </c>
      <c r="E768" s="1">
        <v>42804</v>
      </c>
      <c r="F768" s="1">
        <v>42805</v>
      </c>
      <c r="G768">
        <v>2</v>
      </c>
      <c r="H768">
        <v>7</v>
      </c>
    </row>
    <row r="769" spans="1:8" x14ac:dyDescent="0.3">
      <c r="A769">
        <v>768</v>
      </c>
      <c r="B769">
        <v>841</v>
      </c>
      <c r="C769" t="s">
        <v>5248</v>
      </c>
      <c r="D769" s="1">
        <v>42803</v>
      </c>
      <c r="E769" s="1">
        <v>42806</v>
      </c>
      <c r="F769" s="1">
        <v>42804</v>
      </c>
      <c r="G769">
        <v>2</v>
      </c>
      <c r="H769">
        <v>7</v>
      </c>
    </row>
    <row r="770" spans="1:8" x14ac:dyDescent="0.3">
      <c r="A770">
        <v>769</v>
      </c>
      <c r="B770">
        <v>946</v>
      </c>
      <c r="C770" t="s">
        <v>5248</v>
      </c>
      <c r="D770" s="1">
        <v>42803</v>
      </c>
      <c r="E770" s="1">
        <v>42805</v>
      </c>
      <c r="F770" s="1">
        <v>42805</v>
      </c>
      <c r="G770">
        <v>2</v>
      </c>
      <c r="H770">
        <v>6</v>
      </c>
    </row>
    <row r="771" spans="1:8" x14ac:dyDescent="0.3">
      <c r="A771">
        <v>770</v>
      </c>
      <c r="B771">
        <v>135</v>
      </c>
      <c r="C771" t="s">
        <v>5248</v>
      </c>
      <c r="D771" s="1">
        <v>42803</v>
      </c>
      <c r="E771" s="1">
        <v>42805</v>
      </c>
      <c r="F771" s="1">
        <v>42805</v>
      </c>
      <c r="G771">
        <v>3</v>
      </c>
      <c r="H771">
        <v>9</v>
      </c>
    </row>
    <row r="772" spans="1:8" x14ac:dyDescent="0.3">
      <c r="A772">
        <v>771</v>
      </c>
      <c r="B772">
        <v>671</v>
      </c>
      <c r="C772" t="s">
        <v>5248</v>
      </c>
      <c r="D772" s="1">
        <v>42805</v>
      </c>
      <c r="E772" s="1">
        <v>42808</v>
      </c>
      <c r="F772" s="1">
        <v>42806</v>
      </c>
      <c r="G772">
        <v>1</v>
      </c>
      <c r="H772">
        <v>3</v>
      </c>
    </row>
    <row r="773" spans="1:8" x14ac:dyDescent="0.3">
      <c r="A773">
        <v>772</v>
      </c>
      <c r="B773">
        <v>448</v>
      </c>
      <c r="C773" t="s">
        <v>5248</v>
      </c>
      <c r="D773" s="1">
        <v>42805</v>
      </c>
      <c r="E773" s="1">
        <v>42806</v>
      </c>
      <c r="F773" s="1">
        <v>42807</v>
      </c>
      <c r="G773">
        <v>2</v>
      </c>
      <c r="H773">
        <v>7</v>
      </c>
    </row>
    <row r="774" spans="1:8" x14ac:dyDescent="0.3">
      <c r="A774">
        <v>773</v>
      </c>
      <c r="B774">
        <v>1385</v>
      </c>
      <c r="C774" t="s">
        <v>5248</v>
      </c>
      <c r="D774" s="1">
        <v>42805</v>
      </c>
      <c r="E774" s="1">
        <v>42806</v>
      </c>
      <c r="F774" s="1">
        <v>42806</v>
      </c>
      <c r="G774">
        <v>2</v>
      </c>
      <c r="H774">
        <v>6</v>
      </c>
    </row>
    <row r="775" spans="1:8" x14ac:dyDescent="0.3">
      <c r="A775">
        <v>774</v>
      </c>
      <c r="B775">
        <v>690</v>
      </c>
      <c r="C775" t="s">
        <v>5248</v>
      </c>
      <c r="D775" s="1">
        <v>42806</v>
      </c>
      <c r="E775" s="1">
        <v>42808</v>
      </c>
      <c r="F775" s="1">
        <v>42808</v>
      </c>
      <c r="G775">
        <v>2</v>
      </c>
      <c r="H775">
        <v>6</v>
      </c>
    </row>
    <row r="776" spans="1:8" x14ac:dyDescent="0.3">
      <c r="A776">
        <v>775</v>
      </c>
      <c r="B776">
        <v>968</v>
      </c>
      <c r="C776" t="s">
        <v>5248</v>
      </c>
      <c r="D776" s="1">
        <v>42806</v>
      </c>
      <c r="E776" s="1">
        <v>42807</v>
      </c>
      <c r="F776" s="1">
        <v>42807</v>
      </c>
      <c r="G776">
        <v>2</v>
      </c>
      <c r="H776">
        <v>6</v>
      </c>
    </row>
    <row r="777" spans="1:8" x14ac:dyDescent="0.3">
      <c r="A777">
        <v>776</v>
      </c>
      <c r="B777">
        <v>490</v>
      </c>
      <c r="C777" t="s">
        <v>5248</v>
      </c>
      <c r="D777" s="1">
        <v>42807</v>
      </c>
      <c r="E777" s="1">
        <v>42809</v>
      </c>
      <c r="F777" s="1">
        <v>42810</v>
      </c>
      <c r="G777">
        <v>2</v>
      </c>
      <c r="H777">
        <v>6</v>
      </c>
    </row>
    <row r="778" spans="1:8" x14ac:dyDescent="0.3">
      <c r="A778">
        <v>777</v>
      </c>
      <c r="B778">
        <v>496</v>
      </c>
      <c r="C778" t="s">
        <v>5248</v>
      </c>
      <c r="D778" s="1">
        <v>42807</v>
      </c>
      <c r="E778" s="1">
        <v>42810</v>
      </c>
      <c r="F778" s="1">
        <v>42810</v>
      </c>
      <c r="G778">
        <v>2</v>
      </c>
      <c r="H778">
        <v>6</v>
      </c>
    </row>
    <row r="779" spans="1:8" x14ac:dyDescent="0.3">
      <c r="A779">
        <v>778</v>
      </c>
      <c r="B779">
        <v>56</v>
      </c>
      <c r="C779" t="s">
        <v>5249</v>
      </c>
      <c r="D779" s="1">
        <v>42809</v>
      </c>
      <c r="E779" s="1">
        <v>42809</v>
      </c>
      <c r="F779" s="1"/>
      <c r="G779">
        <v>3</v>
      </c>
      <c r="H779">
        <v>9</v>
      </c>
    </row>
    <row r="780" spans="1:8" x14ac:dyDescent="0.3">
      <c r="A780">
        <v>779</v>
      </c>
      <c r="B780">
        <v>367</v>
      </c>
      <c r="C780" t="s">
        <v>5248</v>
      </c>
      <c r="D780" s="1">
        <v>42809</v>
      </c>
      <c r="E780" s="1">
        <v>42810</v>
      </c>
      <c r="F780" s="1">
        <v>42812</v>
      </c>
      <c r="G780">
        <v>2</v>
      </c>
      <c r="H780">
        <v>6</v>
      </c>
    </row>
    <row r="781" spans="1:8" x14ac:dyDescent="0.3">
      <c r="A781">
        <v>780</v>
      </c>
      <c r="B781">
        <v>592</v>
      </c>
      <c r="C781" t="s">
        <v>5248</v>
      </c>
      <c r="D781" s="1">
        <v>42809</v>
      </c>
      <c r="E781" s="1">
        <v>42811</v>
      </c>
      <c r="F781" s="1">
        <v>42811</v>
      </c>
      <c r="G781">
        <v>2</v>
      </c>
      <c r="H781">
        <v>6</v>
      </c>
    </row>
    <row r="782" spans="1:8" x14ac:dyDescent="0.3">
      <c r="A782">
        <v>781</v>
      </c>
      <c r="B782">
        <v>1018</v>
      </c>
      <c r="C782" t="s">
        <v>5248</v>
      </c>
      <c r="D782" s="1">
        <v>42809</v>
      </c>
      <c r="E782" s="1">
        <v>42810</v>
      </c>
      <c r="F782" s="1">
        <v>42811</v>
      </c>
      <c r="G782">
        <v>2</v>
      </c>
      <c r="H782">
        <v>6</v>
      </c>
    </row>
    <row r="783" spans="1:8" x14ac:dyDescent="0.3">
      <c r="A783">
        <v>782</v>
      </c>
      <c r="B783">
        <v>1298</v>
      </c>
      <c r="C783" t="s">
        <v>5248</v>
      </c>
      <c r="D783" s="1">
        <v>42809</v>
      </c>
      <c r="E783" s="1">
        <v>42810</v>
      </c>
      <c r="F783" s="1">
        <v>42812</v>
      </c>
      <c r="G783">
        <v>2</v>
      </c>
      <c r="H783">
        <v>7</v>
      </c>
    </row>
    <row r="784" spans="1:8" x14ac:dyDescent="0.3">
      <c r="A784">
        <v>783</v>
      </c>
      <c r="B784">
        <v>1343</v>
      </c>
      <c r="C784" t="s">
        <v>5248</v>
      </c>
      <c r="D784" s="1">
        <v>42810</v>
      </c>
      <c r="E784" s="1">
        <v>42813</v>
      </c>
      <c r="F784" s="1">
        <v>42811</v>
      </c>
      <c r="G784">
        <v>1</v>
      </c>
      <c r="H784">
        <v>2</v>
      </c>
    </row>
    <row r="785" spans="1:8" x14ac:dyDescent="0.3">
      <c r="A785">
        <v>784</v>
      </c>
      <c r="B785">
        <v>430</v>
      </c>
      <c r="C785" t="s">
        <v>5248</v>
      </c>
      <c r="D785" s="1">
        <v>42810</v>
      </c>
      <c r="E785" s="1">
        <v>42813</v>
      </c>
      <c r="F785" s="1">
        <v>42813</v>
      </c>
      <c r="G785">
        <v>2</v>
      </c>
      <c r="H785">
        <v>7</v>
      </c>
    </row>
    <row r="786" spans="1:8" x14ac:dyDescent="0.3">
      <c r="A786">
        <v>785</v>
      </c>
      <c r="B786">
        <v>794</v>
      </c>
      <c r="C786" t="s">
        <v>5248</v>
      </c>
      <c r="D786" s="1">
        <v>42812</v>
      </c>
      <c r="E786" s="1">
        <v>42813</v>
      </c>
      <c r="F786" s="1">
        <v>42814</v>
      </c>
      <c r="G786">
        <v>1</v>
      </c>
      <c r="H786">
        <v>2</v>
      </c>
    </row>
    <row r="787" spans="1:8" x14ac:dyDescent="0.3">
      <c r="A787">
        <v>786</v>
      </c>
      <c r="B787">
        <v>249</v>
      </c>
      <c r="C787" t="s">
        <v>5248</v>
      </c>
      <c r="D787" s="1">
        <v>42812</v>
      </c>
      <c r="E787" s="1">
        <v>42814</v>
      </c>
      <c r="F787" s="1">
        <v>42813</v>
      </c>
      <c r="G787">
        <v>2</v>
      </c>
      <c r="H787">
        <v>6</v>
      </c>
    </row>
    <row r="788" spans="1:8" x14ac:dyDescent="0.3">
      <c r="A788">
        <v>787</v>
      </c>
      <c r="B788">
        <v>700</v>
      </c>
      <c r="C788" t="s">
        <v>5248</v>
      </c>
      <c r="D788" s="1">
        <v>42812</v>
      </c>
      <c r="E788" s="1">
        <v>42814</v>
      </c>
      <c r="F788" s="1">
        <v>42813</v>
      </c>
      <c r="G788">
        <v>3</v>
      </c>
      <c r="H788">
        <v>9</v>
      </c>
    </row>
    <row r="789" spans="1:8" x14ac:dyDescent="0.3">
      <c r="A789">
        <v>788</v>
      </c>
      <c r="B789">
        <v>1363</v>
      </c>
      <c r="C789" t="s">
        <v>5248</v>
      </c>
      <c r="D789" s="1">
        <v>42812</v>
      </c>
      <c r="E789" s="1">
        <v>42814</v>
      </c>
      <c r="F789" s="1">
        <v>42814</v>
      </c>
      <c r="G789">
        <v>3</v>
      </c>
      <c r="H789">
        <v>9</v>
      </c>
    </row>
    <row r="790" spans="1:8" x14ac:dyDescent="0.3">
      <c r="A790">
        <v>789</v>
      </c>
      <c r="B790">
        <v>772</v>
      </c>
      <c r="C790" t="s">
        <v>5248</v>
      </c>
      <c r="D790" s="1">
        <v>42813</v>
      </c>
      <c r="E790" s="1">
        <v>42814</v>
      </c>
      <c r="F790" s="1">
        <v>42814</v>
      </c>
      <c r="G790">
        <v>2</v>
      </c>
      <c r="H790">
        <v>6</v>
      </c>
    </row>
    <row r="791" spans="1:8" x14ac:dyDescent="0.3">
      <c r="A791">
        <v>790</v>
      </c>
      <c r="B791">
        <v>1015</v>
      </c>
      <c r="C791" t="s">
        <v>5248</v>
      </c>
      <c r="D791" s="1">
        <v>42813</v>
      </c>
      <c r="E791" s="1">
        <v>42815</v>
      </c>
      <c r="F791" s="1">
        <v>42816</v>
      </c>
      <c r="G791">
        <v>2</v>
      </c>
      <c r="H791">
        <v>7</v>
      </c>
    </row>
    <row r="792" spans="1:8" x14ac:dyDescent="0.3">
      <c r="A792">
        <v>791</v>
      </c>
      <c r="B792">
        <v>432</v>
      </c>
      <c r="C792" t="s">
        <v>5248</v>
      </c>
      <c r="D792" s="1">
        <v>42814</v>
      </c>
      <c r="E792" s="1">
        <v>42816</v>
      </c>
      <c r="F792" s="1">
        <v>42817</v>
      </c>
      <c r="G792">
        <v>2</v>
      </c>
      <c r="H792">
        <v>6</v>
      </c>
    </row>
    <row r="793" spans="1:8" x14ac:dyDescent="0.3">
      <c r="A793">
        <v>792</v>
      </c>
      <c r="B793">
        <v>479</v>
      </c>
      <c r="C793" t="s">
        <v>5248</v>
      </c>
      <c r="D793" s="1">
        <v>42816</v>
      </c>
      <c r="E793" s="1">
        <v>42817</v>
      </c>
      <c r="F793" s="1">
        <v>42818</v>
      </c>
      <c r="G793">
        <v>2</v>
      </c>
      <c r="H793">
        <v>6</v>
      </c>
    </row>
    <row r="794" spans="1:8" x14ac:dyDescent="0.3">
      <c r="A794">
        <v>793</v>
      </c>
      <c r="B794">
        <v>653</v>
      </c>
      <c r="C794" t="s">
        <v>5248</v>
      </c>
      <c r="D794" s="1">
        <v>42817</v>
      </c>
      <c r="E794" s="1">
        <v>42818</v>
      </c>
      <c r="F794" s="1">
        <v>42818</v>
      </c>
      <c r="G794">
        <v>2</v>
      </c>
      <c r="H794">
        <v>6</v>
      </c>
    </row>
    <row r="795" spans="1:8" x14ac:dyDescent="0.3">
      <c r="A795">
        <v>794</v>
      </c>
      <c r="B795">
        <v>863</v>
      </c>
      <c r="C795" t="s">
        <v>5248</v>
      </c>
      <c r="D795" s="1">
        <v>42817</v>
      </c>
      <c r="E795" s="1">
        <v>42819</v>
      </c>
      <c r="F795" s="1">
        <v>42818</v>
      </c>
      <c r="G795">
        <v>2</v>
      </c>
      <c r="H795">
        <v>7</v>
      </c>
    </row>
    <row r="796" spans="1:8" x14ac:dyDescent="0.3">
      <c r="A796">
        <v>795</v>
      </c>
      <c r="B796">
        <v>992</v>
      </c>
      <c r="C796" t="s">
        <v>5248</v>
      </c>
      <c r="D796" s="1">
        <v>42817</v>
      </c>
      <c r="E796" s="1">
        <v>42819</v>
      </c>
      <c r="F796" s="1">
        <v>42820</v>
      </c>
      <c r="G796">
        <v>2</v>
      </c>
      <c r="H796">
        <v>7</v>
      </c>
    </row>
    <row r="797" spans="1:8" x14ac:dyDescent="0.3">
      <c r="A797">
        <v>796</v>
      </c>
      <c r="B797">
        <v>154</v>
      </c>
      <c r="C797" t="s">
        <v>5248</v>
      </c>
      <c r="D797" s="1">
        <v>42817</v>
      </c>
      <c r="E797" s="1">
        <v>42820</v>
      </c>
      <c r="F797" s="1">
        <v>42819</v>
      </c>
      <c r="G797">
        <v>3</v>
      </c>
      <c r="H797">
        <v>9</v>
      </c>
    </row>
    <row r="798" spans="1:8" x14ac:dyDescent="0.3">
      <c r="A798">
        <v>797</v>
      </c>
      <c r="B798">
        <v>374</v>
      </c>
      <c r="C798" t="s">
        <v>5248</v>
      </c>
      <c r="D798" s="1">
        <v>42818</v>
      </c>
      <c r="E798" s="1">
        <v>42820</v>
      </c>
      <c r="F798" s="1">
        <v>42820</v>
      </c>
      <c r="G798">
        <v>2</v>
      </c>
      <c r="H798">
        <v>7</v>
      </c>
    </row>
    <row r="799" spans="1:8" x14ac:dyDescent="0.3">
      <c r="A799">
        <v>798</v>
      </c>
      <c r="B799">
        <v>619</v>
      </c>
      <c r="C799" t="s">
        <v>5248</v>
      </c>
      <c r="D799" s="1">
        <v>42820</v>
      </c>
      <c r="E799" s="1">
        <v>42822</v>
      </c>
      <c r="F799" s="1">
        <v>42823</v>
      </c>
      <c r="G799">
        <v>1</v>
      </c>
      <c r="H799">
        <v>3</v>
      </c>
    </row>
    <row r="800" spans="1:8" x14ac:dyDescent="0.3">
      <c r="A800">
        <v>799</v>
      </c>
      <c r="B800">
        <v>607</v>
      </c>
      <c r="C800" t="s">
        <v>5248</v>
      </c>
      <c r="D800" s="1">
        <v>42821</v>
      </c>
      <c r="E800" s="1">
        <v>42822</v>
      </c>
      <c r="F800" s="1">
        <v>42823</v>
      </c>
      <c r="G800">
        <v>1</v>
      </c>
      <c r="H800">
        <v>3</v>
      </c>
    </row>
    <row r="801" spans="1:8" x14ac:dyDescent="0.3">
      <c r="A801">
        <v>800</v>
      </c>
      <c r="B801">
        <v>1057</v>
      </c>
      <c r="C801" t="s">
        <v>5248</v>
      </c>
      <c r="D801" s="1">
        <v>42821</v>
      </c>
      <c r="E801" s="1">
        <v>42823</v>
      </c>
      <c r="F801" s="1">
        <v>42822</v>
      </c>
      <c r="G801">
        <v>2</v>
      </c>
      <c r="H801">
        <v>6</v>
      </c>
    </row>
    <row r="802" spans="1:8" x14ac:dyDescent="0.3">
      <c r="A802">
        <v>801</v>
      </c>
      <c r="B802">
        <v>78</v>
      </c>
      <c r="C802" t="s">
        <v>5248</v>
      </c>
      <c r="D802" s="1">
        <v>42822</v>
      </c>
      <c r="E802" s="1">
        <v>42823</v>
      </c>
      <c r="F802" s="1">
        <v>42824</v>
      </c>
      <c r="G802">
        <v>1</v>
      </c>
      <c r="H802">
        <v>2</v>
      </c>
    </row>
    <row r="803" spans="1:8" x14ac:dyDescent="0.3">
      <c r="A803">
        <v>802</v>
      </c>
      <c r="B803">
        <v>340</v>
      </c>
      <c r="C803" t="s">
        <v>5248</v>
      </c>
      <c r="D803" s="1">
        <v>42822</v>
      </c>
      <c r="E803" s="1">
        <v>42823</v>
      </c>
      <c r="F803" s="1">
        <v>42824</v>
      </c>
      <c r="G803">
        <v>2</v>
      </c>
      <c r="H803">
        <v>6</v>
      </c>
    </row>
    <row r="804" spans="1:8" x14ac:dyDescent="0.3">
      <c r="A804">
        <v>803</v>
      </c>
      <c r="B804">
        <v>1105</v>
      </c>
      <c r="C804" t="s">
        <v>5248</v>
      </c>
      <c r="D804" s="1">
        <v>42822</v>
      </c>
      <c r="E804" s="1">
        <v>42825</v>
      </c>
      <c r="F804" s="1">
        <v>42824</v>
      </c>
      <c r="G804">
        <v>3</v>
      </c>
      <c r="H804">
        <v>8</v>
      </c>
    </row>
    <row r="805" spans="1:8" x14ac:dyDescent="0.3">
      <c r="A805">
        <v>804</v>
      </c>
      <c r="B805">
        <v>95</v>
      </c>
      <c r="C805" t="s">
        <v>5248</v>
      </c>
      <c r="D805" s="1">
        <v>42823</v>
      </c>
      <c r="E805" s="1">
        <v>42825</v>
      </c>
      <c r="F805" s="1">
        <v>42824</v>
      </c>
      <c r="G805">
        <v>2</v>
      </c>
      <c r="H805">
        <v>6</v>
      </c>
    </row>
    <row r="806" spans="1:8" x14ac:dyDescent="0.3">
      <c r="A806">
        <v>805</v>
      </c>
      <c r="B806">
        <v>420</v>
      </c>
      <c r="C806" t="s">
        <v>5248</v>
      </c>
      <c r="D806" s="1">
        <v>42823</v>
      </c>
      <c r="E806" s="1">
        <v>42824</v>
      </c>
      <c r="F806" s="1">
        <v>42826</v>
      </c>
      <c r="G806">
        <v>2</v>
      </c>
      <c r="H806">
        <v>6</v>
      </c>
    </row>
    <row r="807" spans="1:8" x14ac:dyDescent="0.3">
      <c r="A807">
        <v>806</v>
      </c>
      <c r="B807">
        <v>234</v>
      </c>
      <c r="C807" t="s">
        <v>5248</v>
      </c>
      <c r="D807" s="1">
        <v>42824</v>
      </c>
      <c r="E807" s="1">
        <v>42825</v>
      </c>
      <c r="F807" s="1">
        <v>42825</v>
      </c>
      <c r="G807">
        <v>2</v>
      </c>
      <c r="H807">
        <v>7</v>
      </c>
    </row>
    <row r="808" spans="1:8" x14ac:dyDescent="0.3">
      <c r="A808">
        <v>807</v>
      </c>
      <c r="B808">
        <v>1148</v>
      </c>
      <c r="C808" t="s">
        <v>5248</v>
      </c>
      <c r="D808" s="1">
        <v>42824</v>
      </c>
      <c r="E808" s="1">
        <v>42826</v>
      </c>
      <c r="F808" s="1">
        <v>42827</v>
      </c>
      <c r="G808">
        <v>2</v>
      </c>
      <c r="H808">
        <v>6</v>
      </c>
    </row>
    <row r="809" spans="1:8" x14ac:dyDescent="0.3">
      <c r="A809">
        <v>808</v>
      </c>
      <c r="B809">
        <v>315</v>
      </c>
      <c r="C809" t="s">
        <v>5248</v>
      </c>
      <c r="D809" s="1">
        <v>42825</v>
      </c>
      <c r="E809" s="1">
        <v>42827</v>
      </c>
      <c r="F809" s="1">
        <v>42827</v>
      </c>
      <c r="G809">
        <v>2</v>
      </c>
      <c r="H809">
        <v>6</v>
      </c>
    </row>
    <row r="810" spans="1:8" x14ac:dyDescent="0.3">
      <c r="A810">
        <v>809</v>
      </c>
      <c r="B810">
        <v>1222</v>
      </c>
      <c r="C810" t="s">
        <v>5248</v>
      </c>
      <c r="D810" s="1">
        <v>42825</v>
      </c>
      <c r="E810" s="1">
        <v>42828</v>
      </c>
      <c r="F810" s="1">
        <v>42828</v>
      </c>
      <c r="G810">
        <v>2</v>
      </c>
      <c r="H810">
        <v>7</v>
      </c>
    </row>
    <row r="811" spans="1:8" x14ac:dyDescent="0.3">
      <c r="A811">
        <v>810</v>
      </c>
      <c r="B811">
        <v>153</v>
      </c>
      <c r="C811" t="s">
        <v>5249</v>
      </c>
      <c r="D811" s="1">
        <v>42826</v>
      </c>
      <c r="E811" s="1">
        <v>42826</v>
      </c>
      <c r="F811" s="1"/>
      <c r="G811">
        <v>3</v>
      </c>
      <c r="H811">
        <v>8</v>
      </c>
    </row>
    <row r="812" spans="1:8" x14ac:dyDescent="0.3">
      <c r="A812">
        <v>811</v>
      </c>
      <c r="B812">
        <v>524</v>
      </c>
      <c r="C812" t="s">
        <v>5248</v>
      </c>
      <c r="D812" s="1">
        <v>42826</v>
      </c>
      <c r="E812" s="1">
        <v>42829</v>
      </c>
      <c r="F812" s="1">
        <v>42829</v>
      </c>
      <c r="G812">
        <v>2</v>
      </c>
      <c r="H812">
        <v>7</v>
      </c>
    </row>
    <row r="813" spans="1:8" x14ac:dyDescent="0.3">
      <c r="A813">
        <v>812</v>
      </c>
      <c r="B813">
        <v>1164</v>
      </c>
      <c r="C813" t="s">
        <v>5248</v>
      </c>
      <c r="D813" s="1">
        <v>42826</v>
      </c>
      <c r="E813" s="1">
        <v>42827</v>
      </c>
      <c r="F813" s="1">
        <v>42828</v>
      </c>
      <c r="G813">
        <v>2</v>
      </c>
      <c r="H813">
        <v>7</v>
      </c>
    </row>
    <row r="814" spans="1:8" x14ac:dyDescent="0.3">
      <c r="A814">
        <v>813</v>
      </c>
      <c r="B814">
        <v>1203</v>
      </c>
      <c r="C814" t="s">
        <v>5248</v>
      </c>
      <c r="D814" s="1">
        <v>42826</v>
      </c>
      <c r="E814" s="1">
        <v>42828</v>
      </c>
      <c r="F814" s="1">
        <v>42827</v>
      </c>
      <c r="G814">
        <v>3</v>
      </c>
      <c r="H814">
        <v>9</v>
      </c>
    </row>
    <row r="815" spans="1:8" x14ac:dyDescent="0.3">
      <c r="A815">
        <v>814</v>
      </c>
      <c r="B815">
        <v>629</v>
      </c>
      <c r="C815" t="s">
        <v>5248</v>
      </c>
      <c r="D815" s="1">
        <v>42827</v>
      </c>
      <c r="E815" s="1">
        <v>42830</v>
      </c>
      <c r="F815" s="1">
        <v>42828</v>
      </c>
      <c r="G815">
        <v>2</v>
      </c>
      <c r="H815">
        <v>7</v>
      </c>
    </row>
    <row r="816" spans="1:8" x14ac:dyDescent="0.3">
      <c r="A816">
        <v>815</v>
      </c>
      <c r="B816">
        <v>1251</v>
      </c>
      <c r="C816" t="s">
        <v>5248</v>
      </c>
      <c r="D816" s="1">
        <v>42828</v>
      </c>
      <c r="E816" s="1">
        <v>42830</v>
      </c>
      <c r="F816" s="1">
        <v>42829</v>
      </c>
      <c r="G816">
        <v>1</v>
      </c>
      <c r="H816">
        <v>3</v>
      </c>
    </row>
    <row r="817" spans="1:8" x14ac:dyDescent="0.3">
      <c r="A817">
        <v>816</v>
      </c>
      <c r="B817">
        <v>811</v>
      </c>
      <c r="C817" t="s">
        <v>5248</v>
      </c>
      <c r="D817" s="1">
        <v>42828</v>
      </c>
      <c r="E817" s="1">
        <v>42830</v>
      </c>
      <c r="F817" s="1">
        <v>42830</v>
      </c>
      <c r="G817">
        <v>2</v>
      </c>
      <c r="H817">
        <v>6</v>
      </c>
    </row>
    <row r="818" spans="1:8" x14ac:dyDescent="0.3">
      <c r="A818">
        <v>817</v>
      </c>
      <c r="B818">
        <v>301</v>
      </c>
      <c r="C818" t="s">
        <v>5248</v>
      </c>
      <c r="D818" s="1">
        <v>42829</v>
      </c>
      <c r="E818" s="1">
        <v>42830</v>
      </c>
      <c r="F818" s="1">
        <v>42832</v>
      </c>
      <c r="G818">
        <v>2</v>
      </c>
      <c r="H818">
        <v>7</v>
      </c>
    </row>
    <row r="819" spans="1:8" x14ac:dyDescent="0.3">
      <c r="A819">
        <v>818</v>
      </c>
      <c r="B819">
        <v>1319</v>
      </c>
      <c r="C819" t="s">
        <v>5248</v>
      </c>
      <c r="D819" s="1">
        <v>42829</v>
      </c>
      <c r="E819" s="1">
        <v>42832</v>
      </c>
      <c r="F819" s="1">
        <v>42832</v>
      </c>
      <c r="G819">
        <v>2</v>
      </c>
      <c r="H819">
        <v>6</v>
      </c>
    </row>
    <row r="820" spans="1:8" x14ac:dyDescent="0.3">
      <c r="A820">
        <v>819</v>
      </c>
      <c r="B820">
        <v>221</v>
      </c>
      <c r="C820" t="s">
        <v>5248</v>
      </c>
      <c r="D820" s="1">
        <v>42829</v>
      </c>
      <c r="E820" s="1">
        <v>42832</v>
      </c>
      <c r="F820" s="1">
        <v>42830</v>
      </c>
      <c r="G820">
        <v>3</v>
      </c>
      <c r="H820">
        <v>9</v>
      </c>
    </row>
    <row r="821" spans="1:8" x14ac:dyDescent="0.3">
      <c r="A821">
        <v>820</v>
      </c>
      <c r="B821">
        <v>725</v>
      </c>
      <c r="C821" t="s">
        <v>5248</v>
      </c>
      <c r="D821" s="1">
        <v>42830</v>
      </c>
      <c r="E821" s="1">
        <v>42833</v>
      </c>
      <c r="F821" s="1">
        <v>42832</v>
      </c>
      <c r="G821">
        <v>2</v>
      </c>
      <c r="H821">
        <v>7</v>
      </c>
    </row>
    <row r="822" spans="1:8" x14ac:dyDescent="0.3">
      <c r="A822">
        <v>821</v>
      </c>
      <c r="B822">
        <v>1181</v>
      </c>
      <c r="C822" t="s">
        <v>5248</v>
      </c>
      <c r="D822" s="1">
        <v>42830</v>
      </c>
      <c r="E822" s="1">
        <v>42832</v>
      </c>
      <c r="F822" s="1">
        <v>42833</v>
      </c>
      <c r="G822">
        <v>2</v>
      </c>
      <c r="H822">
        <v>7</v>
      </c>
    </row>
    <row r="823" spans="1:8" x14ac:dyDescent="0.3">
      <c r="A823">
        <v>822</v>
      </c>
      <c r="B823">
        <v>294</v>
      </c>
      <c r="C823" t="s">
        <v>5248</v>
      </c>
      <c r="D823" s="1">
        <v>42831</v>
      </c>
      <c r="E823" s="1">
        <v>42833</v>
      </c>
      <c r="F823" s="1">
        <v>42834</v>
      </c>
      <c r="G823">
        <v>2</v>
      </c>
      <c r="H823">
        <v>7</v>
      </c>
    </row>
    <row r="824" spans="1:8" x14ac:dyDescent="0.3">
      <c r="A824">
        <v>823</v>
      </c>
      <c r="B824">
        <v>415</v>
      </c>
      <c r="C824" t="s">
        <v>5248</v>
      </c>
      <c r="D824" s="1">
        <v>42831</v>
      </c>
      <c r="E824" s="1">
        <v>42832</v>
      </c>
      <c r="F824" s="1">
        <v>42833</v>
      </c>
      <c r="G824">
        <v>3</v>
      </c>
      <c r="H824">
        <v>8</v>
      </c>
    </row>
    <row r="825" spans="1:8" x14ac:dyDescent="0.3">
      <c r="A825">
        <v>824</v>
      </c>
      <c r="B825">
        <v>993</v>
      </c>
      <c r="C825" t="s">
        <v>5248</v>
      </c>
      <c r="D825" s="1">
        <v>42832</v>
      </c>
      <c r="E825" s="1">
        <v>42834</v>
      </c>
      <c r="F825" s="1">
        <v>42835</v>
      </c>
      <c r="G825">
        <v>1</v>
      </c>
      <c r="H825">
        <v>2</v>
      </c>
    </row>
    <row r="826" spans="1:8" x14ac:dyDescent="0.3">
      <c r="A826">
        <v>825</v>
      </c>
      <c r="B826">
        <v>10</v>
      </c>
      <c r="C826" t="s">
        <v>5248</v>
      </c>
      <c r="D826" s="1">
        <v>42832</v>
      </c>
      <c r="E826" s="1">
        <v>42833</v>
      </c>
      <c r="F826" s="1">
        <v>42834</v>
      </c>
      <c r="G826">
        <v>2</v>
      </c>
      <c r="H826">
        <v>7</v>
      </c>
    </row>
    <row r="827" spans="1:8" x14ac:dyDescent="0.3">
      <c r="A827">
        <v>826</v>
      </c>
      <c r="B827">
        <v>45</v>
      </c>
      <c r="C827" t="s">
        <v>5248</v>
      </c>
      <c r="D827" s="1">
        <v>42832</v>
      </c>
      <c r="E827" s="1">
        <v>42835</v>
      </c>
      <c r="F827" s="1">
        <v>42835</v>
      </c>
      <c r="G827">
        <v>2</v>
      </c>
      <c r="H827">
        <v>6</v>
      </c>
    </row>
    <row r="828" spans="1:8" x14ac:dyDescent="0.3">
      <c r="A828">
        <v>827</v>
      </c>
      <c r="B828">
        <v>666</v>
      </c>
      <c r="C828" t="s">
        <v>5248</v>
      </c>
      <c r="D828" s="1">
        <v>42832</v>
      </c>
      <c r="E828" s="1">
        <v>42835</v>
      </c>
      <c r="F828" s="1">
        <v>42835</v>
      </c>
      <c r="G828">
        <v>2</v>
      </c>
      <c r="H828">
        <v>7</v>
      </c>
    </row>
    <row r="829" spans="1:8" x14ac:dyDescent="0.3">
      <c r="A829">
        <v>828</v>
      </c>
      <c r="B829">
        <v>246</v>
      </c>
      <c r="C829" t="s">
        <v>5248</v>
      </c>
      <c r="D829" s="1">
        <v>42834</v>
      </c>
      <c r="E829" s="1">
        <v>42835</v>
      </c>
      <c r="F829" s="1">
        <v>42837</v>
      </c>
      <c r="G829">
        <v>2</v>
      </c>
      <c r="H829">
        <v>6</v>
      </c>
    </row>
    <row r="830" spans="1:8" x14ac:dyDescent="0.3">
      <c r="A830">
        <v>829</v>
      </c>
      <c r="B830">
        <v>674</v>
      </c>
      <c r="C830" t="s">
        <v>5248</v>
      </c>
      <c r="D830" s="1">
        <v>42834</v>
      </c>
      <c r="E830" s="1">
        <v>42835</v>
      </c>
      <c r="F830" s="1">
        <v>42835</v>
      </c>
      <c r="G830">
        <v>2</v>
      </c>
      <c r="H830">
        <v>7</v>
      </c>
    </row>
    <row r="831" spans="1:8" x14ac:dyDescent="0.3">
      <c r="A831">
        <v>830</v>
      </c>
      <c r="B831">
        <v>431</v>
      </c>
      <c r="C831" t="s">
        <v>5248</v>
      </c>
      <c r="D831" s="1">
        <v>42836</v>
      </c>
      <c r="E831" s="1">
        <v>42839</v>
      </c>
      <c r="F831" s="1">
        <v>42837</v>
      </c>
      <c r="G831">
        <v>2</v>
      </c>
      <c r="H831">
        <v>6</v>
      </c>
    </row>
    <row r="832" spans="1:8" x14ac:dyDescent="0.3">
      <c r="A832">
        <v>831</v>
      </c>
      <c r="B832">
        <v>1000</v>
      </c>
      <c r="C832" t="s">
        <v>5248</v>
      </c>
      <c r="D832" s="1">
        <v>42836</v>
      </c>
      <c r="E832" s="1">
        <v>42837</v>
      </c>
      <c r="F832" s="1">
        <v>42837</v>
      </c>
      <c r="G832">
        <v>2</v>
      </c>
      <c r="H832">
        <v>7</v>
      </c>
    </row>
    <row r="833" spans="1:8" x14ac:dyDescent="0.3">
      <c r="A833">
        <v>832</v>
      </c>
      <c r="B833">
        <v>1215</v>
      </c>
      <c r="C833" t="s">
        <v>5248</v>
      </c>
      <c r="D833" s="1">
        <v>42836</v>
      </c>
      <c r="E833" s="1">
        <v>42837</v>
      </c>
      <c r="F833" s="1">
        <v>42837</v>
      </c>
      <c r="G833">
        <v>2</v>
      </c>
      <c r="H833">
        <v>7</v>
      </c>
    </row>
    <row r="834" spans="1:8" x14ac:dyDescent="0.3">
      <c r="A834">
        <v>833</v>
      </c>
      <c r="B834">
        <v>406</v>
      </c>
      <c r="C834" t="s">
        <v>5248</v>
      </c>
      <c r="D834" s="1">
        <v>42837</v>
      </c>
      <c r="E834" s="1">
        <v>42839</v>
      </c>
      <c r="F834" s="1">
        <v>42840</v>
      </c>
      <c r="G834">
        <v>2</v>
      </c>
      <c r="H834">
        <v>7</v>
      </c>
    </row>
    <row r="835" spans="1:8" x14ac:dyDescent="0.3">
      <c r="A835">
        <v>834</v>
      </c>
      <c r="B835">
        <v>890</v>
      </c>
      <c r="C835" t="s">
        <v>5248</v>
      </c>
      <c r="D835" s="1">
        <v>42837</v>
      </c>
      <c r="E835" s="1">
        <v>42838</v>
      </c>
      <c r="F835" s="1">
        <v>42840</v>
      </c>
      <c r="G835">
        <v>2</v>
      </c>
      <c r="H835">
        <v>6</v>
      </c>
    </row>
    <row r="836" spans="1:8" x14ac:dyDescent="0.3">
      <c r="A836">
        <v>835</v>
      </c>
      <c r="B836">
        <v>940</v>
      </c>
      <c r="C836" t="s">
        <v>5248</v>
      </c>
      <c r="D836" s="1">
        <v>42838</v>
      </c>
      <c r="E836" s="1">
        <v>42840</v>
      </c>
      <c r="F836" s="1">
        <v>42839</v>
      </c>
      <c r="G836">
        <v>1</v>
      </c>
      <c r="H836">
        <v>2</v>
      </c>
    </row>
    <row r="837" spans="1:8" x14ac:dyDescent="0.3">
      <c r="A837">
        <v>836</v>
      </c>
      <c r="B837">
        <v>455</v>
      </c>
      <c r="C837" t="s">
        <v>5248</v>
      </c>
      <c r="D837" s="1">
        <v>42838</v>
      </c>
      <c r="E837" s="1">
        <v>42841</v>
      </c>
      <c r="F837" s="1">
        <v>42839</v>
      </c>
      <c r="G837">
        <v>2</v>
      </c>
      <c r="H837">
        <v>6</v>
      </c>
    </row>
    <row r="838" spans="1:8" x14ac:dyDescent="0.3">
      <c r="A838">
        <v>837</v>
      </c>
      <c r="B838">
        <v>948</v>
      </c>
      <c r="C838" t="s">
        <v>5248</v>
      </c>
      <c r="D838" s="1">
        <v>42838</v>
      </c>
      <c r="E838" s="1">
        <v>42841</v>
      </c>
      <c r="F838" s="1">
        <v>42839</v>
      </c>
      <c r="G838">
        <v>2</v>
      </c>
      <c r="H838">
        <v>7</v>
      </c>
    </row>
    <row r="839" spans="1:8" x14ac:dyDescent="0.3">
      <c r="A839">
        <v>838</v>
      </c>
      <c r="B839">
        <v>1395</v>
      </c>
      <c r="C839" t="s">
        <v>5248</v>
      </c>
      <c r="D839" s="1">
        <v>42839</v>
      </c>
      <c r="E839" s="1">
        <v>42842</v>
      </c>
      <c r="F839" s="1">
        <v>42840</v>
      </c>
      <c r="G839">
        <v>2</v>
      </c>
      <c r="H839">
        <v>7</v>
      </c>
    </row>
    <row r="840" spans="1:8" x14ac:dyDescent="0.3">
      <c r="A840">
        <v>839</v>
      </c>
      <c r="B840">
        <v>1332</v>
      </c>
      <c r="C840" t="s">
        <v>5248</v>
      </c>
      <c r="D840" s="1">
        <v>42840</v>
      </c>
      <c r="E840" s="1">
        <v>42843</v>
      </c>
      <c r="F840" s="1">
        <v>42841</v>
      </c>
      <c r="G840">
        <v>1</v>
      </c>
      <c r="H840">
        <v>3</v>
      </c>
    </row>
    <row r="841" spans="1:8" x14ac:dyDescent="0.3">
      <c r="A841">
        <v>840</v>
      </c>
      <c r="B841">
        <v>372</v>
      </c>
      <c r="C841" t="s">
        <v>5248</v>
      </c>
      <c r="D841" s="1">
        <v>42840</v>
      </c>
      <c r="E841" s="1">
        <v>42841</v>
      </c>
      <c r="F841" s="1">
        <v>42841</v>
      </c>
      <c r="G841">
        <v>2</v>
      </c>
      <c r="H841">
        <v>6</v>
      </c>
    </row>
    <row r="842" spans="1:8" x14ac:dyDescent="0.3">
      <c r="A842">
        <v>841</v>
      </c>
      <c r="B842">
        <v>428</v>
      </c>
      <c r="C842" t="s">
        <v>5248</v>
      </c>
      <c r="D842" s="1">
        <v>42840</v>
      </c>
      <c r="E842" s="1">
        <v>42843</v>
      </c>
      <c r="F842" s="1">
        <v>42842</v>
      </c>
      <c r="G842">
        <v>2</v>
      </c>
      <c r="H842">
        <v>7</v>
      </c>
    </row>
    <row r="843" spans="1:8" x14ac:dyDescent="0.3">
      <c r="A843">
        <v>842</v>
      </c>
      <c r="B843">
        <v>1133</v>
      </c>
      <c r="C843" t="s">
        <v>5248</v>
      </c>
      <c r="D843" s="1">
        <v>42840</v>
      </c>
      <c r="E843" s="1">
        <v>42843</v>
      </c>
      <c r="F843" s="1">
        <v>42841</v>
      </c>
      <c r="G843">
        <v>2</v>
      </c>
      <c r="H843">
        <v>6</v>
      </c>
    </row>
    <row r="844" spans="1:8" x14ac:dyDescent="0.3">
      <c r="A844">
        <v>843</v>
      </c>
      <c r="B844">
        <v>1059</v>
      </c>
      <c r="C844" t="s">
        <v>5248</v>
      </c>
      <c r="D844" s="1">
        <v>42841</v>
      </c>
      <c r="E844" s="1">
        <v>42842</v>
      </c>
      <c r="F844" s="1">
        <v>42844</v>
      </c>
      <c r="G844">
        <v>2</v>
      </c>
      <c r="H844">
        <v>7</v>
      </c>
    </row>
    <row r="845" spans="1:8" x14ac:dyDescent="0.3">
      <c r="A845">
        <v>844</v>
      </c>
      <c r="B845">
        <v>1436</v>
      </c>
      <c r="C845" t="s">
        <v>5248</v>
      </c>
      <c r="D845" s="1">
        <v>42841</v>
      </c>
      <c r="E845" s="1">
        <v>42842</v>
      </c>
      <c r="F845" s="1">
        <v>42843</v>
      </c>
      <c r="G845">
        <v>2</v>
      </c>
      <c r="H845">
        <v>6</v>
      </c>
    </row>
    <row r="846" spans="1:8" x14ac:dyDescent="0.3">
      <c r="A846">
        <v>845</v>
      </c>
      <c r="B846">
        <v>662</v>
      </c>
      <c r="C846" t="s">
        <v>5248</v>
      </c>
      <c r="D846" s="1">
        <v>42842</v>
      </c>
      <c r="E846" s="1">
        <v>42843</v>
      </c>
      <c r="F846" s="1">
        <v>42843</v>
      </c>
      <c r="G846">
        <v>2</v>
      </c>
      <c r="H846">
        <v>7</v>
      </c>
    </row>
    <row r="847" spans="1:8" x14ac:dyDescent="0.3">
      <c r="A847">
        <v>846</v>
      </c>
      <c r="B847">
        <v>715</v>
      </c>
      <c r="C847" t="s">
        <v>5248</v>
      </c>
      <c r="D847" s="1">
        <v>42842</v>
      </c>
      <c r="E847" s="1">
        <v>42844</v>
      </c>
      <c r="F847" s="1">
        <v>42844</v>
      </c>
      <c r="G847">
        <v>2</v>
      </c>
      <c r="H847">
        <v>6</v>
      </c>
    </row>
    <row r="848" spans="1:8" x14ac:dyDescent="0.3">
      <c r="A848">
        <v>847</v>
      </c>
      <c r="B848">
        <v>329</v>
      </c>
      <c r="C848" t="s">
        <v>5248</v>
      </c>
      <c r="D848" s="1">
        <v>42843</v>
      </c>
      <c r="E848" s="1">
        <v>42844</v>
      </c>
      <c r="F848" s="1">
        <v>42844</v>
      </c>
      <c r="G848">
        <v>2</v>
      </c>
      <c r="H848">
        <v>7</v>
      </c>
    </row>
    <row r="849" spans="1:8" x14ac:dyDescent="0.3">
      <c r="A849">
        <v>848</v>
      </c>
      <c r="B849">
        <v>597</v>
      </c>
      <c r="C849" t="s">
        <v>5248</v>
      </c>
      <c r="D849" s="1">
        <v>42843</v>
      </c>
      <c r="E849" s="1">
        <v>42845</v>
      </c>
      <c r="F849" s="1">
        <v>42845</v>
      </c>
      <c r="G849">
        <v>2</v>
      </c>
      <c r="H849">
        <v>7</v>
      </c>
    </row>
    <row r="850" spans="1:8" x14ac:dyDescent="0.3">
      <c r="A850">
        <v>849</v>
      </c>
      <c r="B850">
        <v>776</v>
      </c>
      <c r="C850" t="s">
        <v>5248</v>
      </c>
      <c r="D850" s="1">
        <v>42844</v>
      </c>
      <c r="E850" s="1">
        <v>42845</v>
      </c>
      <c r="F850" s="1">
        <v>42846</v>
      </c>
      <c r="G850">
        <v>1</v>
      </c>
      <c r="H850">
        <v>2</v>
      </c>
    </row>
    <row r="851" spans="1:8" x14ac:dyDescent="0.3">
      <c r="A851">
        <v>850</v>
      </c>
      <c r="B851">
        <v>1346</v>
      </c>
      <c r="C851" t="s">
        <v>5248</v>
      </c>
      <c r="D851" s="1">
        <v>42844</v>
      </c>
      <c r="E851" s="1">
        <v>42847</v>
      </c>
      <c r="F851" s="1">
        <v>42847</v>
      </c>
      <c r="G851">
        <v>1</v>
      </c>
      <c r="H851">
        <v>3</v>
      </c>
    </row>
    <row r="852" spans="1:8" x14ac:dyDescent="0.3">
      <c r="A852">
        <v>851</v>
      </c>
      <c r="B852">
        <v>1139</v>
      </c>
      <c r="C852" t="s">
        <v>5248</v>
      </c>
      <c r="D852" s="1">
        <v>42845</v>
      </c>
      <c r="E852" s="1">
        <v>42846</v>
      </c>
      <c r="F852" s="1">
        <v>42847</v>
      </c>
      <c r="G852">
        <v>2</v>
      </c>
      <c r="H852">
        <v>6</v>
      </c>
    </row>
    <row r="853" spans="1:8" x14ac:dyDescent="0.3">
      <c r="A853">
        <v>852</v>
      </c>
      <c r="B853">
        <v>13</v>
      </c>
      <c r="C853" t="s">
        <v>5248</v>
      </c>
      <c r="D853" s="1">
        <v>42846</v>
      </c>
      <c r="E853" s="1">
        <v>42848</v>
      </c>
      <c r="F853" s="1">
        <v>42847</v>
      </c>
      <c r="G853">
        <v>3</v>
      </c>
      <c r="H853">
        <v>9</v>
      </c>
    </row>
    <row r="854" spans="1:8" x14ac:dyDescent="0.3">
      <c r="A854">
        <v>853</v>
      </c>
      <c r="B854">
        <v>883</v>
      </c>
      <c r="C854" t="s">
        <v>5248</v>
      </c>
      <c r="D854" s="1">
        <v>42846</v>
      </c>
      <c r="E854" s="1">
        <v>42849</v>
      </c>
      <c r="F854" s="1">
        <v>42849</v>
      </c>
      <c r="G854">
        <v>3</v>
      </c>
      <c r="H854">
        <v>8</v>
      </c>
    </row>
    <row r="855" spans="1:8" x14ac:dyDescent="0.3">
      <c r="A855">
        <v>854</v>
      </c>
      <c r="B855">
        <v>177</v>
      </c>
      <c r="C855" t="s">
        <v>5248</v>
      </c>
      <c r="D855" s="1">
        <v>42847</v>
      </c>
      <c r="E855" s="1">
        <v>42850</v>
      </c>
      <c r="F855" s="1">
        <v>42848</v>
      </c>
      <c r="G855">
        <v>2</v>
      </c>
      <c r="H855">
        <v>6</v>
      </c>
    </row>
    <row r="856" spans="1:8" x14ac:dyDescent="0.3">
      <c r="A856">
        <v>855</v>
      </c>
      <c r="B856">
        <v>775</v>
      </c>
      <c r="C856" t="s">
        <v>5248</v>
      </c>
      <c r="D856" s="1">
        <v>42847</v>
      </c>
      <c r="E856" s="1">
        <v>42848</v>
      </c>
      <c r="F856" s="1">
        <v>42850</v>
      </c>
      <c r="G856">
        <v>2</v>
      </c>
      <c r="H856">
        <v>6</v>
      </c>
    </row>
    <row r="857" spans="1:8" x14ac:dyDescent="0.3">
      <c r="A857">
        <v>856</v>
      </c>
      <c r="B857">
        <v>477</v>
      </c>
      <c r="C857" t="s">
        <v>5248</v>
      </c>
      <c r="D857" s="1">
        <v>42848</v>
      </c>
      <c r="E857" s="1">
        <v>42850</v>
      </c>
      <c r="F857" s="1">
        <v>42851</v>
      </c>
      <c r="G857">
        <v>2</v>
      </c>
      <c r="H857">
        <v>6</v>
      </c>
    </row>
    <row r="858" spans="1:8" x14ac:dyDescent="0.3">
      <c r="A858">
        <v>857</v>
      </c>
      <c r="B858">
        <v>1402</v>
      </c>
      <c r="C858" t="s">
        <v>5248</v>
      </c>
      <c r="D858" s="1">
        <v>42849</v>
      </c>
      <c r="E858" s="1">
        <v>42850</v>
      </c>
      <c r="F858" s="1">
        <v>42851</v>
      </c>
      <c r="G858">
        <v>2</v>
      </c>
      <c r="H858">
        <v>7</v>
      </c>
    </row>
    <row r="859" spans="1:8" x14ac:dyDescent="0.3">
      <c r="A859">
        <v>858</v>
      </c>
      <c r="B859">
        <v>162</v>
      </c>
      <c r="C859" t="s">
        <v>5248</v>
      </c>
      <c r="D859" s="1">
        <v>42850</v>
      </c>
      <c r="E859" s="1">
        <v>42852</v>
      </c>
      <c r="F859" s="1">
        <v>42853</v>
      </c>
      <c r="G859">
        <v>2</v>
      </c>
      <c r="H859">
        <v>6</v>
      </c>
    </row>
    <row r="860" spans="1:8" x14ac:dyDescent="0.3">
      <c r="A860">
        <v>859</v>
      </c>
      <c r="B860">
        <v>644</v>
      </c>
      <c r="C860" t="s">
        <v>5248</v>
      </c>
      <c r="D860" s="1">
        <v>42850</v>
      </c>
      <c r="E860" s="1">
        <v>42851</v>
      </c>
      <c r="F860" s="1">
        <v>42851</v>
      </c>
      <c r="G860">
        <v>2</v>
      </c>
      <c r="H860">
        <v>6</v>
      </c>
    </row>
    <row r="861" spans="1:8" x14ac:dyDescent="0.3">
      <c r="A861">
        <v>860</v>
      </c>
      <c r="B861">
        <v>473</v>
      </c>
      <c r="C861" t="s">
        <v>5248</v>
      </c>
      <c r="D861" s="1">
        <v>42852</v>
      </c>
      <c r="E861" s="1">
        <v>42854</v>
      </c>
      <c r="F861" s="1">
        <v>42853</v>
      </c>
      <c r="G861">
        <v>2</v>
      </c>
      <c r="H861">
        <v>7</v>
      </c>
    </row>
    <row r="862" spans="1:8" x14ac:dyDescent="0.3">
      <c r="A862">
        <v>861</v>
      </c>
      <c r="B862">
        <v>1177</v>
      </c>
      <c r="C862" t="s">
        <v>5248</v>
      </c>
      <c r="D862" s="1">
        <v>42852</v>
      </c>
      <c r="E862" s="1">
        <v>42854</v>
      </c>
      <c r="F862" s="1">
        <v>42855</v>
      </c>
      <c r="G862">
        <v>2</v>
      </c>
      <c r="H862">
        <v>7</v>
      </c>
    </row>
    <row r="863" spans="1:8" x14ac:dyDescent="0.3">
      <c r="A863">
        <v>862</v>
      </c>
      <c r="B863">
        <v>1230</v>
      </c>
      <c r="C863" t="s">
        <v>5248</v>
      </c>
      <c r="D863" s="1">
        <v>42852</v>
      </c>
      <c r="E863" s="1">
        <v>42855</v>
      </c>
      <c r="F863" s="1">
        <v>42854</v>
      </c>
      <c r="G863">
        <v>3</v>
      </c>
      <c r="H863">
        <v>8</v>
      </c>
    </row>
    <row r="864" spans="1:8" x14ac:dyDescent="0.3">
      <c r="A864">
        <v>863</v>
      </c>
      <c r="B864">
        <v>446</v>
      </c>
      <c r="C864" t="s">
        <v>5248</v>
      </c>
      <c r="D864" s="1">
        <v>42853</v>
      </c>
      <c r="E864" s="1">
        <v>42855</v>
      </c>
      <c r="F864" s="1">
        <v>42856</v>
      </c>
      <c r="G864">
        <v>2</v>
      </c>
      <c r="H864">
        <v>7</v>
      </c>
    </row>
    <row r="865" spans="1:8" x14ac:dyDescent="0.3">
      <c r="A865">
        <v>864</v>
      </c>
      <c r="B865">
        <v>902</v>
      </c>
      <c r="C865" t="s">
        <v>5248</v>
      </c>
      <c r="D865" s="1">
        <v>42853</v>
      </c>
      <c r="E865" s="1">
        <v>42855</v>
      </c>
      <c r="F865" s="1">
        <v>42854</v>
      </c>
      <c r="G865">
        <v>2</v>
      </c>
      <c r="H865">
        <v>6</v>
      </c>
    </row>
    <row r="866" spans="1:8" x14ac:dyDescent="0.3">
      <c r="A866">
        <v>865</v>
      </c>
      <c r="B866">
        <v>974</v>
      </c>
      <c r="C866" t="s">
        <v>5248</v>
      </c>
      <c r="D866" s="1">
        <v>42854</v>
      </c>
      <c r="E866" s="1">
        <v>42857</v>
      </c>
      <c r="F866" s="1">
        <v>42856</v>
      </c>
      <c r="G866">
        <v>2</v>
      </c>
      <c r="H866">
        <v>6</v>
      </c>
    </row>
    <row r="867" spans="1:8" x14ac:dyDescent="0.3">
      <c r="A867">
        <v>866</v>
      </c>
      <c r="B867">
        <v>1410</v>
      </c>
      <c r="C867" t="s">
        <v>5248</v>
      </c>
      <c r="D867" s="1">
        <v>42854</v>
      </c>
      <c r="E867" s="1">
        <v>42855</v>
      </c>
      <c r="F867" s="1">
        <v>42856</v>
      </c>
      <c r="G867">
        <v>2</v>
      </c>
      <c r="H867">
        <v>6</v>
      </c>
    </row>
    <row r="868" spans="1:8" x14ac:dyDescent="0.3">
      <c r="A868">
        <v>867</v>
      </c>
      <c r="B868">
        <v>97</v>
      </c>
      <c r="C868" t="s">
        <v>5248</v>
      </c>
      <c r="D868" s="1">
        <v>42856</v>
      </c>
      <c r="E868" s="1">
        <v>42858</v>
      </c>
      <c r="F868" s="1">
        <v>42857</v>
      </c>
      <c r="G868">
        <v>1</v>
      </c>
      <c r="H868">
        <v>3</v>
      </c>
    </row>
    <row r="869" spans="1:8" x14ac:dyDescent="0.3">
      <c r="A869">
        <v>868</v>
      </c>
      <c r="B869">
        <v>868</v>
      </c>
      <c r="C869" t="s">
        <v>5248</v>
      </c>
      <c r="D869" s="1">
        <v>42856</v>
      </c>
      <c r="E869" s="1">
        <v>42859</v>
      </c>
      <c r="F869" s="1">
        <v>42857</v>
      </c>
      <c r="G869">
        <v>1</v>
      </c>
      <c r="H869">
        <v>3</v>
      </c>
    </row>
    <row r="870" spans="1:8" x14ac:dyDescent="0.3">
      <c r="A870">
        <v>869</v>
      </c>
      <c r="B870">
        <v>844</v>
      </c>
      <c r="C870" t="s">
        <v>5248</v>
      </c>
      <c r="D870" s="1">
        <v>42856</v>
      </c>
      <c r="E870" s="1">
        <v>42859</v>
      </c>
      <c r="F870" s="1">
        <v>42857</v>
      </c>
      <c r="G870">
        <v>2</v>
      </c>
      <c r="H870">
        <v>7</v>
      </c>
    </row>
    <row r="871" spans="1:8" x14ac:dyDescent="0.3">
      <c r="A871">
        <v>870</v>
      </c>
      <c r="B871">
        <v>1416</v>
      </c>
      <c r="C871" t="s">
        <v>5248</v>
      </c>
      <c r="D871" s="1">
        <v>42856</v>
      </c>
      <c r="E871" s="1">
        <v>42859</v>
      </c>
      <c r="F871" s="1">
        <v>42857</v>
      </c>
      <c r="G871">
        <v>2</v>
      </c>
      <c r="H871">
        <v>6</v>
      </c>
    </row>
    <row r="872" spans="1:8" x14ac:dyDescent="0.3">
      <c r="A872">
        <v>871</v>
      </c>
      <c r="B872">
        <v>358</v>
      </c>
      <c r="C872" t="s">
        <v>5248</v>
      </c>
      <c r="D872" s="1">
        <v>42857</v>
      </c>
      <c r="E872" s="1">
        <v>42859</v>
      </c>
      <c r="F872" s="1">
        <v>42858</v>
      </c>
      <c r="G872">
        <v>2</v>
      </c>
      <c r="H872">
        <v>7</v>
      </c>
    </row>
    <row r="873" spans="1:8" x14ac:dyDescent="0.3">
      <c r="A873">
        <v>872</v>
      </c>
      <c r="B873">
        <v>394</v>
      </c>
      <c r="C873" t="s">
        <v>5248</v>
      </c>
      <c r="D873" s="1">
        <v>42858</v>
      </c>
      <c r="E873" s="1">
        <v>42861</v>
      </c>
      <c r="F873" s="1">
        <v>42861</v>
      </c>
      <c r="G873">
        <v>1</v>
      </c>
      <c r="H873">
        <v>3</v>
      </c>
    </row>
    <row r="874" spans="1:8" x14ac:dyDescent="0.3">
      <c r="A874">
        <v>873</v>
      </c>
      <c r="B874">
        <v>829</v>
      </c>
      <c r="C874" t="s">
        <v>5248</v>
      </c>
      <c r="D874" s="1">
        <v>42858</v>
      </c>
      <c r="E874" s="1">
        <v>42860</v>
      </c>
      <c r="F874" s="1">
        <v>42860</v>
      </c>
      <c r="G874">
        <v>2</v>
      </c>
      <c r="H874">
        <v>7</v>
      </c>
    </row>
    <row r="875" spans="1:8" x14ac:dyDescent="0.3">
      <c r="A875">
        <v>874</v>
      </c>
      <c r="B875">
        <v>661</v>
      </c>
      <c r="C875" t="s">
        <v>5248</v>
      </c>
      <c r="D875" s="1">
        <v>42859</v>
      </c>
      <c r="E875" s="1">
        <v>42860</v>
      </c>
      <c r="F875" s="1">
        <v>42861</v>
      </c>
      <c r="G875">
        <v>2</v>
      </c>
      <c r="H875">
        <v>7</v>
      </c>
    </row>
    <row r="876" spans="1:8" x14ac:dyDescent="0.3">
      <c r="A876">
        <v>875</v>
      </c>
      <c r="B876">
        <v>386</v>
      </c>
      <c r="C876" t="s">
        <v>5248</v>
      </c>
      <c r="D876" s="1">
        <v>42860</v>
      </c>
      <c r="E876" s="1">
        <v>42861</v>
      </c>
      <c r="F876" s="1">
        <v>42863</v>
      </c>
      <c r="G876">
        <v>1</v>
      </c>
      <c r="H876">
        <v>3</v>
      </c>
    </row>
    <row r="877" spans="1:8" x14ac:dyDescent="0.3">
      <c r="A877">
        <v>876</v>
      </c>
      <c r="B877">
        <v>1046</v>
      </c>
      <c r="C877" t="s">
        <v>5248</v>
      </c>
      <c r="D877" s="1">
        <v>42860</v>
      </c>
      <c r="E877" s="1">
        <v>42863</v>
      </c>
      <c r="F877" s="1">
        <v>42861</v>
      </c>
      <c r="G877">
        <v>2</v>
      </c>
      <c r="H877">
        <v>7</v>
      </c>
    </row>
    <row r="878" spans="1:8" x14ac:dyDescent="0.3">
      <c r="A878">
        <v>877</v>
      </c>
      <c r="B878">
        <v>784</v>
      </c>
      <c r="C878" t="s">
        <v>5248</v>
      </c>
      <c r="D878" s="1">
        <v>42861</v>
      </c>
      <c r="E878" s="1">
        <v>42862</v>
      </c>
      <c r="F878" s="1">
        <v>42863</v>
      </c>
      <c r="G878">
        <v>2</v>
      </c>
      <c r="H878">
        <v>6</v>
      </c>
    </row>
    <row r="879" spans="1:8" x14ac:dyDescent="0.3">
      <c r="A879">
        <v>878</v>
      </c>
      <c r="B879">
        <v>224</v>
      </c>
      <c r="C879" t="s">
        <v>5248</v>
      </c>
      <c r="D879" s="1">
        <v>42862</v>
      </c>
      <c r="E879" s="1">
        <v>42865</v>
      </c>
      <c r="F879" s="1">
        <v>42864</v>
      </c>
      <c r="G879">
        <v>1</v>
      </c>
      <c r="H879">
        <v>3</v>
      </c>
    </row>
    <row r="880" spans="1:8" x14ac:dyDescent="0.3">
      <c r="A880">
        <v>879</v>
      </c>
      <c r="B880">
        <v>214</v>
      </c>
      <c r="C880" t="s">
        <v>5248</v>
      </c>
      <c r="D880" s="1">
        <v>42863</v>
      </c>
      <c r="E880" s="1">
        <v>42864</v>
      </c>
      <c r="F880" s="1">
        <v>42864</v>
      </c>
      <c r="G880">
        <v>2</v>
      </c>
      <c r="H880">
        <v>7</v>
      </c>
    </row>
    <row r="881" spans="1:8" x14ac:dyDescent="0.3">
      <c r="A881">
        <v>880</v>
      </c>
      <c r="B881">
        <v>1206</v>
      </c>
      <c r="C881" t="s">
        <v>5248</v>
      </c>
      <c r="D881" s="1">
        <v>42863</v>
      </c>
      <c r="E881" s="1">
        <v>42866</v>
      </c>
      <c r="F881" s="1">
        <v>42865</v>
      </c>
      <c r="G881">
        <v>2</v>
      </c>
      <c r="H881">
        <v>6</v>
      </c>
    </row>
    <row r="882" spans="1:8" x14ac:dyDescent="0.3">
      <c r="A882">
        <v>881</v>
      </c>
      <c r="B882">
        <v>1024</v>
      </c>
      <c r="C882" t="s">
        <v>5248</v>
      </c>
      <c r="D882" s="1">
        <v>42863</v>
      </c>
      <c r="E882" s="1">
        <v>42866</v>
      </c>
      <c r="F882" s="1">
        <v>42866</v>
      </c>
      <c r="G882">
        <v>3</v>
      </c>
      <c r="H882">
        <v>9</v>
      </c>
    </row>
    <row r="883" spans="1:8" x14ac:dyDescent="0.3">
      <c r="A883">
        <v>882</v>
      </c>
      <c r="B883">
        <v>196</v>
      </c>
      <c r="C883" t="s">
        <v>5248</v>
      </c>
      <c r="D883" s="1">
        <v>42864</v>
      </c>
      <c r="E883" s="1">
        <v>42867</v>
      </c>
      <c r="F883" s="1">
        <v>42865</v>
      </c>
      <c r="G883">
        <v>2</v>
      </c>
      <c r="H883">
        <v>6</v>
      </c>
    </row>
    <row r="884" spans="1:8" x14ac:dyDescent="0.3">
      <c r="A884">
        <v>883</v>
      </c>
      <c r="B884">
        <v>507</v>
      </c>
      <c r="C884" t="s">
        <v>5248</v>
      </c>
      <c r="D884" s="1">
        <v>42866</v>
      </c>
      <c r="E884" s="1">
        <v>42868</v>
      </c>
      <c r="F884" s="1">
        <v>42869</v>
      </c>
      <c r="G884">
        <v>2</v>
      </c>
      <c r="H884">
        <v>6</v>
      </c>
    </row>
    <row r="885" spans="1:8" x14ac:dyDescent="0.3">
      <c r="A885">
        <v>884</v>
      </c>
      <c r="B885">
        <v>871</v>
      </c>
      <c r="C885" t="s">
        <v>5248</v>
      </c>
      <c r="D885" s="1">
        <v>42866</v>
      </c>
      <c r="E885" s="1">
        <v>42868</v>
      </c>
      <c r="F885" s="1">
        <v>42867</v>
      </c>
      <c r="G885">
        <v>2</v>
      </c>
      <c r="H885">
        <v>7</v>
      </c>
    </row>
    <row r="886" spans="1:8" x14ac:dyDescent="0.3">
      <c r="A886">
        <v>885</v>
      </c>
      <c r="B886">
        <v>66</v>
      </c>
      <c r="C886" t="s">
        <v>5249</v>
      </c>
      <c r="D886" s="1">
        <v>42868</v>
      </c>
      <c r="E886" s="1">
        <v>42868</v>
      </c>
      <c r="F886" s="1"/>
      <c r="G886">
        <v>3</v>
      </c>
      <c r="H886">
        <v>8</v>
      </c>
    </row>
    <row r="887" spans="1:8" x14ac:dyDescent="0.3">
      <c r="A887">
        <v>886</v>
      </c>
      <c r="B887">
        <v>1396</v>
      </c>
      <c r="C887" t="s">
        <v>5248</v>
      </c>
      <c r="D887" s="1">
        <v>42868</v>
      </c>
      <c r="E887" s="1">
        <v>42869</v>
      </c>
      <c r="F887" s="1">
        <v>42870</v>
      </c>
      <c r="G887">
        <v>1</v>
      </c>
      <c r="H887">
        <v>2</v>
      </c>
    </row>
    <row r="888" spans="1:8" x14ac:dyDescent="0.3">
      <c r="A888">
        <v>887</v>
      </c>
      <c r="B888">
        <v>1195</v>
      </c>
      <c r="C888" t="s">
        <v>5248</v>
      </c>
      <c r="D888" s="1">
        <v>42868</v>
      </c>
      <c r="E888" s="1">
        <v>42870</v>
      </c>
      <c r="F888" s="1">
        <v>42870</v>
      </c>
      <c r="G888">
        <v>2</v>
      </c>
      <c r="H888">
        <v>6</v>
      </c>
    </row>
    <row r="889" spans="1:8" x14ac:dyDescent="0.3">
      <c r="A889">
        <v>888</v>
      </c>
      <c r="B889">
        <v>1038</v>
      </c>
      <c r="C889" t="s">
        <v>5248</v>
      </c>
      <c r="D889" s="1">
        <v>42869</v>
      </c>
      <c r="E889" s="1">
        <v>42871</v>
      </c>
      <c r="F889" s="1">
        <v>42871</v>
      </c>
      <c r="G889">
        <v>2</v>
      </c>
      <c r="H889">
        <v>7</v>
      </c>
    </row>
    <row r="890" spans="1:8" x14ac:dyDescent="0.3">
      <c r="A890">
        <v>889</v>
      </c>
      <c r="B890">
        <v>830</v>
      </c>
      <c r="C890" t="s">
        <v>5248</v>
      </c>
      <c r="D890" s="1">
        <v>42869</v>
      </c>
      <c r="E890" s="1">
        <v>42872</v>
      </c>
      <c r="F890" s="1">
        <v>42870</v>
      </c>
      <c r="G890">
        <v>3</v>
      </c>
      <c r="H890">
        <v>8</v>
      </c>
    </row>
    <row r="891" spans="1:8" x14ac:dyDescent="0.3">
      <c r="A891">
        <v>890</v>
      </c>
      <c r="B891">
        <v>171</v>
      </c>
      <c r="C891" t="s">
        <v>5248</v>
      </c>
      <c r="D891" s="1">
        <v>42870</v>
      </c>
      <c r="E891" s="1">
        <v>42873</v>
      </c>
      <c r="F891" s="1">
        <v>42873</v>
      </c>
      <c r="G891">
        <v>2</v>
      </c>
      <c r="H891">
        <v>6</v>
      </c>
    </row>
    <row r="892" spans="1:8" x14ac:dyDescent="0.3">
      <c r="A892">
        <v>891</v>
      </c>
      <c r="B892">
        <v>384</v>
      </c>
      <c r="C892" t="s">
        <v>5248</v>
      </c>
      <c r="D892" s="1">
        <v>42870</v>
      </c>
      <c r="E892" s="1">
        <v>42873</v>
      </c>
      <c r="F892" s="1">
        <v>42871</v>
      </c>
      <c r="G892">
        <v>2</v>
      </c>
      <c r="H892">
        <v>6</v>
      </c>
    </row>
    <row r="893" spans="1:8" x14ac:dyDescent="0.3">
      <c r="A893">
        <v>892</v>
      </c>
      <c r="B893">
        <v>651</v>
      </c>
      <c r="C893" t="s">
        <v>5248</v>
      </c>
      <c r="D893" s="1">
        <v>42870</v>
      </c>
      <c r="E893" s="1">
        <v>42873</v>
      </c>
      <c r="F893" s="1">
        <v>42872</v>
      </c>
      <c r="G893">
        <v>2</v>
      </c>
      <c r="H893">
        <v>7</v>
      </c>
    </row>
    <row r="894" spans="1:8" x14ac:dyDescent="0.3">
      <c r="A894">
        <v>893</v>
      </c>
      <c r="B894">
        <v>1293</v>
      </c>
      <c r="C894" t="s">
        <v>5248</v>
      </c>
      <c r="D894" s="1">
        <v>42871</v>
      </c>
      <c r="E894" s="1">
        <v>42874</v>
      </c>
      <c r="F894" s="1">
        <v>42874</v>
      </c>
      <c r="G894">
        <v>2</v>
      </c>
      <c r="H894">
        <v>7</v>
      </c>
    </row>
    <row r="895" spans="1:8" x14ac:dyDescent="0.3">
      <c r="A895">
        <v>894</v>
      </c>
      <c r="B895">
        <v>1320</v>
      </c>
      <c r="C895" t="s">
        <v>5248</v>
      </c>
      <c r="D895" s="1">
        <v>42871</v>
      </c>
      <c r="E895" s="1">
        <v>42874</v>
      </c>
      <c r="F895" s="1">
        <v>42874</v>
      </c>
      <c r="G895">
        <v>2</v>
      </c>
      <c r="H895">
        <v>6</v>
      </c>
    </row>
    <row r="896" spans="1:8" x14ac:dyDescent="0.3">
      <c r="A896">
        <v>895</v>
      </c>
      <c r="B896">
        <v>857</v>
      </c>
      <c r="C896" t="s">
        <v>5248</v>
      </c>
      <c r="D896" s="1">
        <v>42873</v>
      </c>
      <c r="E896" s="1">
        <v>42876</v>
      </c>
      <c r="F896" s="1">
        <v>42874</v>
      </c>
      <c r="G896">
        <v>2</v>
      </c>
      <c r="H896">
        <v>6</v>
      </c>
    </row>
    <row r="897" spans="1:8" x14ac:dyDescent="0.3">
      <c r="A897">
        <v>896</v>
      </c>
      <c r="B897">
        <v>376</v>
      </c>
      <c r="C897" t="s">
        <v>5248</v>
      </c>
      <c r="D897" s="1">
        <v>42874</v>
      </c>
      <c r="E897" s="1">
        <v>42877</v>
      </c>
      <c r="F897" s="1">
        <v>42876</v>
      </c>
      <c r="G897">
        <v>3</v>
      </c>
      <c r="H897">
        <v>9</v>
      </c>
    </row>
    <row r="898" spans="1:8" x14ac:dyDescent="0.3">
      <c r="A898">
        <v>897</v>
      </c>
      <c r="B898">
        <v>47</v>
      </c>
      <c r="C898" t="s">
        <v>5248</v>
      </c>
      <c r="D898" s="1">
        <v>42875</v>
      </c>
      <c r="E898" s="1">
        <v>42876</v>
      </c>
      <c r="F898" s="1">
        <v>42876</v>
      </c>
      <c r="G898">
        <v>1</v>
      </c>
      <c r="H898">
        <v>2</v>
      </c>
    </row>
    <row r="899" spans="1:8" x14ac:dyDescent="0.3">
      <c r="A899">
        <v>898</v>
      </c>
      <c r="B899">
        <v>352</v>
      </c>
      <c r="C899" t="s">
        <v>5248</v>
      </c>
      <c r="D899" s="1">
        <v>42875</v>
      </c>
      <c r="E899" s="1">
        <v>42876</v>
      </c>
      <c r="F899" s="1">
        <v>42877</v>
      </c>
      <c r="G899">
        <v>2</v>
      </c>
      <c r="H899">
        <v>6</v>
      </c>
    </row>
    <row r="900" spans="1:8" x14ac:dyDescent="0.3">
      <c r="A900">
        <v>899</v>
      </c>
      <c r="B900">
        <v>605</v>
      </c>
      <c r="C900" t="s">
        <v>5248</v>
      </c>
      <c r="D900" s="1">
        <v>42875</v>
      </c>
      <c r="E900" s="1">
        <v>42876</v>
      </c>
      <c r="F900" s="1">
        <v>42876</v>
      </c>
      <c r="G900">
        <v>2</v>
      </c>
      <c r="H900">
        <v>7</v>
      </c>
    </row>
    <row r="901" spans="1:8" x14ac:dyDescent="0.3">
      <c r="A901">
        <v>900</v>
      </c>
      <c r="B901">
        <v>971</v>
      </c>
      <c r="C901" t="s">
        <v>5248</v>
      </c>
      <c r="D901" s="1">
        <v>42875</v>
      </c>
      <c r="E901" s="1">
        <v>42876</v>
      </c>
      <c r="F901" s="1">
        <v>42877</v>
      </c>
      <c r="G901">
        <v>2</v>
      </c>
      <c r="H901">
        <v>6</v>
      </c>
    </row>
    <row r="902" spans="1:8" x14ac:dyDescent="0.3">
      <c r="A902">
        <v>901</v>
      </c>
      <c r="B902">
        <v>345</v>
      </c>
      <c r="C902" t="s">
        <v>5248</v>
      </c>
      <c r="D902" s="1">
        <v>42876</v>
      </c>
      <c r="E902" s="1">
        <v>42877</v>
      </c>
      <c r="F902" s="1">
        <v>42879</v>
      </c>
      <c r="G902">
        <v>2</v>
      </c>
      <c r="H902">
        <v>7</v>
      </c>
    </row>
    <row r="903" spans="1:8" x14ac:dyDescent="0.3">
      <c r="A903">
        <v>902</v>
      </c>
      <c r="B903">
        <v>1278</v>
      </c>
      <c r="C903" t="s">
        <v>5248</v>
      </c>
      <c r="D903" s="1">
        <v>42876</v>
      </c>
      <c r="E903" s="1">
        <v>42879</v>
      </c>
      <c r="F903" s="1">
        <v>42877</v>
      </c>
      <c r="G903">
        <v>2</v>
      </c>
      <c r="H903">
        <v>6</v>
      </c>
    </row>
    <row r="904" spans="1:8" x14ac:dyDescent="0.3">
      <c r="A904">
        <v>903</v>
      </c>
      <c r="B904">
        <v>179</v>
      </c>
      <c r="C904" t="s">
        <v>5248</v>
      </c>
      <c r="D904" s="1">
        <v>42877</v>
      </c>
      <c r="E904" s="1">
        <v>42878</v>
      </c>
      <c r="F904" s="1">
        <v>42879</v>
      </c>
      <c r="G904">
        <v>2</v>
      </c>
      <c r="H904">
        <v>7</v>
      </c>
    </row>
    <row r="905" spans="1:8" x14ac:dyDescent="0.3">
      <c r="A905">
        <v>904</v>
      </c>
      <c r="B905">
        <v>1020</v>
      </c>
      <c r="C905" t="s">
        <v>5248</v>
      </c>
      <c r="D905" s="1">
        <v>42878</v>
      </c>
      <c r="E905" s="1">
        <v>42881</v>
      </c>
      <c r="F905" s="1">
        <v>42879</v>
      </c>
      <c r="G905">
        <v>1</v>
      </c>
      <c r="H905">
        <v>2</v>
      </c>
    </row>
    <row r="906" spans="1:8" x14ac:dyDescent="0.3">
      <c r="A906">
        <v>905</v>
      </c>
      <c r="B906">
        <v>609</v>
      </c>
      <c r="C906" t="s">
        <v>5248</v>
      </c>
      <c r="D906" s="1">
        <v>42878</v>
      </c>
      <c r="E906" s="1">
        <v>42881</v>
      </c>
      <c r="F906" s="1">
        <v>42879</v>
      </c>
      <c r="G906">
        <v>2</v>
      </c>
      <c r="H906">
        <v>6</v>
      </c>
    </row>
    <row r="907" spans="1:8" x14ac:dyDescent="0.3">
      <c r="A907">
        <v>906</v>
      </c>
      <c r="B907">
        <v>877</v>
      </c>
      <c r="C907" t="s">
        <v>5248</v>
      </c>
      <c r="D907" s="1">
        <v>42878</v>
      </c>
      <c r="E907" s="1">
        <v>42881</v>
      </c>
      <c r="F907" s="1">
        <v>42881</v>
      </c>
      <c r="G907">
        <v>2</v>
      </c>
      <c r="H907">
        <v>7</v>
      </c>
    </row>
    <row r="908" spans="1:8" x14ac:dyDescent="0.3">
      <c r="A908">
        <v>907</v>
      </c>
      <c r="B908">
        <v>120</v>
      </c>
      <c r="C908" t="s">
        <v>5248</v>
      </c>
      <c r="D908" s="1">
        <v>42879</v>
      </c>
      <c r="E908" s="1">
        <v>42881</v>
      </c>
      <c r="F908" s="1">
        <v>42882</v>
      </c>
      <c r="G908">
        <v>1</v>
      </c>
      <c r="H908">
        <v>2</v>
      </c>
    </row>
    <row r="909" spans="1:8" x14ac:dyDescent="0.3">
      <c r="A909">
        <v>908</v>
      </c>
      <c r="B909">
        <v>402</v>
      </c>
      <c r="C909" t="s">
        <v>5248</v>
      </c>
      <c r="D909" s="1">
        <v>42880</v>
      </c>
      <c r="E909" s="1">
        <v>42883</v>
      </c>
      <c r="F909" s="1">
        <v>42882</v>
      </c>
      <c r="G909">
        <v>2</v>
      </c>
      <c r="H909">
        <v>7</v>
      </c>
    </row>
    <row r="910" spans="1:8" x14ac:dyDescent="0.3">
      <c r="A910">
        <v>909</v>
      </c>
      <c r="B910">
        <v>188</v>
      </c>
      <c r="C910" t="s">
        <v>5248</v>
      </c>
      <c r="D910" s="1">
        <v>42881</v>
      </c>
      <c r="E910" s="1">
        <v>42882</v>
      </c>
      <c r="F910" s="1">
        <v>42883</v>
      </c>
      <c r="G910">
        <v>1</v>
      </c>
      <c r="H910">
        <v>2</v>
      </c>
    </row>
    <row r="911" spans="1:8" x14ac:dyDescent="0.3">
      <c r="A911">
        <v>910</v>
      </c>
      <c r="B911">
        <v>342</v>
      </c>
      <c r="C911" t="s">
        <v>5248</v>
      </c>
      <c r="D911" s="1">
        <v>42881</v>
      </c>
      <c r="E911" s="1">
        <v>42883</v>
      </c>
      <c r="F911" s="1">
        <v>42883</v>
      </c>
      <c r="G911">
        <v>2</v>
      </c>
      <c r="H911">
        <v>7</v>
      </c>
    </row>
    <row r="912" spans="1:8" x14ac:dyDescent="0.3">
      <c r="A912">
        <v>911</v>
      </c>
      <c r="B912">
        <v>887</v>
      </c>
      <c r="C912" t="s">
        <v>5248</v>
      </c>
      <c r="D912" s="1">
        <v>42881</v>
      </c>
      <c r="E912" s="1">
        <v>42884</v>
      </c>
      <c r="F912" s="1">
        <v>42884</v>
      </c>
      <c r="G912">
        <v>2</v>
      </c>
      <c r="H912">
        <v>6</v>
      </c>
    </row>
    <row r="913" spans="1:8" x14ac:dyDescent="0.3">
      <c r="A913">
        <v>912</v>
      </c>
      <c r="B913">
        <v>519</v>
      </c>
      <c r="C913" t="s">
        <v>5248</v>
      </c>
      <c r="D913" s="1">
        <v>42882</v>
      </c>
      <c r="E913" s="1">
        <v>42884</v>
      </c>
      <c r="F913" s="1">
        <v>42884</v>
      </c>
      <c r="G913">
        <v>1</v>
      </c>
      <c r="H913">
        <v>2</v>
      </c>
    </row>
    <row r="914" spans="1:8" x14ac:dyDescent="0.3">
      <c r="A914">
        <v>913</v>
      </c>
      <c r="B914">
        <v>699</v>
      </c>
      <c r="C914" t="s">
        <v>5248</v>
      </c>
      <c r="D914" s="1">
        <v>42882</v>
      </c>
      <c r="E914" s="1">
        <v>42884</v>
      </c>
      <c r="F914" s="1">
        <v>42884</v>
      </c>
      <c r="G914">
        <v>2</v>
      </c>
      <c r="H914">
        <v>6</v>
      </c>
    </row>
    <row r="915" spans="1:8" x14ac:dyDescent="0.3">
      <c r="A915">
        <v>914</v>
      </c>
      <c r="B915">
        <v>1068</v>
      </c>
      <c r="C915" t="s">
        <v>5248</v>
      </c>
      <c r="D915" s="1">
        <v>42883</v>
      </c>
      <c r="E915" s="1">
        <v>42886</v>
      </c>
      <c r="F915" s="1">
        <v>42886</v>
      </c>
      <c r="G915">
        <v>1</v>
      </c>
      <c r="H915">
        <v>2</v>
      </c>
    </row>
    <row r="916" spans="1:8" x14ac:dyDescent="0.3">
      <c r="A916">
        <v>915</v>
      </c>
      <c r="B916">
        <v>215</v>
      </c>
      <c r="C916" t="s">
        <v>5248</v>
      </c>
      <c r="D916" s="1">
        <v>42883</v>
      </c>
      <c r="E916" s="1">
        <v>42885</v>
      </c>
      <c r="F916" s="1">
        <v>42885</v>
      </c>
      <c r="G916">
        <v>2</v>
      </c>
      <c r="H916">
        <v>6</v>
      </c>
    </row>
    <row r="917" spans="1:8" x14ac:dyDescent="0.3">
      <c r="A917">
        <v>916</v>
      </c>
      <c r="B917">
        <v>718</v>
      </c>
      <c r="C917" t="s">
        <v>5248</v>
      </c>
      <c r="D917" s="1">
        <v>42883</v>
      </c>
      <c r="E917" s="1">
        <v>42884</v>
      </c>
      <c r="F917" s="1">
        <v>42884</v>
      </c>
      <c r="G917">
        <v>2</v>
      </c>
      <c r="H917">
        <v>6</v>
      </c>
    </row>
    <row r="918" spans="1:8" x14ac:dyDescent="0.3">
      <c r="A918">
        <v>917</v>
      </c>
      <c r="B918">
        <v>881</v>
      </c>
      <c r="C918" t="s">
        <v>5248</v>
      </c>
      <c r="D918" s="1">
        <v>42884</v>
      </c>
      <c r="E918" s="1">
        <v>42886</v>
      </c>
      <c r="F918" s="1">
        <v>42887</v>
      </c>
      <c r="G918">
        <v>1</v>
      </c>
      <c r="H918">
        <v>2</v>
      </c>
    </row>
    <row r="919" spans="1:8" x14ac:dyDescent="0.3">
      <c r="A919">
        <v>918</v>
      </c>
      <c r="B919">
        <v>242</v>
      </c>
      <c r="C919" t="s">
        <v>5248</v>
      </c>
      <c r="D919" s="1">
        <v>42885</v>
      </c>
      <c r="E919" s="1">
        <v>42886</v>
      </c>
      <c r="F919" s="1">
        <v>42886</v>
      </c>
      <c r="G919">
        <v>1</v>
      </c>
      <c r="H919">
        <v>3</v>
      </c>
    </row>
    <row r="920" spans="1:8" x14ac:dyDescent="0.3">
      <c r="A920">
        <v>919</v>
      </c>
      <c r="B920">
        <v>781</v>
      </c>
      <c r="C920" t="s">
        <v>5248</v>
      </c>
      <c r="D920" s="1">
        <v>42885</v>
      </c>
      <c r="E920" s="1">
        <v>42886</v>
      </c>
      <c r="F920" s="1">
        <v>42886</v>
      </c>
      <c r="G920">
        <v>2</v>
      </c>
      <c r="H920">
        <v>7</v>
      </c>
    </row>
    <row r="921" spans="1:8" x14ac:dyDescent="0.3">
      <c r="A921">
        <v>920</v>
      </c>
      <c r="B921">
        <v>966</v>
      </c>
      <c r="C921" t="s">
        <v>5248</v>
      </c>
      <c r="D921" s="1">
        <v>42885</v>
      </c>
      <c r="E921" s="1">
        <v>42887</v>
      </c>
      <c r="F921" s="1">
        <v>42888</v>
      </c>
      <c r="G921">
        <v>2</v>
      </c>
      <c r="H921">
        <v>7</v>
      </c>
    </row>
    <row r="922" spans="1:8" x14ac:dyDescent="0.3">
      <c r="A922">
        <v>921</v>
      </c>
      <c r="B922">
        <v>628</v>
      </c>
      <c r="C922" t="s">
        <v>5248</v>
      </c>
      <c r="D922" s="1">
        <v>42886</v>
      </c>
      <c r="E922" s="1">
        <v>42888</v>
      </c>
      <c r="F922" s="1">
        <v>42888</v>
      </c>
      <c r="G922">
        <v>2</v>
      </c>
      <c r="H922">
        <v>6</v>
      </c>
    </row>
    <row r="923" spans="1:8" x14ac:dyDescent="0.3">
      <c r="A923">
        <v>922</v>
      </c>
      <c r="B923">
        <v>656</v>
      </c>
      <c r="C923" t="s">
        <v>5248</v>
      </c>
      <c r="D923" s="1">
        <v>42886</v>
      </c>
      <c r="E923" s="1">
        <v>42887</v>
      </c>
      <c r="F923" s="1">
        <v>42889</v>
      </c>
      <c r="G923">
        <v>2</v>
      </c>
      <c r="H923">
        <v>6</v>
      </c>
    </row>
    <row r="924" spans="1:8" x14ac:dyDescent="0.3">
      <c r="A924">
        <v>923</v>
      </c>
      <c r="B924">
        <v>769</v>
      </c>
      <c r="C924" t="s">
        <v>5248</v>
      </c>
      <c r="D924" s="1">
        <v>42886</v>
      </c>
      <c r="E924" s="1">
        <v>42889</v>
      </c>
      <c r="F924" s="1">
        <v>42888</v>
      </c>
      <c r="G924">
        <v>2</v>
      </c>
      <c r="H924">
        <v>7</v>
      </c>
    </row>
    <row r="925" spans="1:8" x14ac:dyDescent="0.3">
      <c r="A925">
        <v>924</v>
      </c>
      <c r="B925">
        <v>68</v>
      </c>
      <c r="C925" t="s">
        <v>5249</v>
      </c>
      <c r="D925" s="1">
        <v>42888</v>
      </c>
      <c r="E925" s="1">
        <v>42888</v>
      </c>
      <c r="F925" s="1"/>
      <c r="G925">
        <v>3</v>
      </c>
      <c r="H925">
        <v>8</v>
      </c>
    </row>
    <row r="926" spans="1:8" x14ac:dyDescent="0.3">
      <c r="A926">
        <v>925</v>
      </c>
      <c r="B926">
        <v>1316</v>
      </c>
      <c r="C926" t="s">
        <v>5248</v>
      </c>
      <c r="D926" s="1">
        <v>42888</v>
      </c>
      <c r="E926" s="1">
        <v>42891</v>
      </c>
      <c r="F926" s="1">
        <v>42889</v>
      </c>
      <c r="G926">
        <v>2</v>
      </c>
      <c r="H926">
        <v>7</v>
      </c>
    </row>
    <row r="927" spans="1:8" x14ac:dyDescent="0.3">
      <c r="A927">
        <v>926</v>
      </c>
      <c r="B927">
        <v>233</v>
      </c>
      <c r="C927" t="s">
        <v>5248</v>
      </c>
      <c r="D927" s="1">
        <v>42889</v>
      </c>
      <c r="E927" s="1">
        <v>42891</v>
      </c>
      <c r="F927" s="1">
        <v>42892</v>
      </c>
      <c r="G927">
        <v>1</v>
      </c>
      <c r="H927">
        <v>2</v>
      </c>
    </row>
    <row r="928" spans="1:8" x14ac:dyDescent="0.3">
      <c r="A928">
        <v>927</v>
      </c>
      <c r="B928">
        <v>1438</v>
      </c>
      <c r="C928" t="s">
        <v>5248</v>
      </c>
      <c r="D928" s="1">
        <v>42889</v>
      </c>
      <c r="E928" s="1">
        <v>42891</v>
      </c>
      <c r="F928" s="1">
        <v>42892</v>
      </c>
      <c r="G928">
        <v>1</v>
      </c>
      <c r="H928">
        <v>2</v>
      </c>
    </row>
    <row r="929" spans="1:8" x14ac:dyDescent="0.3">
      <c r="A929">
        <v>928</v>
      </c>
      <c r="B929">
        <v>957</v>
      </c>
      <c r="C929" t="s">
        <v>5248</v>
      </c>
      <c r="D929" s="1">
        <v>42891</v>
      </c>
      <c r="E929" s="1">
        <v>42892</v>
      </c>
      <c r="F929" s="1">
        <v>42892</v>
      </c>
      <c r="G929">
        <v>1</v>
      </c>
      <c r="H929">
        <v>3</v>
      </c>
    </row>
    <row r="930" spans="1:8" x14ac:dyDescent="0.3">
      <c r="A930">
        <v>929</v>
      </c>
      <c r="B930">
        <v>472</v>
      </c>
      <c r="C930" t="s">
        <v>5248</v>
      </c>
      <c r="D930" s="1">
        <v>42891</v>
      </c>
      <c r="E930" s="1">
        <v>42892</v>
      </c>
      <c r="F930" s="1">
        <v>42894</v>
      </c>
      <c r="G930">
        <v>2</v>
      </c>
      <c r="H930">
        <v>6</v>
      </c>
    </row>
    <row r="931" spans="1:8" x14ac:dyDescent="0.3">
      <c r="A931">
        <v>930</v>
      </c>
      <c r="B931">
        <v>1224</v>
      </c>
      <c r="C931" t="s">
        <v>5248</v>
      </c>
      <c r="D931" s="1">
        <v>42891</v>
      </c>
      <c r="E931" s="1">
        <v>42892</v>
      </c>
      <c r="F931" s="1">
        <v>42892</v>
      </c>
      <c r="G931">
        <v>3</v>
      </c>
      <c r="H931">
        <v>9</v>
      </c>
    </row>
    <row r="932" spans="1:8" x14ac:dyDescent="0.3">
      <c r="A932">
        <v>931</v>
      </c>
      <c r="B932">
        <v>631</v>
      </c>
      <c r="C932" t="s">
        <v>5248</v>
      </c>
      <c r="D932" s="1">
        <v>42893</v>
      </c>
      <c r="E932" s="1">
        <v>42894</v>
      </c>
      <c r="F932" s="1">
        <v>42894</v>
      </c>
      <c r="G932">
        <v>2</v>
      </c>
      <c r="H932">
        <v>6</v>
      </c>
    </row>
    <row r="933" spans="1:8" x14ac:dyDescent="0.3">
      <c r="A933">
        <v>932</v>
      </c>
      <c r="B933">
        <v>804</v>
      </c>
      <c r="C933" t="s">
        <v>5248</v>
      </c>
      <c r="D933" s="1">
        <v>42893</v>
      </c>
      <c r="E933" s="1">
        <v>42894</v>
      </c>
      <c r="F933" s="1">
        <v>42895</v>
      </c>
      <c r="G933">
        <v>2</v>
      </c>
      <c r="H933">
        <v>6</v>
      </c>
    </row>
    <row r="934" spans="1:8" x14ac:dyDescent="0.3">
      <c r="A934">
        <v>933</v>
      </c>
      <c r="B934">
        <v>909</v>
      </c>
      <c r="C934" t="s">
        <v>5248</v>
      </c>
      <c r="D934" s="1">
        <v>42893</v>
      </c>
      <c r="E934" s="1">
        <v>42896</v>
      </c>
      <c r="F934" s="1">
        <v>42894</v>
      </c>
      <c r="G934">
        <v>2</v>
      </c>
      <c r="H934">
        <v>6</v>
      </c>
    </row>
    <row r="935" spans="1:8" x14ac:dyDescent="0.3">
      <c r="A935">
        <v>934</v>
      </c>
      <c r="B935">
        <v>93</v>
      </c>
      <c r="C935" t="s">
        <v>5248</v>
      </c>
      <c r="D935" s="1">
        <v>42895</v>
      </c>
      <c r="E935" s="1">
        <v>42896</v>
      </c>
      <c r="F935" s="1">
        <v>42898</v>
      </c>
      <c r="G935">
        <v>2</v>
      </c>
      <c r="H935">
        <v>7</v>
      </c>
    </row>
    <row r="936" spans="1:8" x14ac:dyDescent="0.3">
      <c r="A936">
        <v>935</v>
      </c>
      <c r="B936">
        <v>43</v>
      </c>
      <c r="C936" t="s">
        <v>5249</v>
      </c>
      <c r="D936" s="1">
        <v>42896</v>
      </c>
      <c r="E936" s="1">
        <v>42896</v>
      </c>
      <c r="F936" s="1"/>
      <c r="G936">
        <v>3</v>
      </c>
      <c r="H936">
        <v>8</v>
      </c>
    </row>
    <row r="937" spans="1:8" x14ac:dyDescent="0.3">
      <c r="A937">
        <v>936</v>
      </c>
      <c r="B937">
        <v>265</v>
      </c>
      <c r="C937" t="s">
        <v>5248</v>
      </c>
      <c r="D937" s="1">
        <v>42896</v>
      </c>
      <c r="E937" s="1">
        <v>42899</v>
      </c>
      <c r="F937" s="1">
        <v>42898</v>
      </c>
      <c r="G937">
        <v>2</v>
      </c>
      <c r="H937">
        <v>6</v>
      </c>
    </row>
    <row r="938" spans="1:8" x14ac:dyDescent="0.3">
      <c r="A938">
        <v>937</v>
      </c>
      <c r="B938">
        <v>73</v>
      </c>
      <c r="C938" t="s">
        <v>5248</v>
      </c>
      <c r="D938" s="1">
        <v>42897</v>
      </c>
      <c r="E938" s="1">
        <v>42900</v>
      </c>
      <c r="F938" s="1">
        <v>42899</v>
      </c>
      <c r="G938">
        <v>2</v>
      </c>
      <c r="H938">
        <v>7</v>
      </c>
    </row>
    <row r="939" spans="1:8" x14ac:dyDescent="0.3">
      <c r="A939">
        <v>938</v>
      </c>
      <c r="B939">
        <v>129</v>
      </c>
      <c r="C939" t="s">
        <v>5248</v>
      </c>
      <c r="D939" s="1">
        <v>42897</v>
      </c>
      <c r="E939" s="1">
        <v>42898</v>
      </c>
      <c r="F939" s="1">
        <v>42898</v>
      </c>
      <c r="G939">
        <v>2</v>
      </c>
      <c r="H939">
        <v>6</v>
      </c>
    </row>
    <row r="940" spans="1:8" x14ac:dyDescent="0.3">
      <c r="A940">
        <v>939</v>
      </c>
      <c r="B940">
        <v>1407</v>
      </c>
      <c r="C940" t="s">
        <v>5248</v>
      </c>
      <c r="D940" s="1">
        <v>42897</v>
      </c>
      <c r="E940" s="1">
        <v>42898</v>
      </c>
      <c r="F940" s="1">
        <v>42900</v>
      </c>
      <c r="G940">
        <v>2</v>
      </c>
      <c r="H940">
        <v>6</v>
      </c>
    </row>
    <row r="941" spans="1:8" x14ac:dyDescent="0.3">
      <c r="A941">
        <v>940</v>
      </c>
      <c r="B941">
        <v>585</v>
      </c>
      <c r="C941" t="s">
        <v>5248</v>
      </c>
      <c r="D941" s="1">
        <v>42898</v>
      </c>
      <c r="E941" s="1">
        <v>42900</v>
      </c>
      <c r="F941" s="1">
        <v>42899</v>
      </c>
      <c r="G941">
        <v>1</v>
      </c>
      <c r="H941">
        <v>2</v>
      </c>
    </row>
    <row r="942" spans="1:8" x14ac:dyDescent="0.3">
      <c r="A942">
        <v>941</v>
      </c>
      <c r="B942">
        <v>736</v>
      </c>
      <c r="C942" t="s">
        <v>5248</v>
      </c>
      <c r="D942" s="1">
        <v>42898</v>
      </c>
      <c r="E942" s="1">
        <v>42900</v>
      </c>
      <c r="F942" s="1">
        <v>42900</v>
      </c>
      <c r="G942">
        <v>1</v>
      </c>
      <c r="H942">
        <v>2</v>
      </c>
    </row>
    <row r="943" spans="1:8" x14ac:dyDescent="0.3">
      <c r="A943">
        <v>942</v>
      </c>
      <c r="B943">
        <v>537</v>
      </c>
      <c r="C943" t="s">
        <v>5248</v>
      </c>
      <c r="D943" s="1">
        <v>42899</v>
      </c>
      <c r="E943" s="1">
        <v>42902</v>
      </c>
      <c r="F943" s="1">
        <v>42901</v>
      </c>
      <c r="G943">
        <v>2</v>
      </c>
      <c r="H943">
        <v>6</v>
      </c>
    </row>
    <row r="944" spans="1:8" x14ac:dyDescent="0.3">
      <c r="A944">
        <v>943</v>
      </c>
      <c r="B944">
        <v>1025</v>
      </c>
      <c r="C944" t="s">
        <v>5248</v>
      </c>
      <c r="D944" s="1">
        <v>42899</v>
      </c>
      <c r="E944" s="1">
        <v>42901</v>
      </c>
      <c r="F944" s="1">
        <v>42901</v>
      </c>
      <c r="G944">
        <v>2</v>
      </c>
      <c r="H944">
        <v>6</v>
      </c>
    </row>
    <row r="945" spans="1:8" x14ac:dyDescent="0.3">
      <c r="A945">
        <v>944</v>
      </c>
      <c r="B945">
        <v>138</v>
      </c>
      <c r="C945" t="s">
        <v>5248</v>
      </c>
      <c r="D945" s="1">
        <v>42900</v>
      </c>
      <c r="E945" s="1">
        <v>42901</v>
      </c>
      <c r="F945" s="1">
        <v>42903</v>
      </c>
      <c r="G945">
        <v>1</v>
      </c>
      <c r="H945">
        <v>3</v>
      </c>
    </row>
    <row r="946" spans="1:8" x14ac:dyDescent="0.3">
      <c r="A946">
        <v>945</v>
      </c>
      <c r="B946">
        <v>167</v>
      </c>
      <c r="C946" t="s">
        <v>5248</v>
      </c>
      <c r="D946" s="1">
        <v>42900</v>
      </c>
      <c r="E946" s="1">
        <v>42901</v>
      </c>
      <c r="F946" s="1">
        <v>42902</v>
      </c>
      <c r="G946">
        <v>2</v>
      </c>
      <c r="H946">
        <v>7</v>
      </c>
    </row>
    <row r="947" spans="1:8" x14ac:dyDescent="0.3">
      <c r="A947">
        <v>946</v>
      </c>
      <c r="B947">
        <v>525</v>
      </c>
      <c r="C947" t="s">
        <v>5248</v>
      </c>
      <c r="D947" s="1">
        <v>42900</v>
      </c>
      <c r="E947" s="1">
        <v>42902</v>
      </c>
      <c r="F947" s="1">
        <v>42901</v>
      </c>
      <c r="G947">
        <v>2</v>
      </c>
      <c r="H947">
        <v>6</v>
      </c>
    </row>
    <row r="948" spans="1:8" x14ac:dyDescent="0.3">
      <c r="A948">
        <v>947</v>
      </c>
      <c r="B948">
        <v>278</v>
      </c>
      <c r="C948" t="s">
        <v>5248</v>
      </c>
      <c r="D948" s="1">
        <v>42901</v>
      </c>
      <c r="E948" s="1">
        <v>42904</v>
      </c>
      <c r="F948" s="1">
        <v>42903</v>
      </c>
      <c r="G948">
        <v>1</v>
      </c>
      <c r="H948">
        <v>3</v>
      </c>
    </row>
    <row r="949" spans="1:8" x14ac:dyDescent="0.3">
      <c r="A949">
        <v>948</v>
      </c>
      <c r="B949">
        <v>618</v>
      </c>
      <c r="C949" t="s">
        <v>5248</v>
      </c>
      <c r="D949" s="1">
        <v>42901</v>
      </c>
      <c r="E949" s="1">
        <v>42903</v>
      </c>
      <c r="F949" s="1">
        <v>42903</v>
      </c>
      <c r="G949">
        <v>2</v>
      </c>
      <c r="H949">
        <v>6</v>
      </c>
    </row>
    <row r="950" spans="1:8" x14ac:dyDescent="0.3">
      <c r="A950">
        <v>949</v>
      </c>
      <c r="B950">
        <v>867</v>
      </c>
      <c r="C950" t="s">
        <v>5248</v>
      </c>
      <c r="D950" s="1">
        <v>42902</v>
      </c>
      <c r="E950" s="1">
        <v>42904</v>
      </c>
      <c r="F950" s="1">
        <v>42903</v>
      </c>
      <c r="G950">
        <v>1</v>
      </c>
      <c r="H950">
        <v>3</v>
      </c>
    </row>
    <row r="951" spans="1:8" x14ac:dyDescent="0.3">
      <c r="A951">
        <v>950</v>
      </c>
      <c r="B951">
        <v>142</v>
      </c>
      <c r="C951" t="s">
        <v>5248</v>
      </c>
      <c r="D951" s="1">
        <v>42902</v>
      </c>
      <c r="E951" s="1">
        <v>42905</v>
      </c>
      <c r="F951" s="1">
        <v>42904</v>
      </c>
      <c r="G951">
        <v>2</v>
      </c>
      <c r="H951">
        <v>6</v>
      </c>
    </row>
    <row r="952" spans="1:8" x14ac:dyDescent="0.3">
      <c r="A952">
        <v>951</v>
      </c>
      <c r="B952">
        <v>339</v>
      </c>
      <c r="C952" t="s">
        <v>5248</v>
      </c>
      <c r="D952" s="1">
        <v>42902</v>
      </c>
      <c r="E952" s="1">
        <v>42905</v>
      </c>
      <c r="F952" s="1">
        <v>42905</v>
      </c>
      <c r="G952">
        <v>2</v>
      </c>
      <c r="H952">
        <v>7</v>
      </c>
    </row>
    <row r="953" spans="1:8" x14ac:dyDescent="0.3">
      <c r="A953">
        <v>952</v>
      </c>
      <c r="B953">
        <v>355</v>
      </c>
      <c r="C953" t="s">
        <v>5248</v>
      </c>
      <c r="D953" s="1">
        <v>42902</v>
      </c>
      <c r="E953" s="1">
        <v>42904</v>
      </c>
      <c r="F953" s="1">
        <v>42904</v>
      </c>
      <c r="G953">
        <v>2</v>
      </c>
      <c r="H953">
        <v>7</v>
      </c>
    </row>
    <row r="954" spans="1:8" x14ac:dyDescent="0.3">
      <c r="A954">
        <v>953</v>
      </c>
      <c r="B954">
        <v>658</v>
      </c>
      <c r="C954" t="s">
        <v>5248</v>
      </c>
      <c r="D954" s="1">
        <v>42902</v>
      </c>
      <c r="E954" s="1">
        <v>42904</v>
      </c>
      <c r="F954" s="1">
        <v>42903</v>
      </c>
      <c r="G954">
        <v>2</v>
      </c>
      <c r="H954">
        <v>7</v>
      </c>
    </row>
    <row r="955" spans="1:8" x14ac:dyDescent="0.3">
      <c r="A955">
        <v>954</v>
      </c>
      <c r="B955">
        <v>611</v>
      </c>
      <c r="C955" t="s">
        <v>5248</v>
      </c>
      <c r="D955" s="1">
        <v>42903</v>
      </c>
      <c r="E955" s="1">
        <v>42906</v>
      </c>
      <c r="F955" s="1">
        <v>42906</v>
      </c>
      <c r="G955">
        <v>2</v>
      </c>
      <c r="H955">
        <v>6</v>
      </c>
    </row>
    <row r="956" spans="1:8" x14ac:dyDescent="0.3">
      <c r="A956">
        <v>955</v>
      </c>
      <c r="B956">
        <v>880</v>
      </c>
      <c r="C956" t="s">
        <v>5248</v>
      </c>
      <c r="D956" s="1">
        <v>42903</v>
      </c>
      <c r="E956" s="1">
        <v>42905</v>
      </c>
      <c r="F956" s="1">
        <v>42904</v>
      </c>
      <c r="G956">
        <v>2</v>
      </c>
      <c r="H956">
        <v>6</v>
      </c>
    </row>
    <row r="957" spans="1:8" x14ac:dyDescent="0.3">
      <c r="A957">
        <v>956</v>
      </c>
      <c r="B957">
        <v>1184</v>
      </c>
      <c r="C957" t="s">
        <v>5248</v>
      </c>
      <c r="D957" s="1">
        <v>42903</v>
      </c>
      <c r="E957" s="1">
        <v>42905</v>
      </c>
      <c r="F957" s="1">
        <v>42906</v>
      </c>
      <c r="G957">
        <v>2</v>
      </c>
      <c r="H957">
        <v>6</v>
      </c>
    </row>
    <row r="958" spans="1:8" x14ac:dyDescent="0.3">
      <c r="A958">
        <v>957</v>
      </c>
      <c r="B958">
        <v>722</v>
      </c>
      <c r="C958" t="s">
        <v>5248</v>
      </c>
      <c r="D958" s="1">
        <v>42903</v>
      </c>
      <c r="E958" s="1">
        <v>42906</v>
      </c>
      <c r="F958" s="1">
        <v>42906</v>
      </c>
      <c r="G958">
        <v>3</v>
      </c>
      <c r="H958">
        <v>9</v>
      </c>
    </row>
    <row r="959" spans="1:8" x14ac:dyDescent="0.3">
      <c r="A959">
        <v>958</v>
      </c>
      <c r="B959">
        <v>1276</v>
      </c>
      <c r="C959" t="s">
        <v>5248</v>
      </c>
      <c r="D959" s="1">
        <v>42904</v>
      </c>
      <c r="E959" s="1">
        <v>42906</v>
      </c>
      <c r="F959" s="1">
        <v>42905</v>
      </c>
      <c r="G959">
        <v>1</v>
      </c>
      <c r="H959">
        <v>2</v>
      </c>
    </row>
    <row r="960" spans="1:8" x14ac:dyDescent="0.3">
      <c r="A960">
        <v>959</v>
      </c>
      <c r="B960">
        <v>650</v>
      </c>
      <c r="C960" t="s">
        <v>5248</v>
      </c>
      <c r="D960" s="1">
        <v>42904</v>
      </c>
      <c r="E960" s="1">
        <v>42907</v>
      </c>
      <c r="F960" s="1">
        <v>42907</v>
      </c>
      <c r="G960">
        <v>2</v>
      </c>
      <c r="H960">
        <v>7</v>
      </c>
    </row>
    <row r="961" spans="1:8" x14ac:dyDescent="0.3">
      <c r="A961">
        <v>960</v>
      </c>
      <c r="B961">
        <v>1390</v>
      </c>
      <c r="C961" t="s">
        <v>5248</v>
      </c>
      <c r="D961" s="1">
        <v>42904</v>
      </c>
      <c r="E961" s="1">
        <v>42905</v>
      </c>
      <c r="F961" s="1">
        <v>42905</v>
      </c>
      <c r="G961">
        <v>2</v>
      </c>
      <c r="H961">
        <v>7</v>
      </c>
    </row>
    <row r="962" spans="1:8" x14ac:dyDescent="0.3">
      <c r="A962">
        <v>961</v>
      </c>
      <c r="B962">
        <v>82</v>
      </c>
      <c r="C962" t="s">
        <v>5248</v>
      </c>
      <c r="D962" s="1">
        <v>42905</v>
      </c>
      <c r="E962" s="1">
        <v>42907</v>
      </c>
      <c r="F962" s="1">
        <v>42908</v>
      </c>
      <c r="G962">
        <v>1</v>
      </c>
      <c r="H962">
        <v>2</v>
      </c>
    </row>
    <row r="963" spans="1:8" x14ac:dyDescent="0.3">
      <c r="A963">
        <v>962</v>
      </c>
      <c r="B963">
        <v>570</v>
      </c>
      <c r="C963" t="s">
        <v>5248</v>
      </c>
      <c r="D963" s="1">
        <v>42905</v>
      </c>
      <c r="E963" s="1">
        <v>42908</v>
      </c>
      <c r="F963" s="1">
        <v>42906</v>
      </c>
      <c r="G963">
        <v>2</v>
      </c>
      <c r="H963">
        <v>7</v>
      </c>
    </row>
    <row r="964" spans="1:8" x14ac:dyDescent="0.3">
      <c r="A964">
        <v>963</v>
      </c>
      <c r="B964">
        <v>1432</v>
      </c>
      <c r="C964" t="s">
        <v>5248</v>
      </c>
      <c r="D964" s="1">
        <v>42905</v>
      </c>
      <c r="E964" s="1">
        <v>42907</v>
      </c>
      <c r="F964" s="1">
        <v>42907</v>
      </c>
      <c r="G964">
        <v>2</v>
      </c>
      <c r="H964">
        <v>6</v>
      </c>
    </row>
    <row r="965" spans="1:8" x14ac:dyDescent="0.3">
      <c r="A965">
        <v>964</v>
      </c>
      <c r="B965">
        <v>404</v>
      </c>
      <c r="C965" t="s">
        <v>5248</v>
      </c>
      <c r="D965" s="1">
        <v>42906</v>
      </c>
      <c r="E965" s="1">
        <v>42908</v>
      </c>
      <c r="F965" s="1">
        <v>42908</v>
      </c>
      <c r="G965">
        <v>2</v>
      </c>
      <c r="H965">
        <v>7</v>
      </c>
    </row>
    <row r="966" spans="1:8" x14ac:dyDescent="0.3">
      <c r="A966">
        <v>965</v>
      </c>
      <c r="B966">
        <v>457</v>
      </c>
      <c r="C966" t="s">
        <v>5248</v>
      </c>
      <c r="D966" s="1">
        <v>42906</v>
      </c>
      <c r="E966" s="1">
        <v>42908</v>
      </c>
      <c r="F966" s="1">
        <v>42909</v>
      </c>
      <c r="G966">
        <v>2</v>
      </c>
      <c r="H966">
        <v>6</v>
      </c>
    </row>
    <row r="967" spans="1:8" x14ac:dyDescent="0.3">
      <c r="A967">
        <v>966</v>
      </c>
      <c r="B967">
        <v>389</v>
      </c>
      <c r="C967" t="s">
        <v>5248</v>
      </c>
      <c r="D967" s="1">
        <v>42906</v>
      </c>
      <c r="E967" s="1">
        <v>42908</v>
      </c>
      <c r="F967" s="1">
        <v>42908</v>
      </c>
      <c r="G967">
        <v>3</v>
      </c>
      <c r="H967">
        <v>8</v>
      </c>
    </row>
    <row r="968" spans="1:8" x14ac:dyDescent="0.3">
      <c r="A968">
        <v>967</v>
      </c>
      <c r="B968">
        <v>1323</v>
      </c>
      <c r="C968" t="s">
        <v>5248</v>
      </c>
      <c r="D968" s="1">
        <v>42907</v>
      </c>
      <c r="E968" s="1">
        <v>42910</v>
      </c>
      <c r="F968" s="1">
        <v>42910</v>
      </c>
      <c r="G968">
        <v>2</v>
      </c>
      <c r="H968">
        <v>6</v>
      </c>
    </row>
    <row r="969" spans="1:8" x14ac:dyDescent="0.3">
      <c r="A969">
        <v>968</v>
      </c>
      <c r="B969">
        <v>1403</v>
      </c>
      <c r="C969" t="s">
        <v>5248</v>
      </c>
      <c r="D969" s="1">
        <v>42907</v>
      </c>
      <c r="E969" s="1">
        <v>42909</v>
      </c>
      <c r="F969" s="1">
        <v>42909</v>
      </c>
      <c r="G969">
        <v>2</v>
      </c>
      <c r="H969">
        <v>6</v>
      </c>
    </row>
    <row r="970" spans="1:8" x14ac:dyDescent="0.3">
      <c r="A970">
        <v>969</v>
      </c>
      <c r="B970">
        <v>248</v>
      </c>
      <c r="C970" t="s">
        <v>5248</v>
      </c>
      <c r="D970" s="1">
        <v>42907</v>
      </c>
      <c r="E970" s="1">
        <v>42910</v>
      </c>
      <c r="F970" s="1">
        <v>42908</v>
      </c>
      <c r="G970">
        <v>3</v>
      </c>
      <c r="H970">
        <v>9</v>
      </c>
    </row>
    <row r="971" spans="1:8" x14ac:dyDescent="0.3">
      <c r="A971">
        <v>970</v>
      </c>
      <c r="B971">
        <v>836</v>
      </c>
      <c r="C971" t="s">
        <v>5248</v>
      </c>
      <c r="D971" s="1">
        <v>42908</v>
      </c>
      <c r="E971" s="1">
        <v>42911</v>
      </c>
      <c r="F971" s="1">
        <v>42909</v>
      </c>
      <c r="G971">
        <v>2</v>
      </c>
      <c r="H971">
        <v>7</v>
      </c>
    </row>
    <row r="972" spans="1:8" x14ac:dyDescent="0.3">
      <c r="A972">
        <v>971</v>
      </c>
      <c r="B972">
        <v>1426</v>
      </c>
      <c r="C972" t="s">
        <v>5248</v>
      </c>
      <c r="D972" s="1">
        <v>42908</v>
      </c>
      <c r="E972" s="1">
        <v>42909</v>
      </c>
      <c r="F972" s="1">
        <v>42910</v>
      </c>
      <c r="G972">
        <v>3</v>
      </c>
      <c r="H972">
        <v>8</v>
      </c>
    </row>
    <row r="973" spans="1:8" x14ac:dyDescent="0.3">
      <c r="A973">
        <v>972</v>
      </c>
      <c r="B973">
        <v>270</v>
      </c>
      <c r="C973" t="s">
        <v>5248</v>
      </c>
      <c r="D973" s="1">
        <v>42909</v>
      </c>
      <c r="E973" s="1">
        <v>42910</v>
      </c>
      <c r="F973" s="1">
        <v>42911</v>
      </c>
      <c r="G973">
        <v>2</v>
      </c>
      <c r="H973">
        <v>7</v>
      </c>
    </row>
    <row r="974" spans="1:8" x14ac:dyDescent="0.3">
      <c r="A974">
        <v>973</v>
      </c>
      <c r="B974">
        <v>238</v>
      </c>
      <c r="C974" t="s">
        <v>5248</v>
      </c>
      <c r="D974" s="1">
        <v>42910</v>
      </c>
      <c r="E974" s="1">
        <v>42913</v>
      </c>
      <c r="F974" s="1">
        <v>42913</v>
      </c>
      <c r="G974">
        <v>2</v>
      </c>
      <c r="H974">
        <v>6</v>
      </c>
    </row>
    <row r="975" spans="1:8" x14ac:dyDescent="0.3">
      <c r="A975">
        <v>974</v>
      </c>
      <c r="B975">
        <v>511</v>
      </c>
      <c r="C975" t="s">
        <v>5248</v>
      </c>
      <c r="D975" s="1">
        <v>42910</v>
      </c>
      <c r="E975" s="1">
        <v>42913</v>
      </c>
      <c r="F975" s="1">
        <v>42913</v>
      </c>
      <c r="G975">
        <v>3</v>
      </c>
      <c r="H975">
        <v>8</v>
      </c>
    </row>
    <row r="976" spans="1:8" x14ac:dyDescent="0.3">
      <c r="A976">
        <v>975</v>
      </c>
      <c r="B976">
        <v>1092</v>
      </c>
      <c r="C976" t="s">
        <v>5248</v>
      </c>
      <c r="D976" s="1">
        <v>42911</v>
      </c>
      <c r="E976" s="1">
        <v>42913</v>
      </c>
      <c r="F976" s="1">
        <v>42914</v>
      </c>
      <c r="G976">
        <v>2</v>
      </c>
      <c r="H976">
        <v>6</v>
      </c>
    </row>
    <row r="977" spans="1:8" x14ac:dyDescent="0.3">
      <c r="A977">
        <v>976</v>
      </c>
      <c r="B977">
        <v>1266</v>
      </c>
      <c r="C977" t="s">
        <v>5248</v>
      </c>
      <c r="D977" s="1">
        <v>42911</v>
      </c>
      <c r="E977" s="1">
        <v>42914</v>
      </c>
      <c r="F977" s="1">
        <v>42913</v>
      </c>
      <c r="G977">
        <v>3</v>
      </c>
      <c r="H977">
        <v>9</v>
      </c>
    </row>
    <row r="978" spans="1:8" x14ac:dyDescent="0.3">
      <c r="A978">
        <v>977</v>
      </c>
      <c r="B978">
        <v>400</v>
      </c>
      <c r="C978" t="s">
        <v>5248</v>
      </c>
      <c r="D978" s="1">
        <v>42912</v>
      </c>
      <c r="E978" s="1">
        <v>42914</v>
      </c>
      <c r="F978" s="1">
        <v>42913</v>
      </c>
      <c r="G978">
        <v>2</v>
      </c>
      <c r="H978">
        <v>7</v>
      </c>
    </row>
    <row r="979" spans="1:8" x14ac:dyDescent="0.3">
      <c r="A979">
        <v>978</v>
      </c>
      <c r="B979">
        <v>1123</v>
      </c>
      <c r="C979" t="s">
        <v>5248</v>
      </c>
      <c r="D979" s="1">
        <v>42912</v>
      </c>
      <c r="E979" s="1">
        <v>42914</v>
      </c>
      <c r="F979" s="1">
        <v>42913</v>
      </c>
      <c r="G979">
        <v>2</v>
      </c>
      <c r="H979">
        <v>6</v>
      </c>
    </row>
    <row r="980" spans="1:8" x14ac:dyDescent="0.3">
      <c r="A980">
        <v>979</v>
      </c>
      <c r="B980">
        <v>1190</v>
      </c>
      <c r="C980" t="s">
        <v>5248</v>
      </c>
      <c r="D980" s="1">
        <v>42912</v>
      </c>
      <c r="E980" s="1">
        <v>42915</v>
      </c>
      <c r="F980" s="1">
        <v>42913</v>
      </c>
      <c r="G980">
        <v>2</v>
      </c>
      <c r="H980">
        <v>6</v>
      </c>
    </row>
    <row r="981" spans="1:8" x14ac:dyDescent="0.3">
      <c r="A981">
        <v>980</v>
      </c>
      <c r="B981">
        <v>328</v>
      </c>
      <c r="C981" t="s">
        <v>5248</v>
      </c>
      <c r="D981" s="1">
        <v>42912</v>
      </c>
      <c r="E981" s="1">
        <v>42914</v>
      </c>
      <c r="F981" s="1">
        <v>42913</v>
      </c>
      <c r="G981">
        <v>3</v>
      </c>
      <c r="H981">
        <v>9</v>
      </c>
    </row>
    <row r="982" spans="1:8" x14ac:dyDescent="0.3">
      <c r="A982">
        <v>981</v>
      </c>
      <c r="B982">
        <v>687</v>
      </c>
      <c r="C982" t="s">
        <v>5248</v>
      </c>
      <c r="D982" s="1">
        <v>42912</v>
      </c>
      <c r="E982" s="1">
        <v>42915</v>
      </c>
      <c r="F982" s="1">
        <v>42914</v>
      </c>
      <c r="G982">
        <v>3</v>
      </c>
      <c r="H982">
        <v>8</v>
      </c>
    </row>
    <row r="983" spans="1:8" x14ac:dyDescent="0.3">
      <c r="A983">
        <v>982</v>
      </c>
      <c r="B983">
        <v>1423</v>
      </c>
      <c r="C983" t="s">
        <v>5248</v>
      </c>
      <c r="D983" s="1">
        <v>42912</v>
      </c>
      <c r="E983" s="1">
        <v>42915</v>
      </c>
      <c r="F983" s="1">
        <v>42914</v>
      </c>
      <c r="G983">
        <v>3</v>
      </c>
      <c r="H983">
        <v>9</v>
      </c>
    </row>
    <row r="984" spans="1:8" x14ac:dyDescent="0.3">
      <c r="A984">
        <v>983</v>
      </c>
      <c r="B984">
        <v>1158</v>
      </c>
      <c r="C984" t="s">
        <v>5248</v>
      </c>
      <c r="D984" s="1">
        <v>42913</v>
      </c>
      <c r="E984" s="1">
        <v>42914</v>
      </c>
      <c r="F984" s="1">
        <v>42915</v>
      </c>
      <c r="G984">
        <v>2</v>
      </c>
      <c r="H984">
        <v>6</v>
      </c>
    </row>
    <row r="985" spans="1:8" x14ac:dyDescent="0.3">
      <c r="A985">
        <v>984</v>
      </c>
      <c r="B985">
        <v>1287</v>
      </c>
      <c r="C985" t="s">
        <v>5248</v>
      </c>
      <c r="D985" s="1">
        <v>42913</v>
      </c>
      <c r="E985" s="1">
        <v>42914</v>
      </c>
      <c r="F985" s="1">
        <v>42915</v>
      </c>
      <c r="G985">
        <v>2</v>
      </c>
      <c r="H985">
        <v>7</v>
      </c>
    </row>
    <row r="986" spans="1:8" x14ac:dyDescent="0.3">
      <c r="A986">
        <v>985</v>
      </c>
      <c r="B986">
        <v>461</v>
      </c>
      <c r="C986" t="s">
        <v>5248</v>
      </c>
      <c r="D986" s="1">
        <v>42916</v>
      </c>
      <c r="E986" s="1">
        <v>42918</v>
      </c>
      <c r="F986" s="1">
        <v>42917</v>
      </c>
      <c r="G986">
        <v>2</v>
      </c>
      <c r="H986">
        <v>6</v>
      </c>
    </row>
    <row r="987" spans="1:8" x14ac:dyDescent="0.3">
      <c r="A987">
        <v>986</v>
      </c>
      <c r="B987">
        <v>556</v>
      </c>
      <c r="C987" t="s">
        <v>5248</v>
      </c>
      <c r="D987" s="1">
        <v>42916</v>
      </c>
      <c r="E987" s="1">
        <v>42919</v>
      </c>
      <c r="F987" s="1">
        <v>42917</v>
      </c>
      <c r="G987">
        <v>2</v>
      </c>
      <c r="H987">
        <v>7</v>
      </c>
    </row>
    <row r="988" spans="1:8" x14ac:dyDescent="0.3">
      <c r="A988">
        <v>987</v>
      </c>
      <c r="B988">
        <v>172</v>
      </c>
      <c r="C988" t="s">
        <v>5248</v>
      </c>
      <c r="D988" s="1">
        <v>42918</v>
      </c>
      <c r="E988" s="1">
        <v>42920</v>
      </c>
      <c r="F988" s="1">
        <v>42920</v>
      </c>
      <c r="G988">
        <v>1</v>
      </c>
      <c r="H988">
        <v>2</v>
      </c>
    </row>
    <row r="989" spans="1:8" x14ac:dyDescent="0.3">
      <c r="A989">
        <v>988</v>
      </c>
      <c r="B989">
        <v>436</v>
      </c>
      <c r="C989" t="s">
        <v>5248</v>
      </c>
      <c r="D989" s="1">
        <v>42918</v>
      </c>
      <c r="E989" s="1">
        <v>42920</v>
      </c>
      <c r="F989" s="1">
        <v>42921</v>
      </c>
      <c r="G989">
        <v>2</v>
      </c>
      <c r="H989">
        <v>6</v>
      </c>
    </row>
    <row r="990" spans="1:8" x14ac:dyDescent="0.3">
      <c r="A990">
        <v>989</v>
      </c>
      <c r="B990">
        <v>1145</v>
      </c>
      <c r="C990" t="s">
        <v>5248</v>
      </c>
      <c r="D990" s="1">
        <v>42918</v>
      </c>
      <c r="E990" s="1">
        <v>42920</v>
      </c>
      <c r="F990" s="1">
        <v>42919</v>
      </c>
      <c r="G990">
        <v>2</v>
      </c>
      <c r="H990">
        <v>6</v>
      </c>
    </row>
    <row r="991" spans="1:8" x14ac:dyDescent="0.3">
      <c r="A991">
        <v>990</v>
      </c>
      <c r="B991">
        <v>706</v>
      </c>
      <c r="C991" t="s">
        <v>5248</v>
      </c>
      <c r="D991" s="1">
        <v>42920</v>
      </c>
      <c r="E991" s="1">
        <v>42923</v>
      </c>
      <c r="F991" s="1">
        <v>42923</v>
      </c>
      <c r="G991">
        <v>2</v>
      </c>
      <c r="H991">
        <v>7</v>
      </c>
    </row>
    <row r="992" spans="1:8" x14ac:dyDescent="0.3">
      <c r="A992">
        <v>991</v>
      </c>
      <c r="B992">
        <v>751</v>
      </c>
      <c r="C992" t="s">
        <v>5248</v>
      </c>
      <c r="D992" s="1">
        <v>42922</v>
      </c>
      <c r="E992" s="1">
        <v>42923</v>
      </c>
      <c r="F992" s="1">
        <v>42925</v>
      </c>
      <c r="G992">
        <v>1</v>
      </c>
      <c r="H992">
        <v>2</v>
      </c>
    </row>
    <row r="993" spans="1:8" x14ac:dyDescent="0.3">
      <c r="A993">
        <v>992</v>
      </c>
      <c r="B993">
        <v>723</v>
      </c>
      <c r="C993" t="s">
        <v>5248</v>
      </c>
      <c r="D993" s="1">
        <v>42923</v>
      </c>
      <c r="E993" s="1">
        <v>42926</v>
      </c>
      <c r="F993" s="1">
        <v>42925</v>
      </c>
      <c r="G993">
        <v>2</v>
      </c>
      <c r="H993">
        <v>7</v>
      </c>
    </row>
    <row r="994" spans="1:8" x14ac:dyDescent="0.3">
      <c r="A994">
        <v>993</v>
      </c>
      <c r="B994">
        <v>1415</v>
      </c>
      <c r="C994" t="s">
        <v>5248</v>
      </c>
      <c r="D994" s="1">
        <v>42925</v>
      </c>
      <c r="E994" s="1">
        <v>42927</v>
      </c>
      <c r="F994" s="1">
        <v>42927</v>
      </c>
      <c r="G994">
        <v>1</v>
      </c>
      <c r="H994">
        <v>3</v>
      </c>
    </row>
    <row r="995" spans="1:8" x14ac:dyDescent="0.3">
      <c r="A995">
        <v>994</v>
      </c>
      <c r="B995">
        <v>419</v>
      </c>
      <c r="C995" t="s">
        <v>5248</v>
      </c>
      <c r="D995" s="1">
        <v>42925</v>
      </c>
      <c r="E995" s="1">
        <v>42927</v>
      </c>
      <c r="F995" s="1">
        <v>42927</v>
      </c>
      <c r="G995">
        <v>2</v>
      </c>
      <c r="H995">
        <v>7</v>
      </c>
    </row>
    <row r="996" spans="1:8" x14ac:dyDescent="0.3">
      <c r="A996">
        <v>995</v>
      </c>
      <c r="B996">
        <v>621</v>
      </c>
      <c r="C996" t="s">
        <v>5248</v>
      </c>
      <c r="D996" s="1">
        <v>42927</v>
      </c>
      <c r="E996" s="1">
        <v>42929</v>
      </c>
      <c r="F996" s="1">
        <v>42930</v>
      </c>
      <c r="G996">
        <v>1</v>
      </c>
      <c r="H996">
        <v>2</v>
      </c>
    </row>
    <row r="997" spans="1:8" x14ac:dyDescent="0.3">
      <c r="A997">
        <v>996</v>
      </c>
      <c r="B997">
        <v>915</v>
      </c>
      <c r="C997" t="s">
        <v>5248</v>
      </c>
      <c r="D997" s="1">
        <v>42927</v>
      </c>
      <c r="E997" s="1">
        <v>42928</v>
      </c>
      <c r="F997" s="1">
        <v>42928</v>
      </c>
      <c r="G997">
        <v>1</v>
      </c>
      <c r="H997">
        <v>2</v>
      </c>
    </row>
    <row r="998" spans="1:8" x14ac:dyDescent="0.3">
      <c r="A998">
        <v>997</v>
      </c>
      <c r="B998">
        <v>485</v>
      </c>
      <c r="C998" t="s">
        <v>5248</v>
      </c>
      <c r="D998" s="1">
        <v>42927</v>
      </c>
      <c r="E998" s="1">
        <v>42929</v>
      </c>
      <c r="F998" s="1">
        <v>42930</v>
      </c>
      <c r="G998">
        <v>2</v>
      </c>
      <c r="H998">
        <v>7</v>
      </c>
    </row>
    <row r="999" spans="1:8" x14ac:dyDescent="0.3">
      <c r="A999">
        <v>998</v>
      </c>
      <c r="B999">
        <v>219</v>
      </c>
      <c r="C999" t="s">
        <v>5248</v>
      </c>
      <c r="D999" s="1">
        <v>42928</v>
      </c>
      <c r="E999" s="1">
        <v>42929</v>
      </c>
      <c r="F999" s="1">
        <v>42930</v>
      </c>
      <c r="G999">
        <v>2</v>
      </c>
      <c r="H999">
        <v>7</v>
      </c>
    </row>
    <row r="1000" spans="1:8" x14ac:dyDescent="0.3">
      <c r="A1000">
        <v>999</v>
      </c>
      <c r="B1000">
        <v>590</v>
      </c>
      <c r="C1000" t="s">
        <v>5248</v>
      </c>
      <c r="D1000" s="1">
        <v>42928</v>
      </c>
      <c r="E1000" s="1">
        <v>42929</v>
      </c>
      <c r="F1000" s="1">
        <v>42930</v>
      </c>
      <c r="G1000">
        <v>2</v>
      </c>
      <c r="H1000">
        <v>6</v>
      </c>
    </row>
    <row r="1001" spans="1:8" x14ac:dyDescent="0.3">
      <c r="A1001">
        <v>1000</v>
      </c>
      <c r="B1001">
        <v>645</v>
      </c>
      <c r="C1001" t="s">
        <v>5248</v>
      </c>
      <c r="D1001" s="1">
        <v>42928</v>
      </c>
      <c r="E1001" s="1">
        <v>42930</v>
      </c>
      <c r="F1001" s="1">
        <v>42931</v>
      </c>
      <c r="G1001">
        <v>2</v>
      </c>
      <c r="H1001">
        <v>7</v>
      </c>
    </row>
    <row r="1002" spans="1:8" x14ac:dyDescent="0.3">
      <c r="A1002">
        <v>1001</v>
      </c>
      <c r="B1002">
        <v>354</v>
      </c>
      <c r="C1002" t="s">
        <v>5248</v>
      </c>
      <c r="D1002" s="1">
        <v>42929</v>
      </c>
      <c r="E1002" s="1">
        <v>42932</v>
      </c>
      <c r="F1002" s="1">
        <v>42931</v>
      </c>
      <c r="G1002">
        <v>2</v>
      </c>
      <c r="H1002">
        <v>6</v>
      </c>
    </row>
    <row r="1003" spans="1:8" x14ac:dyDescent="0.3">
      <c r="A1003">
        <v>1002</v>
      </c>
      <c r="B1003">
        <v>1418</v>
      </c>
      <c r="C1003" t="s">
        <v>5248</v>
      </c>
      <c r="D1003" s="1">
        <v>42930</v>
      </c>
      <c r="E1003" s="1">
        <v>42932</v>
      </c>
      <c r="F1003" s="1">
        <v>42932</v>
      </c>
      <c r="G1003">
        <v>1</v>
      </c>
      <c r="H1003">
        <v>3</v>
      </c>
    </row>
    <row r="1004" spans="1:8" x14ac:dyDescent="0.3">
      <c r="A1004">
        <v>1003</v>
      </c>
      <c r="B1004">
        <v>503</v>
      </c>
      <c r="C1004" t="s">
        <v>5248</v>
      </c>
      <c r="D1004" s="1">
        <v>42930</v>
      </c>
      <c r="E1004" s="1">
        <v>42932</v>
      </c>
      <c r="F1004" s="1">
        <v>42932</v>
      </c>
      <c r="G1004">
        <v>2</v>
      </c>
      <c r="H1004">
        <v>7</v>
      </c>
    </row>
    <row r="1005" spans="1:8" x14ac:dyDescent="0.3">
      <c r="A1005">
        <v>1004</v>
      </c>
      <c r="B1005">
        <v>1389</v>
      </c>
      <c r="C1005" t="s">
        <v>5248</v>
      </c>
      <c r="D1005" s="1">
        <v>42930</v>
      </c>
      <c r="E1005" s="1">
        <v>42933</v>
      </c>
      <c r="F1005" s="1">
        <v>42932</v>
      </c>
      <c r="G1005">
        <v>2</v>
      </c>
      <c r="H1005">
        <v>6</v>
      </c>
    </row>
    <row r="1006" spans="1:8" x14ac:dyDescent="0.3">
      <c r="A1006">
        <v>1005</v>
      </c>
      <c r="B1006">
        <v>266</v>
      </c>
      <c r="C1006" t="s">
        <v>5248</v>
      </c>
      <c r="D1006" s="1">
        <v>42931</v>
      </c>
      <c r="E1006" s="1">
        <v>42933</v>
      </c>
      <c r="F1006" s="1">
        <v>42932</v>
      </c>
      <c r="G1006">
        <v>2</v>
      </c>
      <c r="H1006">
        <v>7</v>
      </c>
    </row>
    <row r="1007" spans="1:8" x14ac:dyDescent="0.3">
      <c r="A1007">
        <v>1006</v>
      </c>
      <c r="B1007">
        <v>1070</v>
      </c>
      <c r="C1007" t="s">
        <v>5248</v>
      </c>
      <c r="D1007" s="1">
        <v>42931</v>
      </c>
      <c r="E1007" s="1">
        <v>42934</v>
      </c>
      <c r="F1007" s="1">
        <v>42933</v>
      </c>
      <c r="G1007">
        <v>2</v>
      </c>
      <c r="H1007">
        <v>7</v>
      </c>
    </row>
    <row r="1008" spans="1:8" x14ac:dyDescent="0.3">
      <c r="A1008">
        <v>1007</v>
      </c>
      <c r="B1008">
        <v>1115</v>
      </c>
      <c r="C1008" t="s">
        <v>5248</v>
      </c>
      <c r="D1008" s="1">
        <v>42932</v>
      </c>
      <c r="E1008" s="1">
        <v>42933</v>
      </c>
      <c r="F1008" s="1">
        <v>42933</v>
      </c>
      <c r="G1008">
        <v>2</v>
      </c>
      <c r="H1008">
        <v>6</v>
      </c>
    </row>
    <row r="1009" spans="1:8" x14ac:dyDescent="0.3">
      <c r="A1009">
        <v>1008</v>
      </c>
      <c r="B1009">
        <v>1345</v>
      </c>
      <c r="C1009" t="s">
        <v>5248</v>
      </c>
      <c r="D1009" s="1">
        <v>42932</v>
      </c>
      <c r="E1009" s="1">
        <v>42934</v>
      </c>
      <c r="F1009" s="1">
        <v>42934</v>
      </c>
      <c r="G1009">
        <v>2</v>
      </c>
      <c r="H1009">
        <v>6</v>
      </c>
    </row>
    <row r="1010" spans="1:8" x14ac:dyDescent="0.3">
      <c r="A1010">
        <v>1009</v>
      </c>
      <c r="B1010">
        <v>1064</v>
      </c>
      <c r="C1010" t="s">
        <v>5248</v>
      </c>
      <c r="D1010" s="1">
        <v>42932</v>
      </c>
      <c r="E1010" s="1">
        <v>42935</v>
      </c>
      <c r="F1010" s="1">
        <v>42935</v>
      </c>
      <c r="G1010">
        <v>3</v>
      </c>
      <c r="H1010">
        <v>8</v>
      </c>
    </row>
    <row r="1011" spans="1:8" x14ac:dyDescent="0.3">
      <c r="A1011">
        <v>1010</v>
      </c>
      <c r="B1011">
        <v>8</v>
      </c>
      <c r="C1011" t="s">
        <v>5249</v>
      </c>
      <c r="D1011" s="1">
        <v>42934</v>
      </c>
      <c r="E1011" s="1">
        <v>42934</v>
      </c>
      <c r="F1011" s="1"/>
      <c r="G1011">
        <v>2</v>
      </c>
      <c r="H1011">
        <v>7</v>
      </c>
    </row>
    <row r="1012" spans="1:8" x14ac:dyDescent="0.3">
      <c r="A1012">
        <v>1011</v>
      </c>
      <c r="B1012">
        <v>495</v>
      </c>
      <c r="C1012" t="s">
        <v>5248</v>
      </c>
      <c r="D1012" s="1">
        <v>42934</v>
      </c>
      <c r="E1012" s="1">
        <v>42937</v>
      </c>
      <c r="F1012" s="1">
        <v>42937</v>
      </c>
      <c r="G1012">
        <v>1</v>
      </c>
      <c r="H1012">
        <v>3</v>
      </c>
    </row>
    <row r="1013" spans="1:8" x14ac:dyDescent="0.3">
      <c r="A1013">
        <v>1012</v>
      </c>
      <c r="B1013">
        <v>620</v>
      </c>
      <c r="C1013" t="s">
        <v>5248</v>
      </c>
      <c r="D1013" s="1">
        <v>42934</v>
      </c>
      <c r="E1013" s="1">
        <v>42936</v>
      </c>
      <c r="F1013" s="1">
        <v>42936</v>
      </c>
      <c r="G1013">
        <v>2</v>
      </c>
      <c r="H1013">
        <v>7</v>
      </c>
    </row>
    <row r="1014" spans="1:8" x14ac:dyDescent="0.3">
      <c r="A1014">
        <v>1013</v>
      </c>
      <c r="B1014">
        <v>174</v>
      </c>
      <c r="C1014" t="s">
        <v>5248</v>
      </c>
      <c r="D1014" s="1">
        <v>42935</v>
      </c>
      <c r="E1014" s="1">
        <v>42938</v>
      </c>
      <c r="F1014" s="1">
        <v>42937</v>
      </c>
      <c r="G1014">
        <v>2</v>
      </c>
      <c r="H1014">
        <v>6</v>
      </c>
    </row>
    <row r="1015" spans="1:8" x14ac:dyDescent="0.3">
      <c r="A1015">
        <v>1014</v>
      </c>
      <c r="B1015">
        <v>748</v>
      </c>
      <c r="C1015" t="s">
        <v>5248</v>
      </c>
      <c r="D1015" s="1">
        <v>42935</v>
      </c>
      <c r="E1015" s="1">
        <v>42937</v>
      </c>
      <c r="F1015" s="1">
        <v>42937</v>
      </c>
      <c r="G1015">
        <v>2</v>
      </c>
      <c r="H1015">
        <v>6</v>
      </c>
    </row>
    <row r="1016" spans="1:8" x14ac:dyDescent="0.3">
      <c r="A1016">
        <v>1015</v>
      </c>
      <c r="B1016">
        <v>799</v>
      </c>
      <c r="C1016" t="s">
        <v>5248</v>
      </c>
      <c r="D1016" s="1">
        <v>42935</v>
      </c>
      <c r="E1016" s="1">
        <v>42938</v>
      </c>
      <c r="F1016" s="1">
        <v>42937</v>
      </c>
      <c r="G1016">
        <v>2</v>
      </c>
      <c r="H1016">
        <v>7</v>
      </c>
    </row>
    <row r="1017" spans="1:8" x14ac:dyDescent="0.3">
      <c r="A1017">
        <v>1016</v>
      </c>
      <c r="B1017">
        <v>1417</v>
      </c>
      <c r="C1017" t="s">
        <v>5248</v>
      </c>
      <c r="D1017" s="1">
        <v>42935</v>
      </c>
      <c r="E1017" s="1">
        <v>42936</v>
      </c>
      <c r="F1017" s="1">
        <v>42937</v>
      </c>
      <c r="G1017">
        <v>3</v>
      </c>
      <c r="H1017">
        <v>9</v>
      </c>
    </row>
    <row r="1018" spans="1:8" x14ac:dyDescent="0.3">
      <c r="A1018">
        <v>1017</v>
      </c>
      <c r="B1018">
        <v>168</v>
      </c>
      <c r="C1018" t="s">
        <v>5248</v>
      </c>
      <c r="D1018" s="1">
        <v>42936</v>
      </c>
      <c r="E1018" s="1">
        <v>42937</v>
      </c>
      <c r="F1018" s="1">
        <v>42939</v>
      </c>
      <c r="G1018">
        <v>2</v>
      </c>
      <c r="H1018">
        <v>6</v>
      </c>
    </row>
    <row r="1019" spans="1:8" x14ac:dyDescent="0.3">
      <c r="A1019">
        <v>1018</v>
      </c>
      <c r="B1019">
        <v>290</v>
      </c>
      <c r="C1019" t="s">
        <v>5248</v>
      </c>
      <c r="D1019" s="1">
        <v>42938</v>
      </c>
      <c r="E1019" s="1">
        <v>42939</v>
      </c>
      <c r="F1019" s="1">
        <v>42939</v>
      </c>
      <c r="G1019">
        <v>2</v>
      </c>
      <c r="H1019">
        <v>6</v>
      </c>
    </row>
    <row r="1020" spans="1:8" x14ac:dyDescent="0.3">
      <c r="A1020">
        <v>1019</v>
      </c>
      <c r="B1020">
        <v>408</v>
      </c>
      <c r="C1020" t="s">
        <v>5248</v>
      </c>
      <c r="D1020" s="1">
        <v>42938</v>
      </c>
      <c r="E1020" s="1">
        <v>42939</v>
      </c>
      <c r="F1020" s="1">
        <v>42940</v>
      </c>
      <c r="G1020">
        <v>2</v>
      </c>
      <c r="H1020">
        <v>7</v>
      </c>
    </row>
    <row r="1021" spans="1:8" x14ac:dyDescent="0.3">
      <c r="A1021">
        <v>1020</v>
      </c>
      <c r="B1021">
        <v>16</v>
      </c>
      <c r="C1021" t="s">
        <v>5249</v>
      </c>
      <c r="D1021" s="1">
        <v>42939</v>
      </c>
      <c r="E1021" s="1">
        <v>42939</v>
      </c>
      <c r="F1021" s="1"/>
      <c r="G1021">
        <v>2</v>
      </c>
      <c r="H1021">
        <v>6</v>
      </c>
    </row>
    <row r="1022" spans="1:8" x14ac:dyDescent="0.3">
      <c r="A1022">
        <v>1021</v>
      </c>
      <c r="B1022">
        <v>125</v>
      </c>
      <c r="C1022" t="s">
        <v>5248</v>
      </c>
      <c r="D1022" s="1">
        <v>42939</v>
      </c>
      <c r="E1022" s="1">
        <v>42940</v>
      </c>
      <c r="F1022" s="1">
        <v>42942</v>
      </c>
      <c r="G1022">
        <v>2</v>
      </c>
      <c r="H1022">
        <v>6</v>
      </c>
    </row>
    <row r="1023" spans="1:8" x14ac:dyDescent="0.3">
      <c r="A1023">
        <v>1022</v>
      </c>
      <c r="B1023">
        <v>353</v>
      </c>
      <c r="C1023" t="s">
        <v>5248</v>
      </c>
      <c r="D1023" s="1">
        <v>42939</v>
      </c>
      <c r="E1023" s="1">
        <v>42942</v>
      </c>
      <c r="F1023" s="1">
        <v>42940</v>
      </c>
      <c r="G1023">
        <v>2</v>
      </c>
      <c r="H1023">
        <v>7</v>
      </c>
    </row>
    <row r="1024" spans="1:8" x14ac:dyDescent="0.3">
      <c r="A1024">
        <v>1023</v>
      </c>
      <c r="B1024">
        <v>356</v>
      </c>
      <c r="C1024" t="s">
        <v>5248</v>
      </c>
      <c r="D1024" s="1">
        <v>42939</v>
      </c>
      <c r="E1024" s="1">
        <v>42942</v>
      </c>
      <c r="F1024" s="1">
        <v>42941</v>
      </c>
      <c r="G1024">
        <v>2</v>
      </c>
      <c r="H1024">
        <v>6</v>
      </c>
    </row>
    <row r="1025" spans="1:8" x14ac:dyDescent="0.3">
      <c r="A1025">
        <v>1024</v>
      </c>
      <c r="B1025">
        <v>837</v>
      </c>
      <c r="C1025" t="s">
        <v>5248</v>
      </c>
      <c r="D1025" s="1">
        <v>42939</v>
      </c>
      <c r="E1025" s="1">
        <v>42941</v>
      </c>
      <c r="F1025" s="1">
        <v>42942</v>
      </c>
      <c r="G1025">
        <v>2</v>
      </c>
      <c r="H1025">
        <v>7</v>
      </c>
    </row>
    <row r="1026" spans="1:8" x14ac:dyDescent="0.3">
      <c r="A1026">
        <v>1025</v>
      </c>
      <c r="B1026">
        <v>1304</v>
      </c>
      <c r="C1026" t="s">
        <v>5248</v>
      </c>
      <c r="D1026" s="1">
        <v>42939</v>
      </c>
      <c r="E1026" s="1">
        <v>42942</v>
      </c>
      <c r="F1026" s="1">
        <v>42942</v>
      </c>
      <c r="G1026">
        <v>2</v>
      </c>
      <c r="H1026">
        <v>6</v>
      </c>
    </row>
    <row r="1027" spans="1:8" x14ac:dyDescent="0.3">
      <c r="A1027">
        <v>1026</v>
      </c>
      <c r="B1027">
        <v>1370</v>
      </c>
      <c r="C1027" t="s">
        <v>5248</v>
      </c>
      <c r="D1027" s="1">
        <v>42942</v>
      </c>
      <c r="E1027" s="1">
        <v>42944</v>
      </c>
      <c r="F1027" s="1">
        <v>42945</v>
      </c>
      <c r="G1027">
        <v>1</v>
      </c>
      <c r="H1027">
        <v>2</v>
      </c>
    </row>
    <row r="1028" spans="1:8" x14ac:dyDescent="0.3">
      <c r="A1028">
        <v>1027</v>
      </c>
      <c r="B1028">
        <v>588</v>
      </c>
      <c r="C1028" t="s">
        <v>5248</v>
      </c>
      <c r="D1028" s="1">
        <v>42942</v>
      </c>
      <c r="E1028" s="1">
        <v>42944</v>
      </c>
      <c r="F1028" s="1">
        <v>42944</v>
      </c>
      <c r="G1028">
        <v>2</v>
      </c>
      <c r="H1028">
        <v>6</v>
      </c>
    </row>
    <row r="1029" spans="1:8" x14ac:dyDescent="0.3">
      <c r="A1029">
        <v>1028</v>
      </c>
      <c r="B1029">
        <v>1273</v>
      </c>
      <c r="C1029" t="s">
        <v>5248</v>
      </c>
      <c r="D1029" s="1">
        <v>42943</v>
      </c>
      <c r="E1029" s="1">
        <v>42944</v>
      </c>
      <c r="F1029" s="1">
        <v>42946</v>
      </c>
      <c r="G1029">
        <v>2</v>
      </c>
      <c r="H1029">
        <v>7</v>
      </c>
    </row>
    <row r="1030" spans="1:8" x14ac:dyDescent="0.3">
      <c r="A1030">
        <v>1029</v>
      </c>
      <c r="B1030">
        <v>407</v>
      </c>
      <c r="C1030" t="s">
        <v>5248</v>
      </c>
      <c r="D1030" s="1">
        <v>42945</v>
      </c>
      <c r="E1030" s="1">
        <v>42946</v>
      </c>
      <c r="F1030" s="1">
        <v>42948</v>
      </c>
      <c r="G1030">
        <v>1</v>
      </c>
      <c r="H1030">
        <v>3</v>
      </c>
    </row>
    <row r="1031" spans="1:8" x14ac:dyDescent="0.3">
      <c r="A1031">
        <v>1030</v>
      </c>
      <c r="B1031">
        <v>161</v>
      </c>
      <c r="C1031" t="s">
        <v>5248</v>
      </c>
      <c r="D1031" s="1">
        <v>42945</v>
      </c>
      <c r="E1031" s="1">
        <v>42946</v>
      </c>
      <c r="F1031" s="1">
        <v>42947</v>
      </c>
      <c r="G1031">
        <v>2</v>
      </c>
      <c r="H1031">
        <v>6</v>
      </c>
    </row>
    <row r="1032" spans="1:8" x14ac:dyDescent="0.3">
      <c r="A1032">
        <v>1031</v>
      </c>
      <c r="B1032">
        <v>1308</v>
      </c>
      <c r="C1032" t="s">
        <v>5248</v>
      </c>
      <c r="D1032" s="1">
        <v>42946</v>
      </c>
      <c r="E1032" s="1">
        <v>42948</v>
      </c>
      <c r="F1032" s="1">
        <v>42949</v>
      </c>
      <c r="G1032">
        <v>1</v>
      </c>
      <c r="H1032">
        <v>2</v>
      </c>
    </row>
    <row r="1033" spans="1:8" x14ac:dyDescent="0.3">
      <c r="A1033">
        <v>1032</v>
      </c>
      <c r="B1033">
        <v>429</v>
      </c>
      <c r="C1033" t="s">
        <v>5248</v>
      </c>
      <c r="D1033" s="1">
        <v>42946</v>
      </c>
      <c r="E1033" s="1">
        <v>42949</v>
      </c>
      <c r="F1033" s="1">
        <v>42948</v>
      </c>
      <c r="G1033">
        <v>2</v>
      </c>
      <c r="H1033">
        <v>6</v>
      </c>
    </row>
    <row r="1034" spans="1:8" x14ac:dyDescent="0.3">
      <c r="A1034">
        <v>1033</v>
      </c>
      <c r="B1034">
        <v>582</v>
      </c>
      <c r="C1034" t="s">
        <v>5248</v>
      </c>
      <c r="D1034" s="1">
        <v>42946</v>
      </c>
      <c r="E1034" s="1">
        <v>42947</v>
      </c>
      <c r="F1034" s="1">
        <v>42949</v>
      </c>
      <c r="G1034">
        <v>2</v>
      </c>
      <c r="H1034">
        <v>7</v>
      </c>
    </row>
    <row r="1035" spans="1:8" x14ac:dyDescent="0.3">
      <c r="A1035">
        <v>1034</v>
      </c>
      <c r="B1035">
        <v>895</v>
      </c>
      <c r="C1035" t="s">
        <v>5248</v>
      </c>
      <c r="D1035" s="1">
        <v>42946</v>
      </c>
      <c r="E1035" s="1">
        <v>42947</v>
      </c>
      <c r="F1035" s="1">
        <v>42947</v>
      </c>
      <c r="G1035">
        <v>2</v>
      </c>
      <c r="H1035">
        <v>7</v>
      </c>
    </row>
    <row r="1036" spans="1:8" x14ac:dyDescent="0.3">
      <c r="A1036">
        <v>1035</v>
      </c>
      <c r="B1036">
        <v>1283</v>
      </c>
      <c r="C1036" t="s">
        <v>5248</v>
      </c>
      <c r="D1036" s="1">
        <v>42946</v>
      </c>
      <c r="E1036" s="1">
        <v>42949</v>
      </c>
      <c r="F1036" s="1">
        <v>42949</v>
      </c>
      <c r="G1036">
        <v>2</v>
      </c>
      <c r="H1036">
        <v>6</v>
      </c>
    </row>
    <row r="1037" spans="1:8" x14ac:dyDescent="0.3">
      <c r="A1037">
        <v>1036</v>
      </c>
      <c r="B1037">
        <v>1442</v>
      </c>
      <c r="C1037" t="s">
        <v>5248</v>
      </c>
      <c r="D1037" s="1">
        <v>42946</v>
      </c>
      <c r="E1037" s="1">
        <v>42948</v>
      </c>
      <c r="F1037" s="1">
        <v>42947</v>
      </c>
      <c r="G1037">
        <v>2</v>
      </c>
      <c r="H1037">
        <v>6</v>
      </c>
    </row>
    <row r="1038" spans="1:8" x14ac:dyDescent="0.3">
      <c r="A1038">
        <v>1037</v>
      </c>
      <c r="B1038">
        <v>1229</v>
      </c>
      <c r="C1038" t="s">
        <v>5248</v>
      </c>
      <c r="D1038" s="1">
        <v>42947</v>
      </c>
      <c r="E1038" s="1">
        <v>42949</v>
      </c>
      <c r="F1038" s="1">
        <v>42950</v>
      </c>
      <c r="G1038">
        <v>2</v>
      </c>
      <c r="H1038">
        <v>6</v>
      </c>
    </row>
    <row r="1039" spans="1:8" x14ac:dyDescent="0.3">
      <c r="A1039">
        <v>1038</v>
      </c>
      <c r="B1039">
        <v>1281</v>
      </c>
      <c r="C1039" t="s">
        <v>5248</v>
      </c>
      <c r="D1039" s="1">
        <v>42947</v>
      </c>
      <c r="E1039" s="1">
        <v>42948</v>
      </c>
      <c r="F1039" s="1">
        <v>42950</v>
      </c>
      <c r="G1039">
        <v>2</v>
      </c>
      <c r="H1039">
        <v>7</v>
      </c>
    </row>
    <row r="1040" spans="1:8" x14ac:dyDescent="0.3">
      <c r="A1040">
        <v>1039</v>
      </c>
      <c r="B1040">
        <v>1077</v>
      </c>
      <c r="C1040" t="s">
        <v>5248</v>
      </c>
      <c r="D1040" s="1">
        <v>42949</v>
      </c>
      <c r="E1040" s="1">
        <v>42951</v>
      </c>
      <c r="F1040" s="1">
        <v>42950</v>
      </c>
      <c r="G1040">
        <v>2</v>
      </c>
      <c r="H1040">
        <v>7</v>
      </c>
    </row>
    <row r="1041" spans="1:8" x14ac:dyDescent="0.3">
      <c r="A1041">
        <v>1040</v>
      </c>
      <c r="B1041">
        <v>1225</v>
      </c>
      <c r="C1041" t="s">
        <v>5248</v>
      </c>
      <c r="D1041" s="1">
        <v>42951</v>
      </c>
      <c r="E1041" s="1">
        <v>42954</v>
      </c>
      <c r="F1041" s="1">
        <v>42952</v>
      </c>
      <c r="G1041">
        <v>1</v>
      </c>
      <c r="H1041">
        <v>2</v>
      </c>
    </row>
    <row r="1042" spans="1:8" x14ac:dyDescent="0.3">
      <c r="A1042">
        <v>1041</v>
      </c>
      <c r="B1042">
        <v>70</v>
      </c>
      <c r="C1042" t="s">
        <v>5248</v>
      </c>
      <c r="D1042" s="1">
        <v>42951</v>
      </c>
      <c r="E1042" s="1">
        <v>42953</v>
      </c>
      <c r="F1042" s="1">
        <v>42952</v>
      </c>
      <c r="G1042">
        <v>2</v>
      </c>
      <c r="H1042">
        <v>7</v>
      </c>
    </row>
    <row r="1043" spans="1:8" x14ac:dyDescent="0.3">
      <c r="A1043">
        <v>1042</v>
      </c>
      <c r="B1043">
        <v>539</v>
      </c>
      <c r="C1043" t="s">
        <v>5248</v>
      </c>
      <c r="D1043" s="1">
        <v>42953</v>
      </c>
      <c r="E1043" s="1">
        <v>42954</v>
      </c>
      <c r="F1043" s="1">
        <v>42954</v>
      </c>
      <c r="G1043">
        <v>2</v>
      </c>
      <c r="H1043">
        <v>7</v>
      </c>
    </row>
    <row r="1044" spans="1:8" x14ac:dyDescent="0.3">
      <c r="A1044">
        <v>1043</v>
      </c>
      <c r="B1044">
        <v>1235</v>
      </c>
      <c r="C1044" t="s">
        <v>5248</v>
      </c>
      <c r="D1044" s="1">
        <v>42953</v>
      </c>
      <c r="E1044" s="1">
        <v>42956</v>
      </c>
      <c r="F1044" s="1">
        <v>42955</v>
      </c>
      <c r="G1044">
        <v>2</v>
      </c>
      <c r="H1044">
        <v>6</v>
      </c>
    </row>
    <row r="1045" spans="1:8" x14ac:dyDescent="0.3">
      <c r="A1045">
        <v>1044</v>
      </c>
      <c r="B1045">
        <v>1270</v>
      </c>
      <c r="C1045" t="s">
        <v>5248</v>
      </c>
      <c r="D1045" s="1">
        <v>42954</v>
      </c>
      <c r="E1045" s="1">
        <v>42957</v>
      </c>
      <c r="F1045" s="1">
        <v>42955</v>
      </c>
      <c r="G1045">
        <v>2</v>
      </c>
      <c r="H1045">
        <v>7</v>
      </c>
    </row>
    <row r="1046" spans="1:8" x14ac:dyDescent="0.3">
      <c r="A1046">
        <v>1045</v>
      </c>
      <c r="B1046">
        <v>185</v>
      </c>
      <c r="C1046" t="s">
        <v>5248</v>
      </c>
      <c r="D1046" s="1">
        <v>42954</v>
      </c>
      <c r="E1046" s="1">
        <v>42956</v>
      </c>
      <c r="F1046" s="1">
        <v>42957</v>
      </c>
      <c r="G1046">
        <v>3</v>
      </c>
      <c r="H1046">
        <v>9</v>
      </c>
    </row>
    <row r="1047" spans="1:8" x14ac:dyDescent="0.3">
      <c r="A1047">
        <v>1046</v>
      </c>
      <c r="B1047">
        <v>1134</v>
      </c>
      <c r="C1047" t="s">
        <v>5248</v>
      </c>
      <c r="D1047" s="1">
        <v>42954</v>
      </c>
      <c r="E1047" s="1">
        <v>42956</v>
      </c>
      <c r="F1047" s="1">
        <v>42955</v>
      </c>
      <c r="G1047">
        <v>3</v>
      </c>
      <c r="H1047">
        <v>8</v>
      </c>
    </row>
    <row r="1048" spans="1:8" x14ac:dyDescent="0.3">
      <c r="A1048">
        <v>1047</v>
      </c>
      <c r="B1048">
        <v>116</v>
      </c>
      <c r="C1048" t="s">
        <v>5249</v>
      </c>
      <c r="D1048" s="1">
        <v>42955</v>
      </c>
      <c r="E1048" s="1">
        <v>42955</v>
      </c>
      <c r="F1048" s="1"/>
      <c r="G1048">
        <v>3</v>
      </c>
      <c r="H1048">
        <v>8</v>
      </c>
    </row>
    <row r="1049" spans="1:8" x14ac:dyDescent="0.3">
      <c r="A1049">
        <v>1048</v>
      </c>
      <c r="B1049">
        <v>777</v>
      </c>
      <c r="C1049" t="s">
        <v>5248</v>
      </c>
      <c r="D1049" s="1">
        <v>42955</v>
      </c>
      <c r="E1049" s="1">
        <v>42957</v>
      </c>
      <c r="F1049" s="1">
        <v>42956</v>
      </c>
      <c r="G1049">
        <v>2</v>
      </c>
      <c r="H1049">
        <v>7</v>
      </c>
    </row>
    <row r="1050" spans="1:8" x14ac:dyDescent="0.3">
      <c r="A1050">
        <v>1049</v>
      </c>
      <c r="B1050">
        <v>194</v>
      </c>
      <c r="C1050" t="s">
        <v>5248</v>
      </c>
      <c r="D1050" s="1">
        <v>42956</v>
      </c>
      <c r="E1050" s="1">
        <v>42958</v>
      </c>
      <c r="F1050" s="1">
        <v>42957</v>
      </c>
      <c r="G1050">
        <v>1</v>
      </c>
      <c r="H1050">
        <v>2</v>
      </c>
    </row>
    <row r="1051" spans="1:8" x14ac:dyDescent="0.3">
      <c r="A1051">
        <v>1050</v>
      </c>
      <c r="B1051">
        <v>239</v>
      </c>
      <c r="C1051" t="s">
        <v>5248</v>
      </c>
      <c r="D1051" s="1">
        <v>42956</v>
      </c>
      <c r="E1051" s="1">
        <v>42959</v>
      </c>
      <c r="F1051" s="1">
        <v>42959</v>
      </c>
      <c r="G1051">
        <v>1</v>
      </c>
      <c r="H1051">
        <v>3</v>
      </c>
    </row>
    <row r="1052" spans="1:8" x14ac:dyDescent="0.3">
      <c r="A1052">
        <v>1051</v>
      </c>
      <c r="B1052">
        <v>209</v>
      </c>
      <c r="C1052" t="s">
        <v>5248</v>
      </c>
      <c r="D1052" s="1">
        <v>42957</v>
      </c>
      <c r="E1052" s="1">
        <v>42958</v>
      </c>
      <c r="F1052" s="1">
        <v>42958</v>
      </c>
      <c r="G1052">
        <v>2</v>
      </c>
      <c r="H1052">
        <v>7</v>
      </c>
    </row>
    <row r="1053" spans="1:8" x14ac:dyDescent="0.3">
      <c r="A1053">
        <v>1052</v>
      </c>
      <c r="B1053">
        <v>460</v>
      </c>
      <c r="C1053" t="s">
        <v>5248</v>
      </c>
      <c r="D1053" s="1">
        <v>42957</v>
      </c>
      <c r="E1053" s="1">
        <v>42959</v>
      </c>
      <c r="F1053" s="1">
        <v>42960</v>
      </c>
      <c r="G1053">
        <v>2</v>
      </c>
      <c r="H1053">
        <v>6</v>
      </c>
    </row>
    <row r="1054" spans="1:8" x14ac:dyDescent="0.3">
      <c r="A1054">
        <v>1053</v>
      </c>
      <c r="B1054">
        <v>1439</v>
      </c>
      <c r="C1054" t="s">
        <v>5248</v>
      </c>
      <c r="D1054" s="1">
        <v>42957</v>
      </c>
      <c r="E1054" s="1">
        <v>42958</v>
      </c>
      <c r="F1054" s="1">
        <v>42959</v>
      </c>
      <c r="G1054">
        <v>2</v>
      </c>
      <c r="H1054">
        <v>6</v>
      </c>
    </row>
    <row r="1055" spans="1:8" x14ac:dyDescent="0.3">
      <c r="A1055">
        <v>1054</v>
      </c>
      <c r="B1055">
        <v>189</v>
      </c>
      <c r="C1055" t="s">
        <v>5248</v>
      </c>
      <c r="D1055" s="1">
        <v>42958</v>
      </c>
      <c r="E1055" s="1">
        <v>42959</v>
      </c>
      <c r="F1055" s="1">
        <v>42959</v>
      </c>
      <c r="G1055">
        <v>2</v>
      </c>
      <c r="H1055">
        <v>7</v>
      </c>
    </row>
    <row r="1056" spans="1:8" x14ac:dyDescent="0.3">
      <c r="A1056">
        <v>1055</v>
      </c>
      <c r="B1056">
        <v>140</v>
      </c>
      <c r="C1056" t="s">
        <v>5248</v>
      </c>
      <c r="D1056" s="1">
        <v>42959</v>
      </c>
      <c r="E1056" s="1">
        <v>42962</v>
      </c>
      <c r="F1056" s="1">
        <v>42962</v>
      </c>
      <c r="G1056">
        <v>2</v>
      </c>
      <c r="H1056">
        <v>6</v>
      </c>
    </row>
    <row r="1057" spans="1:8" x14ac:dyDescent="0.3">
      <c r="A1057">
        <v>1056</v>
      </c>
      <c r="B1057">
        <v>325</v>
      </c>
      <c r="C1057" t="s">
        <v>5248</v>
      </c>
      <c r="D1057" s="1">
        <v>42959</v>
      </c>
      <c r="E1057" s="1">
        <v>42962</v>
      </c>
      <c r="F1057" s="1">
        <v>42960</v>
      </c>
      <c r="G1057">
        <v>2</v>
      </c>
      <c r="H1057">
        <v>7</v>
      </c>
    </row>
    <row r="1058" spans="1:8" x14ac:dyDescent="0.3">
      <c r="A1058">
        <v>1057</v>
      </c>
      <c r="B1058">
        <v>456</v>
      </c>
      <c r="C1058" t="s">
        <v>5248</v>
      </c>
      <c r="D1058" s="1">
        <v>42959</v>
      </c>
      <c r="E1058" s="1">
        <v>42962</v>
      </c>
      <c r="F1058" s="1">
        <v>42960</v>
      </c>
      <c r="G1058">
        <v>2</v>
      </c>
      <c r="H1058">
        <v>7</v>
      </c>
    </row>
    <row r="1059" spans="1:8" x14ac:dyDescent="0.3">
      <c r="A1059">
        <v>1058</v>
      </c>
      <c r="B1059">
        <v>782</v>
      </c>
      <c r="C1059" t="s">
        <v>5248</v>
      </c>
      <c r="D1059" s="1">
        <v>42960</v>
      </c>
      <c r="E1059" s="1">
        <v>42963</v>
      </c>
      <c r="F1059" s="1">
        <v>42961</v>
      </c>
      <c r="G1059">
        <v>2</v>
      </c>
      <c r="H1059">
        <v>6</v>
      </c>
    </row>
    <row r="1060" spans="1:8" x14ac:dyDescent="0.3">
      <c r="A1060">
        <v>1059</v>
      </c>
      <c r="B1060">
        <v>6</v>
      </c>
      <c r="C1060" t="s">
        <v>5248</v>
      </c>
      <c r="D1060" s="1">
        <v>42961</v>
      </c>
      <c r="E1060" s="1">
        <v>42964</v>
      </c>
      <c r="F1060" s="1">
        <v>42964</v>
      </c>
      <c r="G1060">
        <v>2</v>
      </c>
      <c r="H1060">
        <v>7</v>
      </c>
    </row>
    <row r="1061" spans="1:8" x14ac:dyDescent="0.3">
      <c r="A1061">
        <v>1060</v>
      </c>
      <c r="B1061">
        <v>182</v>
      </c>
      <c r="C1061" t="s">
        <v>5248</v>
      </c>
      <c r="D1061" s="1">
        <v>42962</v>
      </c>
      <c r="E1061" s="1">
        <v>42965</v>
      </c>
      <c r="F1061" s="1">
        <v>42964</v>
      </c>
      <c r="G1061">
        <v>2</v>
      </c>
      <c r="H1061">
        <v>6</v>
      </c>
    </row>
    <row r="1062" spans="1:8" x14ac:dyDescent="0.3">
      <c r="A1062">
        <v>1061</v>
      </c>
      <c r="B1062">
        <v>655</v>
      </c>
      <c r="C1062" t="s">
        <v>5248</v>
      </c>
      <c r="D1062" s="1">
        <v>42962</v>
      </c>
      <c r="E1062" s="1">
        <v>42965</v>
      </c>
      <c r="F1062" s="1">
        <v>42965</v>
      </c>
      <c r="G1062">
        <v>2</v>
      </c>
      <c r="H1062">
        <v>7</v>
      </c>
    </row>
    <row r="1063" spans="1:8" x14ac:dyDescent="0.3">
      <c r="A1063">
        <v>1062</v>
      </c>
      <c r="B1063">
        <v>1210</v>
      </c>
      <c r="C1063" t="s">
        <v>5248</v>
      </c>
      <c r="D1063" s="1">
        <v>42962</v>
      </c>
      <c r="E1063" s="1">
        <v>42964</v>
      </c>
      <c r="F1063" s="1">
        <v>42965</v>
      </c>
      <c r="G1063">
        <v>2</v>
      </c>
      <c r="H1063">
        <v>6</v>
      </c>
    </row>
    <row r="1064" spans="1:8" x14ac:dyDescent="0.3">
      <c r="A1064">
        <v>1063</v>
      </c>
      <c r="B1064">
        <v>198</v>
      </c>
      <c r="C1064" t="s">
        <v>5248</v>
      </c>
      <c r="D1064" s="1">
        <v>42963</v>
      </c>
      <c r="E1064" s="1">
        <v>42966</v>
      </c>
      <c r="F1064" s="1">
        <v>42966</v>
      </c>
      <c r="G1064">
        <v>3</v>
      </c>
      <c r="H1064">
        <v>8</v>
      </c>
    </row>
    <row r="1065" spans="1:8" x14ac:dyDescent="0.3">
      <c r="A1065">
        <v>1064</v>
      </c>
      <c r="B1065">
        <v>898</v>
      </c>
      <c r="C1065" t="s">
        <v>5248</v>
      </c>
      <c r="D1065" s="1">
        <v>42963</v>
      </c>
      <c r="E1065" s="1">
        <v>42965</v>
      </c>
      <c r="F1065" s="1">
        <v>42966</v>
      </c>
      <c r="G1065">
        <v>3</v>
      </c>
      <c r="H1065">
        <v>9</v>
      </c>
    </row>
    <row r="1066" spans="1:8" x14ac:dyDescent="0.3">
      <c r="A1066">
        <v>1065</v>
      </c>
      <c r="B1066">
        <v>25</v>
      </c>
      <c r="C1066" t="s">
        <v>5248</v>
      </c>
      <c r="D1066" s="1">
        <v>42964</v>
      </c>
      <c r="E1066" s="1">
        <v>42966</v>
      </c>
      <c r="F1066" s="1">
        <v>42966</v>
      </c>
      <c r="G1066">
        <v>2</v>
      </c>
      <c r="H1066">
        <v>7</v>
      </c>
    </row>
    <row r="1067" spans="1:8" x14ac:dyDescent="0.3">
      <c r="A1067">
        <v>1066</v>
      </c>
      <c r="B1067">
        <v>106</v>
      </c>
      <c r="C1067" t="s">
        <v>5248</v>
      </c>
      <c r="D1067" s="1">
        <v>42964</v>
      </c>
      <c r="E1067" s="1">
        <v>42967</v>
      </c>
      <c r="F1067" s="1">
        <v>42966</v>
      </c>
      <c r="G1067">
        <v>2</v>
      </c>
      <c r="H1067">
        <v>7</v>
      </c>
    </row>
    <row r="1068" spans="1:8" x14ac:dyDescent="0.3">
      <c r="A1068">
        <v>1067</v>
      </c>
      <c r="B1068">
        <v>225</v>
      </c>
      <c r="C1068" t="s">
        <v>5248</v>
      </c>
      <c r="D1068" s="1">
        <v>42964</v>
      </c>
      <c r="E1068" s="1">
        <v>42966</v>
      </c>
      <c r="F1068" s="1">
        <v>42966</v>
      </c>
      <c r="G1068">
        <v>2</v>
      </c>
      <c r="H1068">
        <v>7</v>
      </c>
    </row>
    <row r="1069" spans="1:8" x14ac:dyDescent="0.3">
      <c r="A1069">
        <v>1068</v>
      </c>
      <c r="B1069">
        <v>453</v>
      </c>
      <c r="C1069" t="s">
        <v>5248</v>
      </c>
      <c r="D1069" s="1">
        <v>42964</v>
      </c>
      <c r="E1069" s="1">
        <v>42967</v>
      </c>
      <c r="F1069" s="1">
        <v>42966</v>
      </c>
      <c r="G1069">
        <v>2</v>
      </c>
      <c r="H1069">
        <v>7</v>
      </c>
    </row>
    <row r="1070" spans="1:8" x14ac:dyDescent="0.3">
      <c r="A1070">
        <v>1069</v>
      </c>
      <c r="B1070">
        <v>493</v>
      </c>
      <c r="C1070" t="s">
        <v>5248</v>
      </c>
      <c r="D1070" s="1">
        <v>42964</v>
      </c>
      <c r="E1070" s="1">
        <v>42966</v>
      </c>
      <c r="F1070" s="1">
        <v>42965</v>
      </c>
      <c r="G1070">
        <v>2</v>
      </c>
      <c r="H1070">
        <v>6</v>
      </c>
    </row>
    <row r="1071" spans="1:8" x14ac:dyDescent="0.3">
      <c r="A1071">
        <v>1070</v>
      </c>
      <c r="B1071">
        <v>596</v>
      </c>
      <c r="C1071" t="s">
        <v>5248</v>
      </c>
      <c r="D1071" s="1">
        <v>42964</v>
      </c>
      <c r="E1071" s="1">
        <v>42967</v>
      </c>
      <c r="F1071" s="1">
        <v>42965</v>
      </c>
      <c r="G1071">
        <v>2</v>
      </c>
      <c r="H1071">
        <v>7</v>
      </c>
    </row>
    <row r="1072" spans="1:8" x14ac:dyDescent="0.3">
      <c r="A1072">
        <v>1071</v>
      </c>
      <c r="B1072">
        <v>602</v>
      </c>
      <c r="C1072" t="s">
        <v>5248</v>
      </c>
      <c r="D1072" s="1">
        <v>42964</v>
      </c>
      <c r="E1072" s="1">
        <v>42967</v>
      </c>
      <c r="F1072" s="1">
        <v>42965</v>
      </c>
      <c r="G1072">
        <v>3</v>
      </c>
      <c r="H1072">
        <v>8</v>
      </c>
    </row>
    <row r="1073" spans="1:8" x14ac:dyDescent="0.3">
      <c r="A1073">
        <v>1072</v>
      </c>
      <c r="B1073">
        <v>47</v>
      </c>
      <c r="C1073" t="s">
        <v>5249</v>
      </c>
      <c r="D1073" s="1">
        <v>42965</v>
      </c>
      <c r="E1073" s="1">
        <v>42965</v>
      </c>
      <c r="F1073" s="1"/>
      <c r="G1073">
        <v>1</v>
      </c>
      <c r="H1073">
        <v>3</v>
      </c>
    </row>
    <row r="1074" spans="1:8" x14ac:dyDescent="0.3">
      <c r="A1074">
        <v>1073</v>
      </c>
      <c r="B1074">
        <v>911</v>
      </c>
      <c r="C1074" t="s">
        <v>5248</v>
      </c>
      <c r="D1074" s="1">
        <v>42965</v>
      </c>
      <c r="E1074" s="1">
        <v>42966</v>
      </c>
      <c r="F1074" s="1">
        <v>42968</v>
      </c>
      <c r="G1074">
        <v>2</v>
      </c>
      <c r="H1074">
        <v>7</v>
      </c>
    </row>
    <row r="1075" spans="1:8" x14ac:dyDescent="0.3">
      <c r="A1075">
        <v>1074</v>
      </c>
      <c r="B1075">
        <v>11</v>
      </c>
      <c r="C1075" t="s">
        <v>5249</v>
      </c>
      <c r="D1075" s="1">
        <v>42966</v>
      </c>
      <c r="E1075" s="1">
        <v>42966</v>
      </c>
      <c r="F1075" s="1"/>
      <c r="G1075">
        <v>2</v>
      </c>
      <c r="H1075">
        <v>6</v>
      </c>
    </row>
    <row r="1076" spans="1:8" x14ac:dyDescent="0.3">
      <c r="A1076">
        <v>1075</v>
      </c>
      <c r="B1076">
        <v>1003</v>
      </c>
      <c r="C1076" t="s">
        <v>5248</v>
      </c>
      <c r="D1076" s="1">
        <v>42966</v>
      </c>
      <c r="E1076" s="1">
        <v>42968</v>
      </c>
      <c r="F1076" s="1">
        <v>42969</v>
      </c>
      <c r="G1076">
        <v>1</v>
      </c>
      <c r="H1076">
        <v>3</v>
      </c>
    </row>
    <row r="1077" spans="1:8" x14ac:dyDescent="0.3">
      <c r="A1077">
        <v>1076</v>
      </c>
      <c r="B1077">
        <v>42</v>
      </c>
      <c r="C1077" t="s">
        <v>5248</v>
      </c>
      <c r="D1077" s="1">
        <v>42966</v>
      </c>
      <c r="E1077" s="1">
        <v>42969</v>
      </c>
      <c r="F1077" s="1">
        <v>42969</v>
      </c>
      <c r="G1077">
        <v>2</v>
      </c>
      <c r="H1077">
        <v>6</v>
      </c>
    </row>
    <row r="1078" spans="1:8" x14ac:dyDescent="0.3">
      <c r="A1078">
        <v>1077</v>
      </c>
      <c r="B1078">
        <v>412</v>
      </c>
      <c r="C1078" t="s">
        <v>5248</v>
      </c>
      <c r="D1078" s="1">
        <v>42966</v>
      </c>
      <c r="E1078" s="1">
        <v>42967</v>
      </c>
      <c r="F1078" s="1">
        <v>42968</v>
      </c>
      <c r="G1078">
        <v>2</v>
      </c>
      <c r="H1078">
        <v>6</v>
      </c>
    </row>
    <row r="1079" spans="1:8" x14ac:dyDescent="0.3">
      <c r="A1079">
        <v>1078</v>
      </c>
      <c r="B1079">
        <v>793</v>
      </c>
      <c r="C1079" t="s">
        <v>5248</v>
      </c>
      <c r="D1079" s="1">
        <v>42966</v>
      </c>
      <c r="E1079" s="1">
        <v>42968</v>
      </c>
      <c r="F1079" s="1">
        <v>42967</v>
      </c>
      <c r="G1079">
        <v>2</v>
      </c>
      <c r="H1079">
        <v>6</v>
      </c>
    </row>
    <row r="1080" spans="1:8" x14ac:dyDescent="0.3">
      <c r="A1080">
        <v>1079</v>
      </c>
      <c r="B1080">
        <v>812</v>
      </c>
      <c r="C1080" t="s">
        <v>5248</v>
      </c>
      <c r="D1080" s="1">
        <v>42966</v>
      </c>
      <c r="E1080" s="1">
        <v>42967</v>
      </c>
      <c r="F1080" s="1">
        <v>42967</v>
      </c>
      <c r="G1080">
        <v>2</v>
      </c>
      <c r="H1080">
        <v>7</v>
      </c>
    </row>
    <row r="1081" spans="1:8" x14ac:dyDescent="0.3">
      <c r="A1081">
        <v>1080</v>
      </c>
      <c r="B1081">
        <v>1086</v>
      </c>
      <c r="C1081" t="s">
        <v>5248</v>
      </c>
      <c r="D1081" s="1">
        <v>42966</v>
      </c>
      <c r="E1081" s="1">
        <v>42967</v>
      </c>
      <c r="F1081" s="1">
        <v>42967</v>
      </c>
      <c r="G1081">
        <v>2</v>
      </c>
      <c r="H1081">
        <v>7</v>
      </c>
    </row>
    <row r="1082" spans="1:8" x14ac:dyDescent="0.3">
      <c r="A1082">
        <v>1081</v>
      </c>
      <c r="B1082">
        <v>1106</v>
      </c>
      <c r="C1082" t="s">
        <v>5248</v>
      </c>
      <c r="D1082" s="1">
        <v>42966</v>
      </c>
      <c r="E1082" s="1">
        <v>42969</v>
      </c>
      <c r="F1082" s="1">
        <v>42969</v>
      </c>
      <c r="G1082">
        <v>2</v>
      </c>
      <c r="H1082">
        <v>6</v>
      </c>
    </row>
    <row r="1083" spans="1:8" x14ac:dyDescent="0.3">
      <c r="A1083">
        <v>1082</v>
      </c>
      <c r="B1083">
        <v>1327</v>
      </c>
      <c r="C1083" t="s">
        <v>5248</v>
      </c>
      <c r="D1083" s="1">
        <v>42967</v>
      </c>
      <c r="E1083" s="1">
        <v>42969</v>
      </c>
      <c r="F1083" s="1">
        <v>42968</v>
      </c>
      <c r="G1083">
        <v>2</v>
      </c>
      <c r="H1083">
        <v>6</v>
      </c>
    </row>
    <row r="1084" spans="1:8" x14ac:dyDescent="0.3">
      <c r="A1084">
        <v>1083</v>
      </c>
      <c r="B1084">
        <v>1372</v>
      </c>
      <c r="C1084" t="s">
        <v>5248</v>
      </c>
      <c r="D1084" s="1">
        <v>42967</v>
      </c>
      <c r="E1084" s="1">
        <v>42970</v>
      </c>
      <c r="F1084" s="1">
        <v>42970</v>
      </c>
      <c r="G1084">
        <v>2</v>
      </c>
      <c r="H1084">
        <v>6</v>
      </c>
    </row>
    <row r="1085" spans="1:8" x14ac:dyDescent="0.3">
      <c r="A1085">
        <v>1084</v>
      </c>
      <c r="B1085">
        <v>2</v>
      </c>
      <c r="C1085" t="s">
        <v>5248</v>
      </c>
      <c r="D1085" s="1">
        <v>42968</v>
      </c>
      <c r="E1085" s="1">
        <v>42971</v>
      </c>
      <c r="F1085" s="1">
        <v>42970</v>
      </c>
      <c r="G1085">
        <v>1</v>
      </c>
      <c r="H1085">
        <v>2</v>
      </c>
    </row>
    <row r="1086" spans="1:8" x14ac:dyDescent="0.3">
      <c r="A1086">
        <v>1085</v>
      </c>
      <c r="B1086">
        <v>305</v>
      </c>
      <c r="C1086" t="s">
        <v>5248</v>
      </c>
      <c r="D1086" s="1">
        <v>42968</v>
      </c>
      <c r="E1086" s="1">
        <v>42970</v>
      </c>
      <c r="F1086" s="1">
        <v>42970</v>
      </c>
      <c r="G1086">
        <v>1</v>
      </c>
      <c r="H1086">
        <v>3</v>
      </c>
    </row>
    <row r="1087" spans="1:8" x14ac:dyDescent="0.3">
      <c r="A1087">
        <v>1086</v>
      </c>
      <c r="B1087">
        <v>220</v>
      </c>
      <c r="C1087" t="s">
        <v>5248</v>
      </c>
      <c r="D1087" s="1">
        <v>42968</v>
      </c>
      <c r="E1087" s="1">
        <v>42970</v>
      </c>
      <c r="F1087" s="1">
        <v>42971</v>
      </c>
      <c r="G1087">
        <v>2</v>
      </c>
      <c r="H1087">
        <v>7</v>
      </c>
    </row>
    <row r="1088" spans="1:8" x14ac:dyDescent="0.3">
      <c r="A1088">
        <v>1087</v>
      </c>
      <c r="B1088">
        <v>675</v>
      </c>
      <c r="C1088" t="s">
        <v>5248</v>
      </c>
      <c r="D1088" s="1">
        <v>42969</v>
      </c>
      <c r="E1088" s="1">
        <v>42970</v>
      </c>
      <c r="F1088" s="1">
        <v>42972</v>
      </c>
      <c r="G1088">
        <v>3</v>
      </c>
      <c r="H1088">
        <v>8</v>
      </c>
    </row>
    <row r="1089" spans="1:8" x14ac:dyDescent="0.3">
      <c r="A1089">
        <v>1088</v>
      </c>
      <c r="B1089">
        <v>1160</v>
      </c>
      <c r="C1089" t="s">
        <v>5248</v>
      </c>
      <c r="D1089" s="1">
        <v>42969</v>
      </c>
      <c r="E1089" s="1">
        <v>42970</v>
      </c>
      <c r="F1089" s="1">
        <v>42970</v>
      </c>
      <c r="G1089">
        <v>3</v>
      </c>
      <c r="H1089">
        <v>8</v>
      </c>
    </row>
    <row r="1090" spans="1:8" x14ac:dyDescent="0.3">
      <c r="A1090">
        <v>1089</v>
      </c>
      <c r="B1090">
        <v>46</v>
      </c>
      <c r="C1090" t="s">
        <v>5249</v>
      </c>
      <c r="D1090" s="1">
        <v>42970</v>
      </c>
      <c r="E1090" s="1">
        <v>42970</v>
      </c>
      <c r="F1090" s="1"/>
      <c r="G1090">
        <v>1</v>
      </c>
      <c r="H1090">
        <v>2</v>
      </c>
    </row>
    <row r="1091" spans="1:8" x14ac:dyDescent="0.3">
      <c r="A1091">
        <v>1090</v>
      </c>
      <c r="B1091">
        <v>1427</v>
      </c>
      <c r="C1091" t="s">
        <v>5248</v>
      </c>
      <c r="D1091" s="1">
        <v>42971</v>
      </c>
      <c r="E1091" s="1">
        <v>42973</v>
      </c>
      <c r="F1091" s="1">
        <v>42973</v>
      </c>
      <c r="G1091">
        <v>1</v>
      </c>
      <c r="H1091">
        <v>2</v>
      </c>
    </row>
    <row r="1092" spans="1:8" x14ac:dyDescent="0.3">
      <c r="A1092">
        <v>1091</v>
      </c>
      <c r="B1092">
        <v>1260</v>
      </c>
      <c r="C1092" t="s">
        <v>5248</v>
      </c>
      <c r="D1092" s="1">
        <v>42971</v>
      </c>
      <c r="E1092" s="1">
        <v>42972</v>
      </c>
      <c r="F1092" s="1">
        <v>42972</v>
      </c>
      <c r="G1092">
        <v>2</v>
      </c>
      <c r="H1092">
        <v>7</v>
      </c>
    </row>
    <row r="1093" spans="1:8" x14ac:dyDescent="0.3">
      <c r="A1093">
        <v>1092</v>
      </c>
      <c r="B1093">
        <v>40</v>
      </c>
      <c r="C1093" t="s">
        <v>5248</v>
      </c>
      <c r="D1093" s="1">
        <v>42972</v>
      </c>
      <c r="E1093" s="1">
        <v>42975</v>
      </c>
      <c r="F1093" s="1">
        <v>42974</v>
      </c>
      <c r="G1093">
        <v>1</v>
      </c>
      <c r="H1093">
        <v>2</v>
      </c>
    </row>
    <row r="1094" spans="1:8" x14ac:dyDescent="0.3">
      <c r="A1094">
        <v>1093</v>
      </c>
      <c r="B1094">
        <v>326</v>
      </c>
      <c r="C1094" t="s">
        <v>5248</v>
      </c>
      <c r="D1094" s="1">
        <v>42972</v>
      </c>
      <c r="E1094" s="1">
        <v>42975</v>
      </c>
      <c r="F1094" s="1">
        <v>42973</v>
      </c>
      <c r="G1094">
        <v>1</v>
      </c>
      <c r="H1094">
        <v>3</v>
      </c>
    </row>
    <row r="1095" spans="1:8" x14ac:dyDescent="0.3">
      <c r="A1095">
        <v>1094</v>
      </c>
      <c r="B1095">
        <v>828</v>
      </c>
      <c r="C1095" t="s">
        <v>5248</v>
      </c>
      <c r="D1095" s="1">
        <v>42972</v>
      </c>
      <c r="E1095" s="1">
        <v>42974</v>
      </c>
      <c r="F1095" s="1">
        <v>42975</v>
      </c>
      <c r="G1095">
        <v>2</v>
      </c>
      <c r="H1095">
        <v>6</v>
      </c>
    </row>
    <row r="1096" spans="1:8" x14ac:dyDescent="0.3">
      <c r="A1096">
        <v>1095</v>
      </c>
      <c r="B1096">
        <v>1382</v>
      </c>
      <c r="C1096" t="s">
        <v>5248</v>
      </c>
      <c r="D1096" s="1">
        <v>42973</v>
      </c>
      <c r="E1096" s="1">
        <v>42975</v>
      </c>
      <c r="F1096" s="1">
        <v>42974</v>
      </c>
      <c r="G1096">
        <v>3</v>
      </c>
      <c r="H1096">
        <v>9</v>
      </c>
    </row>
    <row r="1097" spans="1:8" x14ac:dyDescent="0.3">
      <c r="A1097">
        <v>1096</v>
      </c>
      <c r="B1097">
        <v>589</v>
      </c>
      <c r="C1097" t="s">
        <v>5248</v>
      </c>
      <c r="D1097" s="1">
        <v>42974</v>
      </c>
      <c r="E1097" s="1">
        <v>42976</v>
      </c>
      <c r="F1097" s="1">
        <v>42976</v>
      </c>
      <c r="G1097">
        <v>1</v>
      </c>
      <c r="H1097">
        <v>2</v>
      </c>
    </row>
    <row r="1098" spans="1:8" x14ac:dyDescent="0.3">
      <c r="A1098">
        <v>1097</v>
      </c>
      <c r="B1098">
        <v>1311</v>
      </c>
      <c r="C1098" t="s">
        <v>5248</v>
      </c>
      <c r="D1098" s="1">
        <v>42974</v>
      </c>
      <c r="E1098" s="1">
        <v>42977</v>
      </c>
      <c r="F1098" s="1">
        <v>42975</v>
      </c>
      <c r="G1098">
        <v>2</v>
      </c>
      <c r="H1098">
        <v>6</v>
      </c>
    </row>
    <row r="1099" spans="1:8" x14ac:dyDescent="0.3">
      <c r="A1099">
        <v>1098</v>
      </c>
      <c r="B1099">
        <v>752</v>
      </c>
      <c r="C1099" t="s">
        <v>5248</v>
      </c>
      <c r="D1099" s="1">
        <v>42975</v>
      </c>
      <c r="E1099" s="1">
        <v>42977</v>
      </c>
      <c r="F1099" s="1">
        <v>42977</v>
      </c>
      <c r="G1099">
        <v>1</v>
      </c>
      <c r="H1099">
        <v>2</v>
      </c>
    </row>
    <row r="1100" spans="1:8" x14ac:dyDescent="0.3">
      <c r="A1100">
        <v>1099</v>
      </c>
      <c r="B1100">
        <v>1128</v>
      </c>
      <c r="C1100" t="s">
        <v>5248</v>
      </c>
      <c r="D1100" s="1">
        <v>42975</v>
      </c>
      <c r="E1100" s="1">
        <v>42976</v>
      </c>
      <c r="F1100" s="1">
        <v>42977</v>
      </c>
      <c r="G1100">
        <v>2</v>
      </c>
      <c r="H1100">
        <v>6</v>
      </c>
    </row>
    <row r="1101" spans="1:8" x14ac:dyDescent="0.3">
      <c r="A1101">
        <v>1100</v>
      </c>
      <c r="B1101">
        <v>1392</v>
      </c>
      <c r="C1101" t="s">
        <v>5248</v>
      </c>
      <c r="D1101" s="1">
        <v>42975</v>
      </c>
      <c r="E1101" s="1">
        <v>42976</v>
      </c>
      <c r="F1101" s="1">
        <v>42976</v>
      </c>
      <c r="G1101">
        <v>2</v>
      </c>
      <c r="H1101">
        <v>7</v>
      </c>
    </row>
    <row r="1102" spans="1:8" x14ac:dyDescent="0.3">
      <c r="A1102">
        <v>1101</v>
      </c>
      <c r="B1102">
        <v>379</v>
      </c>
      <c r="C1102" t="s">
        <v>5248</v>
      </c>
      <c r="D1102" s="1">
        <v>42976</v>
      </c>
      <c r="E1102" s="1">
        <v>42977</v>
      </c>
      <c r="F1102" s="1">
        <v>42977</v>
      </c>
      <c r="G1102">
        <v>2</v>
      </c>
      <c r="H1102">
        <v>7</v>
      </c>
    </row>
    <row r="1103" spans="1:8" x14ac:dyDescent="0.3">
      <c r="A1103">
        <v>1102</v>
      </c>
      <c r="B1103">
        <v>1317</v>
      </c>
      <c r="C1103" t="s">
        <v>5248</v>
      </c>
      <c r="D1103" s="1">
        <v>42976</v>
      </c>
      <c r="E1103" s="1">
        <v>42978</v>
      </c>
      <c r="F1103" s="1">
        <v>42978</v>
      </c>
      <c r="G1103">
        <v>2</v>
      </c>
      <c r="H1103">
        <v>6</v>
      </c>
    </row>
    <row r="1104" spans="1:8" x14ac:dyDescent="0.3">
      <c r="A1104">
        <v>1103</v>
      </c>
      <c r="B1104">
        <v>1394</v>
      </c>
      <c r="C1104" t="s">
        <v>5248</v>
      </c>
      <c r="D1104" s="1">
        <v>42978</v>
      </c>
      <c r="E1104" s="1">
        <v>42980</v>
      </c>
      <c r="F1104" s="1">
        <v>42980</v>
      </c>
      <c r="G1104">
        <v>2</v>
      </c>
      <c r="H1104">
        <v>7</v>
      </c>
    </row>
    <row r="1105" spans="1:8" x14ac:dyDescent="0.3">
      <c r="A1105">
        <v>1104</v>
      </c>
      <c r="B1105">
        <v>268</v>
      </c>
      <c r="C1105" t="s">
        <v>5248</v>
      </c>
      <c r="D1105" s="1">
        <v>42979</v>
      </c>
      <c r="E1105" s="1">
        <v>42982</v>
      </c>
      <c r="F1105" s="1">
        <v>42981</v>
      </c>
      <c r="G1105">
        <v>2</v>
      </c>
      <c r="H1105">
        <v>6</v>
      </c>
    </row>
    <row r="1106" spans="1:8" x14ac:dyDescent="0.3">
      <c r="A1106">
        <v>1105</v>
      </c>
      <c r="B1106">
        <v>747</v>
      </c>
      <c r="C1106" t="s">
        <v>5248</v>
      </c>
      <c r="D1106" s="1">
        <v>42979</v>
      </c>
      <c r="E1106" s="1">
        <v>42982</v>
      </c>
      <c r="F1106" s="1">
        <v>42981</v>
      </c>
      <c r="G1106">
        <v>3</v>
      </c>
      <c r="H1106">
        <v>8</v>
      </c>
    </row>
    <row r="1107" spans="1:8" x14ac:dyDescent="0.3">
      <c r="A1107">
        <v>1106</v>
      </c>
      <c r="B1107">
        <v>1009</v>
      </c>
      <c r="C1107" t="s">
        <v>5248</v>
      </c>
      <c r="D1107" s="1">
        <v>42980</v>
      </c>
      <c r="E1107" s="1">
        <v>42982</v>
      </c>
      <c r="F1107" s="1">
        <v>42982</v>
      </c>
      <c r="G1107">
        <v>2</v>
      </c>
      <c r="H1107">
        <v>6</v>
      </c>
    </row>
    <row r="1108" spans="1:8" x14ac:dyDescent="0.3">
      <c r="A1108">
        <v>1107</v>
      </c>
      <c r="B1108">
        <v>1424</v>
      </c>
      <c r="C1108" t="s">
        <v>5248</v>
      </c>
      <c r="D1108" s="1">
        <v>42980</v>
      </c>
      <c r="E1108" s="1">
        <v>42983</v>
      </c>
      <c r="F1108" s="1">
        <v>42983</v>
      </c>
      <c r="G1108">
        <v>2</v>
      </c>
      <c r="H1108">
        <v>7</v>
      </c>
    </row>
    <row r="1109" spans="1:8" x14ac:dyDescent="0.3">
      <c r="A1109">
        <v>1108</v>
      </c>
      <c r="B1109">
        <v>735</v>
      </c>
      <c r="C1109" t="s">
        <v>5248</v>
      </c>
      <c r="D1109" s="1">
        <v>42981</v>
      </c>
      <c r="E1109" s="1">
        <v>42983</v>
      </c>
      <c r="F1109" s="1">
        <v>42982</v>
      </c>
      <c r="G1109">
        <v>1</v>
      </c>
      <c r="H1109">
        <v>3</v>
      </c>
    </row>
    <row r="1110" spans="1:8" x14ac:dyDescent="0.3">
      <c r="A1110">
        <v>1109</v>
      </c>
      <c r="B1110">
        <v>23</v>
      </c>
      <c r="C1110" t="s">
        <v>5248</v>
      </c>
      <c r="D1110" s="1">
        <v>42981</v>
      </c>
      <c r="E1110" s="1">
        <v>42982</v>
      </c>
      <c r="F1110" s="1">
        <v>42982</v>
      </c>
      <c r="G1110">
        <v>2</v>
      </c>
      <c r="H1110">
        <v>6</v>
      </c>
    </row>
    <row r="1111" spans="1:8" x14ac:dyDescent="0.3">
      <c r="A1111">
        <v>1110</v>
      </c>
      <c r="B1111">
        <v>912</v>
      </c>
      <c r="C1111" t="s">
        <v>5248</v>
      </c>
      <c r="D1111" s="1">
        <v>42982</v>
      </c>
      <c r="E1111" s="1">
        <v>42985</v>
      </c>
      <c r="F1111" s="1">
        <v>42985</v>
      </c>
      <c r="G1111">
        <v>2</v>
      </c>
      <c r="H1111">
        <v>6</v>
      </c>
    </row>
    <row r="1112" spans="1:8" x14ac:dyDescent="0.3">
      <c r="A1112">
        <v>1111</v>
      </c>
      <c r="B1112">
        <v>930</v>
      </c>
      <c r="C1112" t="s">
        <v>5248</v>
      </c>
      <c r="D1112" s="1">
        <v>42982</v>
      </c>
      <c r="E1112" s="1">
        <v>42984</v>
      </c>
      <c r="F1112" s="1">
        <v>42983</v>
      </c>
      <c r="G1112">
        <v>2</v>
      </c>
      <c r="H1112">
        <v>6</v>
      </c>
    </row>
    <row r="1113" spans="1:8" x14ac:dyDescent="0.3">
      <c r="A1113">
        <v>1112</v>
      </c>
      <c r="B1113">
        <v>798</v>
      </c>
      <c r="C1113" t="s">
        <v>5248</v>
      </c>
      <c r="D1113" s="1">
        <v>42983</v>
      </c>
      <c r="E1113" s="1">
        <v>42986</v>
      </c>
      <c r="F1113" s="1">
        <v>42985</v>
      </c>
      <c r="G1113">
        <v>2</v>
      </c>
      <c r="H1113">
        <v>7</v>
      </c>
    </row>
    <row r="1114" spans="1:8" x14ac:dyDescent="0.3">
      <c r="A1114">
        <v>1113</v>
      </c>
      <c r="B1114">
        <v>388</v>
      </c>
      <c r="C1114" t="s">
        <v>5248</v>
      </c>
      <c r="D1114" s="1">
        <v>42984</v>
      </c>
      <c r="E1114" s="1">
        <v>42986</v>
      </c>
      <c r="F1114" s="1">
        <v>42985</v>
      </c>
      <c r="G1114">
        <v>2</v>
      </c>
      <c r="H1114">
        <v>7</v>
      </c>
    </row>
    <row r="1115" spans="1:8" x14ac:dyDescent="0.3">
      <c r="A1115">
        <v>1114</v>
      </c>
      <c r="B1115">
        <v>1036</v>
      </c>
      <c r="C1115" t="s">
        <v>5248</v>
      </c>
      <c r="D1115" s="1">
        <v>42984</v>
      </c>
      <c r="E1115" s="1">
        <v>42986</v>
      </c>
      <c r="F1115" s="1">
        <v>42986</v>
      </c>
      <c r="G1115">
        <v>2</v>
      </c>
      <c r="H1115">
        <v>6</v>
      </c>
    </row>
    <row r="1116" spans="1:8" x14ac:dyDescent="0.3">
      <c r="A1116">
        <v>1115</v>
      </c>
      <c r="B1116">
        <v>1100</v>
      </c>
      <c r="C1116" t="s">
        <v>5248</v>
      </c>
      <c r="D1116" s="1">
        <v>42985</v>
      </c>
      <c r="E1116" s="1">
        <v>42987</v>
      </c>
      <c r="F1116" s="1">
        <v>42987</v>
      </c>
      <c r="G1116">
        <v>2</v>
      </c>
      <c r="H1116">
        <v>6</v>
      </c>
    </row>
    <row r="1117" spans="1:8" x14ac:dyDescent="0.3">
      <c r="A1117">
        <v>1116</v>
      </c>
      <c r="B1117">
        <v>52</v>
      </c>
      <c r="C1117" t="s">
        <v>5248</v>
      </c>
      <c r="D1117" s="1">
        <v>42986</v>
      </c>
      <c r="E1117" s="1">
        <v>42988</v>
      </c>
      <c r="F1117" s="1">
        <v>42988</v>
      </c>
      <c r="G1117">
        <v>2</v>
      </c>
      <c r="H1117">
        <v>7</v>
      </c>
    </row>
    <row r="1118" spans="1:8" x14ac:dyDescent="0.3">
      <c r="A1118">
        <v>1117</v>
      </c>
      <c r="B1118">
        <v>334</v>
      </c>
      <c r="C1118" t="s">
        <v>5248</v>
      </c>
      <c r="D1118" s="1">
        <v>42986</v>
      </c>
      <c r="E1118" s="1">
        <v>42988</v>
      </c>
      <c r="F1118" s="1">
        <v>42988</v>
      </c>
      <c r="G1118">
        <v>2</v>
      </c>
      <c r="H1118">
        <v>6</v>
      </c>
    </row>
    <row r="1119" spans="1:8" x14ac:dyDescent="0.3">
      <c r="A1119">
        <v>1118</v>
      </c>
      <c r="B1119">
        <v>1023</v>
      </c>
      <c r="C1119" t="s">
        <v>5248</v>
      </c>
      <c r="D1119" s="1">
        <v>42986</v>
      </c>
      <c r="E1119" s="1">
        <v>42989</v>
      </c>
      <c r="F1119" s="1">
        <v>42989</v>
      </c>
      <c r="G1119">
        <v>2</v>
      </c>
      <c r="H1119">
        <v>6</v>
      </c>
    </row>
    <row r="1120" spans="1:8" x14ac:dyDescent="0.3">
      <c r="A1120">
        <v>1119</v>
      </c>
      <c r="B1120">
        <v>749</v>
      </c>
      <c r="C1120" t="s">
        <v>5248</v>
      </c>
      <c r="D1120" s="1">
        <v>42988</v>
      </c>
      <c r="E1120" s="1">
        <v>42990</v>
      </c>
      <c r="F1120" s="1">
        <v>42991</v>
      </c>
      <c r="G1120">
        <v>1</v>
      </c>
      <c r="H1120">
        <v>2</v>
      </c>
    </row>
    <row r="1121" spans="1:8" x14ac:dyDescent="0.3">
      <c r="A1121">
        <v>1120</v>
      </c>
      <c r="B1121">
        <v>1269</v>
      </c>
      <c r="C1121" t="s">
        <v>5248</v>
      </c>
      <c r="D1121" s="1">
        <v>42988</v>
      </c>
      <c r="E1121" s="1">
        <v>42990</v>
      </c>
      <c r="F1121" s="1">
        <v>42991</v>
      </c>
      <c r="G1121">
        <v>2</v>
      </c>
      <c r="H1121">
        <v>7</v>
      </c>
    </row>
    <row r="1122" spans="1:8" x14ac:dyDescent="0.3">
      <c r="A1122">
        <v>1121</v>
      </c>
      <c r="B1122">
        <v>143</v>
      </c>
      <c r="C1122" t="s">
        <v>5248</v>
      </c>
      <c r="D1122" s="1">
        <v>42989</v>
      </c>
      <c r="E1122" s="1">
        <v>42991</v>
      </c>
      <c r="F1122" s="1">
        <v>42990</v>
      </c>
      <c r="G1122">
        <v>2</v>
      </c>
      <c r="H1122">
        <v>7</v>
      </c>
    </row>
    <row r="1123" spans="1:8" x14ac:dyDescent="0.3">
      <c r="A1123">
        <v>1122</v>
      </c>
      <c r="B1123">
        <v>1132</v>
      </c>
      <c r="C1123" t="s">
        <v>5248</v>
      </c>
      <c r="D1123" s="1">
        <v>42990</v>
      </c>
      <c r="E1123" s="1">
        <v>42992</v>
      </c>
      <c r="F1123" s="1">
        <v>42992</v>
      </c>
      <c r="G1123">
        <v>2</v>
      </c>
      <c r="H1123">
        <v>6</v>
      </c>
    </row>
    <row r="1124" spans="1:8" x14ac:dyDescent="0.3">
      <c r="A1124">
        <v>1123</v>
      </c>
      <c r="B1124">
        <v>598</v>
      </c>
      <c r="C1124" t="s">
        <v>5248</v>
      </c>
      <c r="D1124" s="1">
        <v>42991</v>
      </c>
      <c r="E1124" s="1">
        <v>42992</v>
      </c>
      <c r="F1124" s="1">
        <v>42992</v>
      </c>
      <c r="G1124">
        <v>2</v>
      </c>
      <c r="H1124">
        <v>7</v>
      </c>
    </row>
    <row r="1125" spans="1:8" x14ac:dyDescent="0.3">
      <c r="A1125">
        <v>1124</v>
      </c>
      <c r="B1125">
        <v>275</v>
      </c>
      <c r="C1125" t="s">
        <v>5248</v>
      </c>
      <c r="D1125" s="1">
        <v>42991</v>
      </c>
      <c r="E1125" s="1">
        <v>42992</v>
      </c>
      <c r="F1125" s="1">
        <v>42994</v>
      </c>
      <c r="G1125">
        <v>3</v>
      </c>
      <c r="H1125">
        <v>9</v>
      </c>
    </row>
    <row r="1126" spans="1:8" x14ac:dyDescent="0.3">
      <c r="A1126">
        <v>1125</v>
      </c>
      <c r="B1126">
        <v>945</v>
      </c>
      <c r="C1126" t="s">
        <v>5248</v>
      </c>
      <c r="D1126" s="1">
        <v>42992</v>
      </c>
      <c r="E1126" s="1">
        <v>42993</v>
      </c>
      <c r="F1126" s="1">
        <v>42993</v>
      </c>
      <c r="G1126">
        <v>2</v>
      </c>
      <c r="H1126">
        <v>7</v>
      </c>
    </row>
    <row r="1127" spans="1:8" x14ac:dyDescent="0.3">
      <c r="A1127">
        <v>1126</v>
      </c>
      <c r="B1127">
        <v>1213</v>
      </c>
      <c r="C1127" t="s">
        <v>5248</v>
      </c>
      <c r="D1127" s="1">
        <v>42992</v>
      </c>
      <c r="E1127" s="1">
        <v>42994</v>
      </c>
      <c r="F1127" s="1">
        <v>42993</v>
      </c>
      <c r="G1127">
        <v>3</v>
      </c>
      <c r="H1127">
        <v>8</v>
      </c>
    </row>
    <row r="1128" spans="1:8" x14ac:dyDescent="0.3">
      <c r="A1128">
        <v>1127</v>
      </c>
      <c r="B1128">
        <v>494</v>
      </c>
      <c r="C1128" t="s">
        <v>5248</v>
      </c>
      <c r="D1128" s="1">
        <v>42993</v>
      </c>
      <c r="E1128" s="1">
        <v>42994</v>
      </c>
      <c r="F1128" s="1">
        <v>42994</v>
      </c>
      <c r="G1128">
        <v>2</v>
      </c>
      <c r="H1128">
        <v>7</v>
      </c>
    </row>
    <row r="1129" spans="1:8" x14ac:dyDescent="0.3">
      <c r="A1129">
        <v>1128</v>
      </c>
      <c r="B1129">
        <v>936</v>
      </c>
      <c r="C1129" t="s">
        <v>5248</v>
      </c>
      <c r="D1129" s="1">
        <v>42993</v>
      </c>
      <c r="E1129" s="1">
        <v>42995</v>
      </c>
      <c r="F1129" s="1">
        <v>42994</v>
      </c>
      <c r="G1129">
        <v>2</v>
      </c>
      <c r="H1129">
        <v>6</v>
      </c>
    </row>
    <row r="1130" spans="1:8" x14ac:dyDescent="0.3">
      <c r="A1130">
        <v>1129</v>
      </c>
      <c r="B1130">
        <v>663</v>
      </c>
      <c r="C1130" t="s">
        <v>5248</v>
      </c>
      <c r="D1130" s="1">
        <v>42995</v>
      </c>
      <c r="E1130" s="1">
        <v>42996</v>
      </c>
      <c r="F1130" s="1">
        <v>42998</v>
      </c>
      <c r="G1130">
        <v>2</v>
      </c>
      <c r="H1130">
        <v>6</v>
      </c>
    </row>
    <row r="1131" spans="1:8" x14ac:dyDescent="0.3">
      <c r="A1131">
        <v>1130</v>
      </c>
      <c r="B1131">
        <v>69</v>
      </c>
      <c r="C1131" t="s">
        <v>5248</v>
      </c>
      <c r="D1131" s="1">
        <v>42996</v>
      </c>
      <c r="E1131" s="1">
        <v>42998</v>
      </c>
      <c r="F1131" s="1">
        <v>42998</v>
      </c>
      <c r="G1131">
        <v>1</v>
      </c>
      <c r="H1131">
        <v>3</v>
      </c>
    </row>
    <row r="1132" spans="1:8" x14ac:dyDescent="0.3">
      <c r="A1132">
        <v>1131</v>
      </c>
      <c r="B1132">
        <v>1178</v>
      </c>
      <c r="C1132" t="s">
        <v>5248</v>
      </c>
      <c r="D1132" s="1">
        <v>42996</v>
      </c>
      <c r="E1132" s="1">
        <v>42998</v>
      </c>
      <c r="F1132" s="1">
        <v>42997</v>
      </c>
      <c r="G1132">
        <v>1</v>
      </c>
      <c r="H1132">
        <v>3</v>
      </c>
    </row>
    <row r="1133" spans="1:8" x14ac:dyDescent="0.3">
      <c r="A1133">
        <v>1132</v>
      </c>
      <c r="B1133">
        <v>351</v>
      </c>
      <c r="C1133" t="s">
        <v>5248</v>
      </c>
      <c r="D1133" s="1">
        <v>42997</v>
      </c>
      <c r="E1133" s="1">
        <v>42998</v>
      </c>
      <c r="F1133" s="1">
        <v>42998</v>
      </c>
      <c r="G1133">
        <v>2</v>
      </c>
      <c r="H1133">
        <v>6</v>
      </c>
    </row>
    <row r="1134" spans="1:8" x14ac:dyDescent="0.3">
      <c r="A1134">
        <v>1133</v>
      </c>
      <c r="B1134">
        <v>517</v>
      </c>
      <c r="C1134" t="s">
        <v>5248</v>
      </c>
      <c r="D1134" s="1">
        <v>42997</v>
      </c>
      <c r="E1134" s="1">
        <v>42999</v>
      </c>
      <c r="F1134" s="1">
        <v>42999</v>
      </c>
      <c r="G1134">
        <v>2</v>
      </c>
      <c r="H1134">
        <v>7</v>
      </c>
    </row>
    <row r="1135" spans="1:8" x14ac:dyDescent="0.3">
      <c r="A1135">
        <v>1134</v>
      </c>
      <c r="B1135">
        <v>978</v>
      </c>
      <c r="C1135" t="s">
        <v>5248</v>
      </c>
      <c r="D1135" s="1">
        <v>42997</v>
      </c>
      <c r="E1135" s="1">
        <v>43000</v>
      </c>
      <c r="F1135" s="1">
        <v>42998</v>
      </c>
      <c r="G1135">
        <v>2</v>
      </c>
      <c r="H1135">
        <v>6</v>
      </c>
    </row>
    <row r="1136" spans="1:8" x14ac:dyDescent="0.3">
      <c r="A1136">
        <v>1135</v>
      </c>
      <c r="B1136">
        <v>1347</v>
      </c>
      <c r="C1136" t="s">
        <v>5248</v>
      </c>
      <c r="D1136" s="1">
        <v>42997</v>
      </c>
      <c r="E1136" s="1">
        <v>42999</v>
      </c>
      <c r="F1136" s="1">
        <v>42998</v>
      </c>
      <c r="G1136">
        <v>2</v>
      </c>
      <c r="H1136">
        <v>6</v>
      </c>
    </row>
    <row r="1137" spans="1:8" x14ac:dyDescent="0.3">
      <c r="A1137">
        <v>1136</v>
      </c>
      <c r="B1137">
        <v>1050</v>
      </c>
      <c r="C1137" t="s">
        <v>5248</v>
      </c>
      <c r="D1137" s="1">
        <v>42998</v>
      </c>
      <c r="E1137" s="1">
        <v>42999</v>
      </c>
      <c r="F1137" s="1">
        <v>42999</v>
      </c>
      <c r="G1137">
        <v>2</v>
      </c>
      <c r="H1137">
        <v>6</v>
      </c>
    </row>
    <row r="1138" spans="1:8" x14ac:dyDescent="0.3">
      <c r="A1138">
        <v>1137</v>
      </c>
      <c r="B1138">
        <v>810</v>
      </c>
      <c r="C1138" t="s">
        <v>5248</v>
      </c>
      <c r="D1138" s="1">
        <v>42998</v>
      </c>
      <c r="E1138" s="1">
        <v>43001</v>
      </c>
      <c r="F1138" s="1">
        <v>43001</v>
      </c>
      <c r="G1138">
        <v>3</v>
      </c>
      <c r="H1138">
        <v>8</v>
      </c>
    </row>
    <row r="1139" spans="1:8" x14ac:dyDescent="0.3">
      <c r="A1139">
        <v>1138</v>
      </c>
      <c r="B1139">
        <v>254</v>
      </c>
      <c r="C1139" t="s">
        <v>5248</v>
      </c>
      <c r="D1139" s="1">
        <v>42999</v>
      </c>
      <c r="E1139" s="1">
        <v>43001</v>
      </c>
      <c r="F1139" s="1">
        <v>43000</v>
      </c>
      <c r="G1139">
        <v>1</v>
      </c>
      <c r="H1139">
        <v>2</v>
      </c>
    </row>
    <row r="1140" spans="1:8" x14ac:dyDescent="0.3">
      <c r="A1140">
        <v>1139</v>
      </c>
      <c r="B1140">
        <v>1006</v>
      </c>
      <c r="C1140" t="s">
        <v>5248</v>
      </c>
      <c r="D1140" s="1">
        <v>42999</v>
      </c>
      <c r="E1140" s="1">
        <v>43000</v>
      </c>
      <c r="F1140" s="1">
        <v>43001</v>
      </c>
      <c r="G1140">
        <v>1</v>
      </c>
      <c r="H1140">
        <v>2</v>
      </c>
    </row>
    <row r="1141" spans="1:8" x14ac:dyDescent="0.3">
      <c r="A1141">
        <v>1140</v>
      </c>
      <c r="B1141">
        <v>1063</v>
      </c>
      <c r="C1141" t="s">
        <v>5248</v>
      </c>
      <c r="D1141" s="1">
        <v>42999</v>
      </c>
      <c r="E1141" s="1">
        <v>43000</v>
      </c>
      <c r="F1141" s="1">
        <v>43000</v>
      </c>
      <c r="G1141">
        <v>3</v>
      </c>
      <c r="H1141">
        <v>8</v>
      </c>
    </row>
    <row r="1142" spans="1:8" x14ac:dyDescent="0.3">
      <c r="A1142">
        <v>1141</v>
      </c>
      <c r="B1142">
        <v>1076</v>
      </c>
      <c r="C1142" t="s">
        <v>5248</v>
      </c>
      <c r="D1142" s="1">
        <v>43000</v>
      </c>
      <c r="E1142" s="1">
        <v>43001</v>
      </c>
      <c r="F1142" s="1">
        <v>43002</v>
      </c>
      <c r="G1142">
        <v>1</v>
      </c>
      <c r="H1142">
        <v>2</v>
      </c>
    </row>
    <row r="1143" spans="1:8" x14ac:dyDescent="0.3">
      <c r="A1143">
        <v>1142</v>
      </c>
      <c r="B1143">
        <v>554</v>
      </c>
      <c r="C1143" t="s">
        <v>5248</v>
      </c>
      <c r="D1143" s="1">
        <v>43001</v>
      </c>
      <c r="E1143" s="1">
        <v>43004</v>
      </c>
      <c r="F1143" s="1">
        <v>43004</v>
      </c>
      <c r="G1143">
        <v>1</v>
      </c>
      <c r="H1143">
        <v>3</v>
      </c>
    </row>
    <row r="1144" spans="1:8" x14ac:dyDescent="0.3">
      <c r="A1144">
        <v>1143</v>
      </c>
      <c r="B1144">
        <v>1087</v>
      </c>
      <c r="C1144" t="s">
        <v>5248</v>
      </c>
      <c r="D1144" s="1">
        <v>43002</v>
      </c>
      <c r="E1144" s="1">
        <v>43004</v>
      </c>
      <c r="F1144" s="1">
        <v>43005</v>
      </c>
      <c r="G1144">
        <v>1</v>
      </c>
      <c r="H1144">
        <v>2</v>
      </c>
    </row>
    <row r="1145" spans="1:8" x14ac:dyDescent="0.3">
      <c r="A1145">
        <v>1144</v>
      </c>
      <c r="B1145">
        <v>1414</v>
      </c>
      <c r="C1145" t="s">
        <v>5248</v>
      </c>
      <c r="D1145" s="1">
        <v>43002</v>
      </c>
      <c r="E1145" s="1">
        <v>43005</v>
      </c>
      <c r="F1145" s="1">
        <v>43005</v>
      </c>
      <c r="G1145">
        <v>2</v>
      </c>
      <c r="H1145">
        <v>7</v>
      </c>
    </row>
    <row r="1146" spans="1:8" x14ac:dyDescent="0.3">
      <c r="A1146">
        <v>1145</v>
      </c>
      <c r="B1146">
        <v>617</v>
      </c>
      <c r="C1146" t="s">
        <v>5248</v>
      </c>
      <c r="D1146" s="1">
        <v>43003</v>
      </c>
      <c r="E1146" s="1">
        <v>43005</v>
      </c>
      <c r="F1146" s="1">
        <v>43004</v>
      </c>
      <c r="G1146">
        <v>2</v>
      </c>
      <c r="H1146">
        <v>6</v>
      </c>
    </row>
    <row r="1147" spans="1:8" x14ac:dyDescent="0.3">
      <c r="A1147">
        <v>1146</v>
      </c>
      <c r="B1147">
        <v>757</v>
      </c>
      <c r="C1147" t="s">
        <v>5248</v>
      </c>
      <c r="D1147" s="1">
        <v>43003</v>
      </c>
      <c r="E1147" s="1">
        <v>43004</v>
      </c>
      <c r="F1147" s="1">
        <v>43006</v>
      </c>
      <c r="G1147">
        <v>2</v>
      </c>
      <c r="H1147">
        <v>7</v>
      </c>
    </row>
    <row r="1148" spans="1:8" x14ac:dyDescent="0.3">
      <c r="A1148">
        <v>1147</v>
      </c>
      <c r="B1148">
        <v>1344</v>
      </c>
      <c r="C1148" t="s">
        <v>5248</v>
      </c>
      <c r="D1148" s="1">
        <v>43003</v>
      </c>
      <c r="E1148" s="1">
        <v>43004</v>
      </c>
      <c r="F1148" s="1">
        <v>43005</v>
      </c>
      <c r="G1148">
        <v>2</v>
      </c>
      <c r="H1148">
        <v>6</v>
      </c>
    </row>
    <row r="1149" spans="1:8" x14ac:dyDescent="0.3">
      <c r="A1149">
        <v>1148</v>
      </c>
      <c r="B1149">
        <v>1379</v>
      </c>
      <c r="C1149" t="s">
        <v>5248</v>
      </c>
      <c r="D1149" s="1">
        <v>43003</v>
      </c>
      <c r="E1149" s="1">
        <v>43004</v>
      </c>
      <c r="F1149" s="1">
        <v>43005</v>
      </c>
      <c r="G1149">
        <v>2</v>
      </c>
      <c r="H1149">
        <v>7</v>
      </c>
    </row>
    <row r="1150" spans="1:8" x14ac:dyDescent="0.3">
      <c r="A1150">
        <v>1149</v>
      </c>
      <c r="B1150">
        <v>787</v>
      </c>
      <c r="C1150" t="s">
        <v>5248</v>
      </c>
      <c r="D1150" s="1">
        <v>43005</v>
      </c>
      <c r="E1150" s="1">
        <v>43008</v>
      </c>
      <c r="F1150" s="1">
        <v>43008</v>
      </c>
      <c r="G1150">
        <v>2</v>
      </c>
      <c r="H1150">
        <v>7</v>
      </c>
    </row>
    <row r="1151" spans="1:8" x14ac:dyDescent="0.3">
      <c r="A1151">
        <v>1150</v>
      </c>
      <c r="B1151">
        <v>1183</v>
      </c>
      <c r="C1151" t="s">
        <v>5248</v>
      </c>
      <c r="D1151" s="1">
        <v>43006</v>
      </c>
      <c r="E1151" s="1">
        <v>43009</v>
      </c>
      <c r="F1151" s="1">
        <v>43008</v>
      </c>
      <c r="G1151">
        <v>2</v>
      </c>
      <c r="H1151">
        <v>7</v>
      </c>
    </row>
    <row r="1152" spans="1:8" x14ac:dyDescent="0.3">
      <c r="A1152">
        <v>1151</v>
      </c>
      <c r="B1152">
        <v>708</v>
      </c>
      <c r="C1152" t="s">
        <v>5248</v>
      </c>
      <c r="D1152" s="1">
        <v>43007</v>
      </c>
      <c r="E1152" s="1">
        <v>43008</v>
      </c>
      <c r="F1152" s="1">
        <v>43008</v>
      </c>
      <c r="G1152">
        <v>1</v>
      </c>
      <c r="H1152">
        <v>3</v>
      </c>
    </row>
    <row r="1153" spans="1:8" x14ac:dyDescent="0.3">
      <c r="A1153">
        <v>1152</v>
      </c>
      <c r="B1153">
        <v>1244</v>
      </c>
      <c r="C1153" t="s">
        <v>5248</v>
      </c>
      <c r="D1153" s="1">
        <v>43007</v>
      </c>
      <c r="E1153" s="1">
        <v>43010</v>
      </c>
      <c r="F1153" s="1">
        <v>43009</v>
      </c>
      <c r="G1153">
        <v>2</v>
      </c>
      <c r="H1153">
        <v>6</v>
      </c>
    </row>
    <row r="1154" spans="1:8" x14ac:dyDescent="0.3">
      <c r="A1154">
        <v>1153</v>
      </c>
      <c r="B1154">
        <v>720</v>
      </c>
      <c r="C1154" t="s">
        <v>5248</v>
      </c>
      <c r="D1154" s="1">
        <v>43008</v>
      </c>
      <c r="E1154" s="1">
        <v>43011</v>
      </c>
      <c r="F1154" s="1">
        <v>43011</v>
      </c>
      <c r="G1154">
        <v>2</v>
      </c>
      <c r="H1154">
        <v>7</v>
      </c>
    </row>
    <row r="1155" spans="1:8" x14ac:dyDescent="0.3">
      <c r="A1155">
        <v>1154</v>
      </c>
      <c r="B1155">
        <v>789</v>
      </c>
      <c r="C1155" t="s">
        <v>5248</v>
      </c>
      <c r="D1155" s="1">
        <v>43008</v>
      </c>
      <c r="E1155" s="1">
        <v>43011</v>
      </c>
      <c r="F1155" s="1">
        <v>43011</v>
      </c>
      <c r="G1155">
        <v>2</v>
      </c>
      <c r="H1155">
        <v>7</v>
      </c>
    </row>
    <row r="1156" spans="1:8" x14ac:dyDescent="0.3">
      <c r="A1156">
        <v>1155</v>
      </c>
      <c r="B1156">
        <v>865</v>
      </c>
      <c r="C1156" t="s">
        <v>5248</v>
      </c>
      <c r="D1156" s="1">
        <v>43008</v>
      </c>
      <c r="E1156" s="1">
        <v>43009</v>
      </c>
      <c r="F1156" s="1">
        <v>43009</v>
      </c>
      <c r="G1156">
        <v>2</v>
      </c>
      <c r="H1156">
        <v>7</v>
      </c>
    </row>
    <row r="1157" spans="1:8" x14ac:dyDescent="0.3">
      <c r="A1157">
        <v>1156</v>
      </c>
      <c r="B1157">
        <v>869</v>
      </c>
      <c r="C1157" t="s">
        <v>5248</v>
      </c>
      <c r="D1157" s="1">
        <v>43008</v>
      </c>
      <c r="E1157" s="1">
        <v>43011</v>
      </c>
      <c r="F1157" s="1">
        <v>43011</v>
      </c>
      <c r="G1157">
        <v>2</v>
      </c>
      <c r="H1157">
        <v>7</v>
      </c>
    </row>
    <row r="1158" spans="1:8" x14ac:dyDescent="0.3">
      <c r="A1158">
        <v>1157</v>
      </c>
      <c r="B1158">
        <v>24</v>
      </c>
      <c r="C1158" t="s">
        <v>5248</v>
      </c>
      <c r="D1158" s="1">
        <v>43009</v>
      </c>
      <c r="E1158" s="1">
        <v>43011</v>
      </c>
      <c r="F1158" s="1">
        <v>43012</v>
      </c>
      <c r="G1158">
        <v>1</v>
      </c>
      <c r="H1158">
        <v>3</v>
      </c>
    </row>
    <row r="1159" spans="1:8" x14ac:dyDescent="0.3">
      <c r="A1159">
        <v>1158</v>
      </c>
      <c r="B1159">
        <v>889</v>
      </c>
      <c r="C1159" t="s">
        <v>5248</v>
      </c>
      <c r="D1159" s="1">
        <v>43009</v>
      </c>
      <c r="E1159" s="1">
        <v>43011</v>
      </c>
      <c r="F1159" s="1">
        <v>43010</v>
      </c>
      <c r="G1159">
        <v>1</v>
      </c>
      <c r="H1159">
        <v>2</v>
      </c>
    </row>
    <row r="1160" spans="1:8" x14ac:dyDescent="0.3">
      <c r="A1160">
        <v>1159</v>
      </c>
      <c r="B1160">
        <v>1221</v>
      </c>
      <c r="C1160" t="s">
        <v>5248</v>
      </c>
      <c r="D1160" s="1">
        <v>43009</v>
      </c>
      <c r="E1160" s="1">
        <v>43010</v>
      </c>
      <c r="F1160" s="1">
        <v>43011</v>
      </c>
      <c r="G1160">
        <v>1</v>
      </c>
      <c r="H1160">
        <v>3</v>
      </c>
    </row>
    <row r="1161" spans="1:8" x14ac:dyDescent="0.3">
      <c r="A1161">
        <v>1160</v>
      </c>
      <c r="B1161">
        <v>1262</v>
      </c>
      <c r="C1161" t="s">
        <v>5248</v>
      </c>
      <c r="D1161" s="1">
        <v>43009</v>
      </c>
      <c r="E1161" s="1">
        <v>43010</v>
      </c>
      <c r="F1161" s="1">
        <v>43012</v>
      </c>
      <c r="G1161">
        <v>1</v>
      </c>
      <c r="H1161">
        <v>2</v>
      </c>
    </row>
    <row r="1162" spans="1:8" x14ac:dyDescent="0.3">
      <c r="A1162">
        <v>1161</v>
      </c>
      <c r="B1162">
        <v>41</v>
      </c>
      <c r="C1162" t="s">
        <v>5248</v>
      </c>
      <c r="D1162" s="1">
        <v>43009</v>
      </c>
      <c r="E1162" s="1">
        <v>43012</v>
      </c>
      <c r="F1162" s="1">
        <v>43010</v>
      </c>
      <c r="G1162">
        <v>2</v>
      </c>
      <c r="H1162">
        <v>7</v>
      </c>
    </row>
    <row r="1163" spans="1:8" x14ac:dyDescent="0.3">
      <c r="A1163">
        <v>1162</v>
      </c>
      <c r="B1163">
        <v>888</v>
      </c>
      <c r="C1163" t="s">
        <v>5248</v>
      </c>
      <c r="D1163" s="1">
        <v>43009</v>
      </c>
      <c r="E1163" s="1">
        <v>43011</v>
      </c>
      <c r="F1163" s="1">
        <v>43011</v>
      </c>
      <c r="G1163">
        <v>2</v>
      </c>
      <c r="H1163">
        <v>6</v>
      </c>
    </row>
    <row r="1164" spans="1:8" x14ac:dyDescent="0.3">
      <c r="A1164">
        <v>1163</v>
      </c>
      <c r="B1164">
        <v>934</v>
      </c>
      <c r="C1164" t="s">
        <v>5248</v>
      </c>
      <c r="D1164" s="1">
        <v>43009</v>
      </c>
      <c r="E1164" s="1">
        <v>43010</v>
      </c>
      <c r="F1164" s="1">
        <v>43010</v>
      </c>
      <c r="G1164">
        <v>2</v>
      </c>
      <c r="H1164">
        <v>6</v>
      </c>
    </row>
    <row r="1165" spans="1:8" x14ac:dyDescent="0.3">
      <c r="A1165">
        <v>1164</v>
      </c>
      <c r="B1165">
        <v>1067</v>
      </c>
      <c r="C1165" t="s">
        <v>5248</v>
      </c>
      <c r="D1165" s="1">
        <v>43009</v>
      </c>
      <c r="E1165" s="1">
        <v>43010</v>
      </c>
      <c r="F1165" s="1">
        <v>43011</v>
      </c>
      <c r="G1165">
        <v>2</v>
      </c>
      <c r="H1165">
        <v>6</v>
      </c>
    </row>
    <row r="1166" spans="1:8" x14ac:dyDescent="0.3">
      <c r="A1166">
        <v>1165</v>
      </c>
      <c r="B1166">
        <v>652</v>
      </c>
      <c r="C1166" t="s">
        <v>5248</v>
      </c>
      <c r="D1166" s="1">
        <v>43010</v>
      </c>
      <c r="E1166" s="1">
        <v>43011</v>
      </c>
      <c r="F1166" s="1">
        <v>43013</v>
      </c>
      <c r="G1166">
        <v>2</v>
      </c>
      <c r="H1166">
        <v>7</v>
      </c>
    </row>
    <row r="1167" spans="1:8" x14ac:dyDescent="0.3">
      <c r="A1167">
        <v>1166</v>
      </c>
      <c r="B1167">
        <v>286</v>
      </c>
      <c r="C1167" t="s">
        <v>5248</v>
      </c>
      <c r="D1167" s="1">
        <v>43011</v>
      </c>
      <c r="E1167" s="1">
        <v>43012</v>
      </c>
      <c r="F1167" s="1">
        <v>43012</v>
      </c>
      <c r="G1167">
        <v>2</v>
      </c>
      <c r="H1167">
        <v>7</v>
      </c>
    </row>
    <row r="1168" spans="1:8" x14ac:dyDescent="0.3">
      <c r="A1168">
        <v>1167</v>
      </c>
      <c r="B1168">
        <v>900</v>
      </c>
      <c r="C1168" t="s">
        <v>5248</v>
      </c>
      <c r="D1168" s="1">
        <v>43012</v>
      </c>
      <c r="E1168" s="1">
        <v>43015</v>
      </c>
      <c r="F1168" s="1">
        <v>43014</v>
      </c>
      <c r="G1168">
        <v>1</v>
      </c>
      <c r="H1168">
        <v>2</v>
      </c>
    </row>
    <row r="1169" spans="1:8" x14ac:dyDescent="0.3">
      <c r="A1169">
        <v>1168</v>
      </c>
      <c r="B1169">
        <v>1031</v>
      </c>
      <c r="C1169" t="s">
        <v>5248</v>
      </c>
      <c r="D1169" s="1">
        <v>43012</v>
      </c>
      <c r="E1169" s="1">
        <v>43013</v>
      </c>
      <c r="F1169" s="1">
        <v>43014</v>
      </c>
      <c r="G1169">
        <v>2</v>
      </c>
      <c r="H1169">
        <v>6</v>
      </c>
    </row>
    <row r="1170" spans="1:8" x14ac:dyDescent="0.3">
      <c r="A1170">
        <v>1169</v>
      </c>
      <c r="B1170">
        <v>1421</v>
      </c>
      <c r="C1170" t="s">
        <v>5248</v>
      </c>
      <c r="D1170" s="1">
        <v>43012</v>
      </c>
      <c r="E1170" s="1">
        <v>43014</v>
      </c>
      <c r="F1170" s="1">
        <v>43015</v>
      </c>
      <c r="G1170">
        <v>2</v>
      </c>
      <c r="H1170">
        <v>7</v>
      </c>
    </row>
    <row r="1171" spans="1:8" x14ac:dyDescent="0.3">
      <c r="A1171">
        <v>1170</v>
      </c>
      <c r="B1171">
        <v>534</v>
      </c>
      <c r="C1171" t="s">
        <v>5248</v>
      </c>
      <c r="D1171" s="1">
        <v>43013</v>
      </c>
      <c r="E1171" s="1">
        <v>43015</v>
      </c>
      <c r="F1171" s="1">
        <v>43014</v>
      </c>
      <c r="G1171">
        <v>2</v>
      </c>
      <c r="H1171">
        <v>6</v>
      </c>
    </row>
    <row r="1172" spans="1:8" x14ac:dyDescent="0.3">
      <c r="A1172">
        <v>1171</v>
      </c>
      <c r="B1172">
        <v>826</v>
      </c>
      <c r="C1172" t="s">
        <v>5248</v>
      </c>
      <c r="D1172" s="1">
        <v>43013</v>
      </c>
      <c r="E1172" s="1">
        <v>43014</v>
      </c>
      <c r="F1172" s="1">
        <v>43016</v>
      </c>
      <c r="G1172">
        <v>2</v>
      </c>
      <c r="H1172">
        <v>6</v>
      </c>
    </row>
    <row r="1173" spans="1:8" x14ac:dyDescent="0.3">
      <c r="A1173">
        <v>1172</v>
      </c>
      <c r="B1173">
        <v>1339</v>
      </c>
      <c r="C1173" t="s">
        <v>5248</v>
      </c>
      <c r="D1173" s="1">
        <v>43015</v>
      </c>
      <c r="E1173" s="1">
        <v>43018</v>
      </c>
      <c r="F1173" s="1">
        <v>43017</v>
      </c>
      <c r="G1173">
        <v>2</v>
      </c>
      <c r="H1173">
        <v>7</v>
      </c>
    </row>
    <row r="1174" spans="1:8" x14ac:dyDescent="0.3">
      <c r="A1174">
        <v>1173</v>
      </c>
      <c r="B1174">
        <v>548</v>
      </c>
      <c r="C1174" t="s">
        <v>5248</v>
      </c>
      <c r="D1174" s="1">
        <v>43016</v>
      </c>
      <c r="E1174" s="1">
        <v>43018</v>
      </c>
      <c r="F1174" s="1">
        <v>43017</v>
      </c>
      <c r="G1174">
        <v>2</v>
      </c>
      <c r="H1174">
        <v>7</v>
      </c>
    </row>
    <row r="1175" spans="1:8" x14ac:dyDescent="0.3">
      <c r="A1175">
        <v>1174</v>
      </c>
      <c r="B1175">
        <v>1109</v>
      </c>
      <c r="C1175" t="s">
        <v>5248</v>
      </c>
      <c r="D1175" s="1">
        <v>43016</v>
      </c>
      <c r="E1175" s="1">
        <v>43018</v>
      </c>
      <c r="F1175" s="1">
        <v>43019</v>
      </c>
      <c r="G1175">
        <v>2</v>
      </c>
      <c r="H1175">
        <v>6</v>
      </c>
    </row>
    <row r="1176" spans="1:8" x14ac:dyDescent="0.3">
      <c r="A1176">
        <v>1175</v>
      </c>
      <c r="B1176">
        <v>292</v>
      </c>
      <c r="C1176" t="s">
        <v>5248</v>
      </c>
      <c r="D1176" s="1">
        <v>43017</v>
      </c>
      <c r="E1176" s="1">
        <v>43019</v>
      </c>
      <c r="F1176" s="1">
        <v>43020</v>
      </c>
      <c r="G1176">
        <v>2</v>
      </c>
      <c r="H1176">
        <v>6</v>
      </c>
    </row>
    <row r="1177" spans="1:8" x14ac:dyDescent="0.3">
      <c r="A1177">
        <v>1176</v>
      </c>
      <c r="B1177">
        <v>1111</v>
      </c>
      <c r="C1177" t="s">
        <v>5248</v>
      </c>
      <c r="D1177" s="1">
        <v>43018</v>
      </c>
      <c r="E1177" s="1">
        <v>43021</v>
      </c>
      <c r="F1177" s="1">
        <v>43019</v>
      </c>
      <c r="G1177">
        <v>3</v>
      </c>
      <c r="H1177">
        <v>9</v>
      </c>
    </row>
    <row r="1178" spans="1:8" x14ac:dyDescent="0.3">
      <c r="A1178">
        <v>1177</v>
      </c>
      <c r="B1178">
        <v>21</v>
      </c>
      <c r="C1178" t="s">
        <v>5249</v>
      </c>
      <c r="D1178" s="1">
        <v>43020</v>
      </c>
      <c r="E1178" s="1">
        <v>43020</v>
      </c>
      <c r="F1178" s="1"/>
      <c r="G1178">
        <v>3</v>
      </c>
      <c r="H1178">
        <v>9</v>
      </c>
    </row>
    <row r="1179" spans="1:8" x14ac:dyDescent="0.3">
      <c r="A1179">
        <v>1178</v>
      </c>
      <c r="B1179">
        <v>771</v>
      </c>
      <c r="C1179" t="s">
        <v>5248</v>
      </c>
      <c r="D1179" s="1">
        <v>43020</v>
      </c>
      <c r="E1179" s="1">
        <v>43023</v>
      </c>
      <c r="F1179" s="1">
        <v>43021</v>
      </c>
      <c r="G1179">
        <v>2</v>
      </c>
      <c r="H1179">
        <v>6</v>
      </c>
    </row>
    <row r="1180" spans="1:8" x14ac:dyDescent="0.3">
      <c r="A1180">
        <v>1179</v>
      </c>
      <c r="B1180">
        <v>1150</v>
      </c>
      <c r="C1180" t="s">
        <v>5248</v>
      </c>
      <c r="D1180" s="1">
        <v>43020</v>
      </c>
      <c r="E1180" s="1">
        <v>43023</v>
      </c>
      <c r="F1180" s="1">
        <v>43023</v>
      </c>
      <c r="G1180">
        <v>3</v>
      </c>
      <c r="H1180">
        <v>9</v>
      </c>
    </row>
    <row r="1181" spans="1:8" x14ac:dyDescent="0.3">
      <c r="A1181">
        <v>1180</v>
      </c>
      <c r="B1181">
        <v>1065</v>
      </c>
      <c r="C1181" t="s">
        <v>5248</v>
      </c>
      <c r="D1181" s="1">
        <v>43021</v>
      </c>
      <c r="E1181" s="1">
        <v>43024</v>
      </c>
      <c r="F1181" s="1">
        <v>43024</v>
      </c>
      <c r="G1181">
        <v>1</v>
      </c>
      <c r="H1181">
        <v>3</v>
      </c>
    </row>
    <row r="1182" spans="1:8" x14ac:dyDescent="0.3">
      <c r="A1182">
        <v>1181</v>
      </c>
      <c r="B1182">
        <v>1022</v>
      </c>
      <c r="C1182" t="s">
        <v>5248</v>
      </c>
      <c r="D1182" s="1">
        <v>43021</v>
      </c>
      <c r="E1182" s="1">
        <v>43024</v>
      </c>
      <c r="F1182" s="1">
        <v>43023</v>
      </c>
      <c r="G1182">
        <v>2</v>
      </c>
      <c r="H1182">
        <v>7</v>
      </c>
    </row>
    <row r="1183" spans="1:8" x14ac:dyDescent="0.3">
      <c r="A1183">
        <v>1182</v>
      </c>
      <c r="B1183">
        <v>1422</v>
      </c>
      <c r="C1183" t="s">
        <v>5248</v>
      </c>
      <c r="D1183" s="1">
        <v>43021</v>
      </c>
      <c r="E1183" s="1">
        <v>43022</v>
      </c>
      <c r="F1183" s="1">
        <v>43024</v>
      </c>
      <c r="G1183">
        <v>2</v>
      </c>
      <c r="H1183">
        <v>7</v>
      </c>
    </row>
    <row r="1184" spans="1:8" x14ac:dyDescent="0.3">
      <c r="A1184">
        <v>1183</v>
      </c>
      <c r="B1184">
        <v>216</v>
      </c>
      <c r="C1184" t="s">
        <v>5248</v>
      </c>
      <c r="D1184" s="1">
        <v>43022</v>
      </c>
      <c r="E1184" s="1">
        <v>43025</v>
      </c>
      <c r="F1184" s="1">
        <v>43025</v>
      </c>
      <c r="G1184">
        <v>2</v>
      </c>
      <c r="H1184">
        <v>6</v>
      </c>
    </row>
    <row r="1185" spans="1:8" x14ac:dyDescent="0.3">
      <c r="A1185">
        <v>1184</v>
      </c>
      <c r="B1185">
        <v>369</v>
      </c>
      <c r="C1185" t="s">
        <v>5248</v>
      </c>
      <c r="D1185" s="1">
        <v>43022</v>
      </c>
      <c r="E1185" s="1">
        <v>43023</v>
      </c>
      <c r="F1185" s="1">
        <v>43024</v>
      </c>
      <c r="G1185">
        <v>2</v>
      </c>
      <c r="H1185">
        <v>6</v>
      </c>
    </row>
    <row r="1186" spans="1:8" x14ac:dyDescent="0.3">
      <c r="A1186">
        <v>1185</v>
      </c>
      <c r="B1186">
        <v>960</v>
      </c>
      <c r="C1186" t="s">
        <v>5248</v>
      </c>
      <c r="D1186" s="1">
        <v>43022</v>
      </c>
      <c r="E1186" s="1">
        <v>43024</v>
      </c>
      <c r="F1186" s="1">
        <v>43025</v>
      </c>
      <c r="G1186">
        <v>2</v>
      </c>
      <c r="H1186">
        <v>6</v>
      </c>
    </row>
    <row r="1187" spans="1:8" x14ac:dyDescent="0.3">
      <c r="A1187">
        <v>1186</v>
      </c>
      <c r="B1187">
        <v>1120</v>
      </c>
      <c r="C1187" t="s">
        <v>5248</v>
      </c>
      <c r="D1187" s="1">
        <v>43022</v>
      </c>
      <c r="E1187" s="1">
        <v>43024</v>
      </c>
      <c r="F1187" s="1">
        <v>43023</v>
      </c>
      <c r="G1187">
        <v>2</v>
      </c>
      <c r="H1187">
        <v>6</v>
      </c>
    </row>
    <row r="1188" spans="1:8" x14ac:dyDescent="0.3">
      <c r="A1188">
        <v>1187</v>
      </c>
      <c r="B1188">
        <v>486</v>
      </c>
      <c r="C1188" t="s">
        <v>5248</v>
      </c>
      <c r="D1188" s="1">
        <v>43023</v>
      </c>
      <c r="E1188" s="1">
        <v>43026</v>
      </c>
      <c r="F1188" s="1">
        <v>43024</v>
      </c>
      <c r="G1188">
        <v>2</v>
      </c>
      <c r="H1188">
        <v>6</v>
      </c>
    </row>
    <row r="1189" spans="1:8" x14ac:dyDescent="0.3">
      <c r="A1189">
        <v>1188</v>
      </c>
      <c r="B1189">
        <v>647</v>
      </c>
      <c r="C1189" t="s">
        <v>5248</v>
      </c>
      <c r="D1189" s="1">
        <v>43023</v>
      </c>
      <c r="E1189" s="1">
        <v>43026</v>
      </c>
      <c r="F1189" s="1">
        <v>43025</v>
      </c>
      <c r="G1189">
        <v>2</v>
      </c>
      <c r="H1189">
        <v>7</v>
      </c>
    </row>
    <row r="1190" spans="1:8" x14ac:dyDescent="0.3">
      <c r="A1190">
        <v>1189</v>
      </c>
      <c r="B1190">
        <v>1090</v>
      </c>
      <c r="C1190" t="s">
        <v>5248</v>
      </c>
      <c r="D1190" s="1">
        <v>43023</v>
      </c>
      <c r="E1190" s="1">
        <v>43025</v>
      </c>
      <c r="F1190" s="1">
        <v>43026</v>
      </c>
      <c r="G1190">
        <v>2</v>
      </c>
      <c r="H1190">
        <v>6</v>
      </c>
    </row>
    <row r="1191" spans="1:8" x14ac:dyDescent="0.3">
      <c r="A1191">
        <v>1190</v>
      </c>
      <c r="B1191">
        <v>34</v>
      </c>
      <c r="C1191" t="s">
        <v>5248</v>
      </c>
      <c r="D1191" s="1">
        <v>43024</v>
      </c>
      <c r="E1191" s="1">
        <v>43027</v>
      </c>
      <c r="F1191" s="1">
        <v>43025</v>
      </c>
      <c r="G1191">
        <v>2</v>
      </c>
      <c r="H1191">
        <v>6</v>
      </c>
    </row>
    <row r="1192" spans="1:8" x14ac:dyDescent="0.3">
      <c r="A1192">
        <v>1191</v>
      </c>
      <c r="B1192">
        <v>186</v>
      </c>
      <c r="C1192" t="s">
        <v>5248</v>
      </c>
      <c r="D1192" s="1">
        <v>43025</v>
      </c>
      <c r="E1192" s="1">
        <v>43026</v>
      </c>
      <c r="F1192" s="1">
        <v>43026</v>
      </c>
      <c r="G1192">
        <v>2</v>
      </c>
      <c r="H1192">
        <v>6</v>
      </c>
    </row>
    <row r="1193" spans="1:8" x14ac:dyDescent="0.3">
      <c r="A1193">
        <v>1192</v>
      </c>
      <c r="B1193">
        <v>1114</v>
      </c>
      <c r="C1193" t="s">
        <v>5248</v>
      </c>
      <c r="D1193" s="1">
        <v>43025</v>
      </c>
      <c r="E1193" s="1">
        <v>43027</v>
      </c>
      <c r="F1193" s="1">
        <v>43026</v>
      </c>
      <c r="G1193">
        <v>2</v>
      </c>
      <c r="H1193">
        <v>6</v>
      </c>
    </row>
    <row r="1194" spans="1:8" x14ac:dyDescent="0.3">
      <c r="A1194">
        <v>1193</v>
      </c>
      <c r="B1194">
        <v>1412</v>
      </c>
      <c r="C1194" t="s">
        <v>5248</v>
      </c>
      <c r="D1194" s="1">
        <v>43025</v>
      </c>
      <c r="E1194" s="1">
        <v>43027</v>
      </c>
      <c r="F1194" s="1">
        <v>43027</v>
      </c>
      <c r="G1194">
        <v>2</v>
      </c>
      <c r="H1194">
        <v>7</v>
      </c>
    </row>
    <row r="1195" spans="1:8" x14ac:dyDescent="0.3">
      <c r="A1195">
        <v>1194</v>
      </c>
      <c r="B1195">
        <v>192</v>
      </c>
      <c r="C1195" t="s">
        <v>5248</v>
      </c>
      <c r="D1195" s="1">
        <v>43027</v>
      </c>
      <c r="E1195" s="1">
        <v>43030</v>
      </c>
      <c r="F1195" s="1">
        <v>43030</v>
      </c>
      <c r="G1195">
        <v>1</v>
      </c>
      <c r="H1195">
        <v>2</v>
      </c>
    </row>
    <row r="1196" spans="1:8" x14ac:dyDescent="0.3">
      <c r="A1196">
        <v>1195</v>
      </c>
      <c r="B1196">
        <v>229</v>
      </c>
      <c r="C1196" t="s">
        <v>5248</v>
      </c>
      <c r="D1196" s="1">
        <v>43027</v>
      </c>
      <c r="E1196" s="1">
        <v>43029</v>
      </c>
      <c r="F1196" s="1">
        <v>43029</v>
      </c>
      <c r="G1196">
        <v>2</v>
      </c>
      <c r="H1196">
        <v>7</v>
      </c>
    </row>
    <row r="1197" spans="1:8" x14ac:dyDescent="0.3">
      <c r="A1197">
        <v>1196</v>
      </c>
      <c r="B1197">
        <v>508</v>
      </c>
      <c r="C1197" t="s">
        <v>5248</v>
      </c>
      <c r="D1197" s="1">
        <v>43027</v>
      </c>
      <c r="E1197" s="1">
        <v>43029</v>
      </c>
      <c r="F1197" s="1">
        <v>43028</v>
      </c>
      <c r="G1197">
        <v>2</v>
      </c>
      <c r="H1197">
        <v>6</v>
      </c>
    </row>
    <row r="1198" spans="1:8" x14ac:dyDescent="0.3">
      <c r="A1198">
        <v>1197</v>
      </c>
      <c r="B1198">
        <v>269</v>
      </c>
      <c r="C1198" t="s">
        <v>5248</v>
      </c>
      <c r="D1198" s="1">
        <v>43029</v>
      </c>
      <c r="E1198" s="1">
        <v>43031</v>
      </c>
      <c r="F1198" s="1">
        <v>43031</v>
      </c>
      <c r="G1198">
        <v>2</v>
      </c>
      <c r="H1198">
        <v>6</v>
      </c>
    </row>
    <row r="1199" spans="1:8" x14ac:dyDescent="0.3">
      <c r="A1199">
        <v>1198</v>
      </c>
      <c r="B1199">
        <v>1289</v>
      </c>
      <c r="C1199" t="s">
        <v>5248</v>
      </c>
      <c r="D1199" s="1">
        <v>43030</v>
      </c>
      <c r="E1199" s="1">
        <v>43032</v>
      </c>
      <c r="F1199" s="1">
        <v>43032</v>
      </c>
      <c r="G1199">
        <v>2</v>
      </c>
      <c r="H1199">
        <v>7</v>
      </c>
    </row>
    <row r="1200" spans="1:8" x14ac:dyDescent="0.3">
      <c r="A1200">
        <v>1199</v>
      </c>
      <c r="B1200">
        <v>318</v>
      </c>
      <c r="C1200" t="s">
        <v>5248</v>
      </c>
      <c r="D1200" s="1">
        <v>43031</v>
      </c>
      <c r="E1200" s="1">
        <v>43032</v>
      </c>
      <c r="F1200" s="1">
        <v>43034</v>
      </c>
      <c r="G1200">
        <v>1</v>
      </c>
      <c r="H1200">
        <v>2</v>
      </c>
    </row>
    <row r="1201" spans="1:8" x14ac:dyDescent="0.3">
      <c r="A1201">
        <v>1200</v>
      </c>
      <c r="B1201">
        <v>48</v>
      </c>
      <c r="C1201" t="s">
        <v>5248</v>
      </c>
      <c r="D1201" s="1">
        <v>43031</v>
      </c>
      <c r="E1201" s="1">
        <v>43033</v>
      </c>
      <c r="F1201" s="1">
        <v>43034</v>
      </c>
      <c r="G1201">
        <v>2</v>
      </c>
      <c r="H1201">
        <v>6</v>
      </c>
    </row>
    <row r="1202" spans="1:8" x14ac:dyDescent="0.3">
      <c r="A1202">
        <v>1201</v>
      </c>
      <c r="B1202">
        <v>201</v>
      </c>
      <c r="C1202" t="s">
        <v>5248</v>
      </c>
      <c r="D1202" s="1">
        <v>43031</v>
      </c>
      <c r="E1202" s="1">
        <v>43032</v>
      </c>
      <c r="F1202" s="1">
        <v>43032</v>
      </c>
      <c r="G1202">
        <v>2</v>
      </c>
      <c r="H1202">
        <v>6</v>
      </c>
    </row>
    <row r="1203" spans="1:8" x14ac:dyDescent="0.3">
      <c r="A1203">
        <v>1202</v>
      </c>
      <c r="B1203">
        <v>593</v>
      </c>
      <c r="C1203" t="s">
        <v>5248</v>
      </c>
      <c r="D1203" s="1">
        <v>43032</v>
      </c>
      <c r="E1203" s="1">
        <v>43033</v>
      </c>
      <c r="F1203" s="1">
        <v>43033</v>
      </c>
      <c r="G1203">
        <v>2</v>
      </c>
      <c r="H1203">
        <v>6</v>
      </c>
    </row>
    <row r="1204" spans="1:8" x14ac:dyDescent="0.3">
      <c r="A1204">
        <v>1203</v>
      </c>
      <c r="B1204">
        <v>1191</v>
      </c>
      <c r="C1204" t="s">
        <v>5248</v>
      </c>
      <c r="D1204" s="1">
        <v>43033</v>
      </c>
      <c r="E1204" s="1">
        <v>43035</v>
      </c>
      <c r="F1204" s="1">
        <v>43034</v>
      </c>
      <c r="G1204">
        <v>2</v>
      </c>
      <c r="H1204">
        <v>7</v>
      </c>
    </row>
    <row r="1205" spans="1:8" x14ac:dyDescent="0.3">
      <c r="A1205">
        <v>1204</v>
      </c>
      <c r="B1205">
        <v>1277</v>
      </c>
      <c r="C1205" t="s">
        <v>5248</v>
      </c>
      <c r="D1205" s="1">
        <v>43033</v>
      </c>
      <c r="E1205" s="1">
        <v>43036</v>
      </c>
      <c r="F1205" s="1">
        <v>43036</v>
      </c>
      <c r="G1205">
        <v>2</v>
      </c>
      <c r="H1205">
        <v>6</v>
      </c>
    </row>
    <row r="1206" spans="1:8" x14ac:dyDescent="0.3">
      <c r="A1206">
        <v>1205</v>
      </c>
      <c r="B1206">
        <v>1091</v>
      </c>
      <c r="C1206" t="s">
        <v>5248</v>
      </c>
      <c r="D1206" s="1">
        <v>43034</v>
      </c>
      <c r="E1206" s="1">
        <v>43036</v>
      </c>
      <c r="F1206" s="1">
        <v>43036</v>
      </c>
      <c r="G1206">
        <v>1</v>
      </c>
      <c r="H1206">
        <v>2</v>
      </c>
    </row>
    <row r="1207" spans="1:8" x14ac:dyDescent="0.3">
      <c r="A1207">
        <v>1206</v>
      </c>
      <c r="B1207">
        <v>222</v>
      </c>
      <c r="C1207" t="s">
        <v>5248</v>
      </c>
      <c r="D1207" s="1">
        <v>43034</v>
      </c>
      <c r="E1207" s="1">
        <v>43037</v>
      </c>
      <c r="F1207" s="1">
        <v>43037</v>
      </c>
      <c r="G1207">
        <v>2</v>
      </c>
      <c r="H1207">
        <v>6</v>
      </c>
    </row>
    <row r="1208" spans="1:8" x14ac:dyDescent="0.3">
      <c r="A1208">
        <v>1207</v>
      </c>
      <c r="B1208">
        <v>1002</v>
      </c>
      <c r="C1208" t="s">
        <v>5248</v>
      </c>
      <c r="D1208" s="1">
        <v>43034</v>
      </c>
      <c r="E1208" s="1">
        <v>43036</v>
      </c>
      <c r="F1208" s="1">
        <v>43035</v>
      </c>
      <c r="G1208">
        <v>2</v>
      </c>
      <c r="H1208">
        <v>6</v>
      </c>
    </row>
    <row r="1209" spans="1:8" x14ac:dyDescent="0.3">
      <c r="A1209">
        <v>1208</v>
      </c>
      <c r="B1209">
        <v>1226</v>
      </c>
      <c r="C1209" t="s">
        <v>5248</v>
      </c>
      <c r="D1209" s="1">
        <v>43034</v>
      </c>
      <c r="E1209" s="1">
        <v>43036</v>
      </c>
      <c r="F1209" s="1">
        <v>43035</v>
      </c>
      <c r="G1209">
        <v>2</v>
      </c>
      <c r="H1209">
        <v>7</v>
      </c>
    </row>
    <row r="1210" spans="1:8" x14ac:dyDescent="0.3">
      <c r="A1210">
        <v>1209</v>
      </c>
      <c r="B1210">
        <v>1342</v>
      </c>
      <c r="C1210" t="s">
        <v>5248</v>
      </c>
      <c r="D1210" s="1">
        <v>43034</v>
      </c>
      <c r="E1210" s="1">
        <v>43035</v>
      </c>
      <c r="F1210" s="1">
        <v>43037</v>
      </c>
      <c r="G1210">
        <v>2</v>
      </c>
      <c r="H1210">
        <v>7</v>
      </c>
    </row>
    <row r="1211" spans="1:8" x14ac:dyDescent="0.3">
      <c r="A1211">
        <v>1210</v>
      </c>
      <c r="B1211">
        <v>730</v>
      </c>
      <c r="C1211" t="s">
        <v>5248</v>
      </c>
      <c r="D1211" s="1">
        <v>43034</v>
      </c>
      <c r="E1211" s="1">
        <v>43035</v>
      </c>
      <c r="F1211" s="1">
        <v>43037</v>
      </c>
      <c r="G1211">
        <v>3</v>
      </c>
      <c r="H1211">
        <v>8</v>
      </c>
    </row>
    <row r="1212" spans="1:8" x14ac:dyDescent="0.3">
      <c r="A1212">
        <v>1211</v>
      </c>
      <c r="B1212">
        <v>19</v>
      </c>
      <c r="C1212" t="s">
        <v>5248</v>
      </c>
      <c r="D1212" s="1">
        <v>43035</v>
      </c>
      <c r="E1212" s="1">
        <v>43036</v>
      </c>
      <c r="F1212" s="1">
        <v>43037</v>
      </c>
      <c r="G1212">
        <v>2</v>
      </c>
      <c r="H1212">
        <v>7</v>
      </c>
    </row>
    <row r="1213" spans="1:8" x14ac:dyDescent="0.3">
      <c r="A1213">
        <v>1212</v>
      </c>
      <c r="B1213">
        <v>213</v>
      </c>
      <c r="C1213" t="s">
        <v>5248</v>
      </c>
      <c r="D1213" s="1">
        <v>43035</v>
      </c>
      <c r="E1213" s="1">
        <v>43038</v>
      </c>
      <c r="F1213" s="1">
        <v>43037</v>
      </c>
      <c r="G1213">
        <v>2</v>
      </c>
      <c r="H1213">
        <v>6</v>
      </c>
    </row>
    <row r="1214" spans="1:8" x14ac:dyDescent="0.3">
      <c r="A1214">
        <v>1213</v>
      </c>
      <c r="B1214">
        <v>669</v>
      </c>
      <c r="C1214" t="s">
        <v>5248</v>
      </c>
      <c r="D1214" s="1">
        <v>43035</v>
      </c>
      <c r="E1214" s="1">
        <v>43037</v>
      </c>
      <c r="F1214" s="1">
        <v>43037</v>
      </c>
      <c r="G1214">
        <v>3</v>
      </c>
      <c r="H1214">
        <v>9</v>
      </c>
    </row>
    <row r="1215" spans="1:8" x14ac:dyDescent="0.3">
      <c r="A1215">
        <v>1214</v>
      </c>
      <c r="B1215">
        <v>783</v>
      </c>
      <c r="C1215" t="s">
        <v>5248</v>
      </c>
      <c r="D1215" s="1">
        <v>43036</v>
      </c>
      <c r="E1215" s="1">
        <v>43037</v>
      </c>
      <c r="F1215" s="1">
        <v>43037</v>
      </c>
      <c r="G1215">
        <v>2</v>
      </c>
      <c r="H1215">
        <v>6</v>
      </c>
    </row>
    <row r="1216" spans="1:8" x14ac:dyDescent="0.3">
      <c r="A1216">
        <v>1215</v>
      </c>
      <c r="B1216">
        <v>807</v>
      </c>
      <c r="C1216" t="s">
        <v>5248</v>
      </c>
      <c r="D1216" s="1">
        <v>43036</v>
      </c>
      <c r="E1216" s="1">
        <v>43039</v>
      </c>
      <c r="F1216" s="1">
        <v>43038</v>
      </c>
      <c r="G1216">
        <v>2</v>
      </c>
      <c r="H1216">
        <v>7</v>
      </c>
    </row>
    <row r="1217" spans="1:8" x14ac:dyDescent="0.3">
      <c r="A1217">
        <v>1216</v>
      </c>
      <c r="B1217">
        <v>886</v>
      </c>
      <c r="C1217" t="s">
        <v>5248</v>
      </c>
      <c r="D1217" s="1">
        <v>43036</v>
      </c>
      <c r="E1217" s="1">
        <v>43038</v>
      </c>
      <c r="F1217" s="1">
        <v>43037</v>
      </c>
      <c r="G1217">
        <v>2</v>
      </c>
      <c r="H1217">
        <v>7</v>
      </c>
    </row>
    <row r="1218" spans="1:8" x14ac:dyDescent="0.3">
      <c r="A1218">
        <v>1217</v>
      </c>
      <c r="B1218">
        <v>1155</v>
      </c>
      <c r="C1218" t="s">
        <v>5248</v>
      </c>
      <c r="D1218" s="1">
        <v>43036</v>
      </c>
      <c r="E1218" s="1">
        <v>43039</v>
      </c>
      <c r="F1218" s="1">
        <v>43038</v>
      </c>
      <c r="G1218">
        <v>2</v>
      </c>
      <c r="H1218">
        <v>7</v>
      </c>
    </row>
    <row r="1219" spans="1:8" x14ac:dyDescent="0.3">
      <c r="A1219">
        <v>1218</v>
      </c>
      <c r="B1219">
        <v>1017</v>
      </c>
      <c r="C1219" t="s">
        <v>5248</v>
      </c>
      <c r="D1219" s="1">
        <v>43038</v>
      </c>
      <c r="E1219" s="1">
        <v>43040</v>
      </c>
      <c r="F1219" s="1">
        <v>43039</v>
      </c>
      <c r="G1219">
        <v>1</v>
      </c>
      <c r="H1219">
        <v>2</v>
      </c>
    </row>
    <row r="1220" spans="1:8" x14ac:dyDescent="0.3">
      <c r="A1220">
        <v>1219</v>
      </c>
      <c r="B1220">
        <v>840</v>
      </c>
      <c r="C1220" t="s">
        <v>5248</v>
      </c>
      <c r="D1220" s="1">
        <v>43038</v>
      </c>
      <c r="E1220" s="1">
        <v>43041</v>
      </c>
      <c r="F1220" s="1">
        <v>43041</v>
      </c>
      <c r="G1220">
        <v>2</v>
      </c>
      <c r="H1220">
        <v>7</v>
      </c>
    </row>
    <row r="1221" spans="1:8" x14ac:dyDescent="0.3">
      <c r="A1221">
        <v>1220</v>
      </c>
      <c r="B1221">
        <v>803</v>
      </c>
      <c r="C1221" t="s">
        <v>5248</v>
      </c>
      <c r="D1221" s="1">
        <v>43039</v>
      </c>
      <c r="E1221" s="1">
        <v>43042</v>
      </c>
      <c r="F1221" s="1">
        <v>43042</v>
      </c>
      <c r="G1221">
        <v>2</v>
      </c>
      <c r="H1221">
        <v>6</v>
      </c>
    </row>
    <row r="1222" spans="1:8" x14ac:dyDescent="0.3">
      <c r="A1222">
        <v>1221</v>
      </c>
      <c r="B1222">
        <v>1290</v>
      </c>
      <c r="C1222" t="s">
        <v>5248</v>
      </c>
      <c r="D1222" s="1">
        <v>43039</v>
      </c>
      <c r="E1222" s="1">
        <v>43041</v>
      </c>
      <c r="F1222" s="1">
        <v>43040</v>
      </c>
      <c r="G1222">
        <v>2</v>
      </c>
      <c r="H1222">
        <v>7</v>
      </c>
    </row>
    <row r="1223" spans="1:8" x14ac:dyDescent="0.3">
      <c r="A1223">
        <v>1222</v>
      </c>
      <c r="B1223">
        <v>482</v>
      </c>
      <c r="C1223" t="s">
        <v>5248</v>
      </c>
      <c r="D1223" s="1">
        <v>43040</v>
      </c>
      <c r="E1223" s="1">
        <v>43043</v>
      </c>
      <c r="F1223" s="1">
        <v>43042</v>
      </c>
      <c r="G1223">
        <v>3</v>
      </c>
      <c r="H1223">
        <v>9</v>
      </c>
    </row>
    <row r="1224" spans="1:8" x14ac:dyDescent="0.3">
      <c r="A1224">
        <v>1223</v>
      </c>
      <c r="B1224">
        <v>1207</v>
      </c>
      <c r="C1224" t="s">
        <v>5248</v>
      </c>
      <c r="D1224" s="1">
        <v>43041</v>
      </c>
      <c r="E1224" s="1">
        <v>43042</v>
      </c>
      <c r="F1224" s="1">
        <v>43042</v>
      </c>
      <c r="G1224">
        <v>2</v>
      </c>
      <c r="H1224">
        <v>6</v>
      </c>
    </row>
    <row r="1225" spans="1:8" x14ac:dyDescent="0.3">
      <c r="A1225">
        <v>1224</v>
      </c>
      <c r="B1225">
        <v>544</v>
      </c>
      <c r="C1225" t="s">
        <v>5248</v>
      </c>
      <c r="D1225" s="1">
        <v>43042</v>
      </c>
      <c r="E1225" s="1">
        <v>43043</v>
      </c>
      <c r="F1225" s="1">
        <v>43043</v>
      </c>
      <c r="G1225">
        <v>2</v>
      </c>
      <c r="H1225">
        <v>6</v>
      </c>
    </row>
    <row r="1226" spans="1:8" x14ac:dyDescent="0.3">
      <c r="A1226">
        <v>1225</v>
      </c>
      <c r="B1226">
        <v>768</v>
      </c>
      <c r="C1226" t="s">
        <v>5248</v>
      </c>
      <c r="D1226" s="1">
        <v>43043</v>
      </c>
      <c r="E1226" s="1">
        <v>43044</v>
      </c>
      <c r="F1226" s="1">
        <v>43046</v>
      </c>
      <c r="G1226">
        <v>1</v>
      </c>
      <c r="H1226">
        <v>2</v>
      </c>
    </row>
    <row r="1227" spans="1:8" x14ac:dyDescent="0.3">
      <c r="A1227">
        <v>1226</v>
      </c>
      <c r="B1227">
        <v>226</v>
      </c>
      <c r="C1227" t="s">
        <v>5248</v>
      </c>
      <c r="D1227" s="1">
        <v>43043</v>
      </c>
      <c r="E1227" s="1">
        <v>43046</v>
      </c>
      <c r="F1227" s="1">
        <v>43045</v>
      </c>
      <c r="G1227">
        <v>2</v>
      </c>
      <c r="H1227">
        <v>7</v>
      </c>
    </row>
    <row r="1228" spans="1:8" x14ac:dyDescent="0.3">
      <c r="A1228">
        <v>1227</v>
      </c>
      <c r="B1228">
        <v>702</v>
      </c>
      <c r="C1228" t="s">
        <v>5248</v>
      </c>
      <c r="D1228" s="1">
        <v>43043</v>
      </c>
      <c r="E1228" s="1">
        <v>43046</v>
      </c>
      <c r="F1228" s="1">
        <v>43045</v>
      </c>
      <c r="G1228">
        <v>2</v>
      </c>
      <c r="H1228">
        <v>6</v>
      </c>
    </row>
    <row r="1229" spans="1:8" x14ac:dyDescent="0.3">
      <c r="A1229">
        <v>1228</v>
      </c>
      <c r="B1229">
        <v>1041</v>
      </c>
      <c r="C1229" t="s">
        <v>5248</v>
      </c>
      <c r="D1229" s="1">
        <v>43043</v>
      </c>
      <c r="E1229" s="1">
        <v>43045</v>
      </c>
      <c r="F1229" s="1">
        <v>43045</v>
      </c>
      <c r="G1229">
        <v>2</v>
      </c>
      <c r="H1229">
        <v>6</v>
      </c>
    </row>
    <row r="1230" spans="1:8" x14ac:dyDescent="0.3">
      <c r="A1230">
        <v>1229</v>
      </c>
      <c r="B1230">
        <v>89</v>
      </c>
      <c r="C1230" t="s">
        <v>5248</v>
      </c>
      <c r="D1230" s="1">
        <v>43044</v>
      </c>
      <c r="E1230" s="1">
        <v>43047</v>
      </c>
      <c r="F1230" s="1">
        <v>43045</v>
      </c>
      <c r="G1230">
        <v>1</v>
      </c>
      <c r="H1230">
        <v>3</v>
      </c>
    </row>
    <row r="1231" spans="1:8" x14ac:dyDescent="0.3">
      <c r="A1231">
        <v>1230</v>
      </c>
      <c r="B1231">
        <v>1107</v>
      </c>
      <c r="C1231" t="s">
        <v>5248</v>
      </c>
      <c r="D1231" s="1">
        <v>43044</v>
      </c>
      <c r="E1231" s="1">
        <v>43045</v>
      </c>
      <c r="F1231" s="1">
        <v>43046</v>
      </c>
      <c r="G1231">
        <v>2</v>
      </c>
      <c r="H1231">
        <v>6</v>
      </c>
    </row>
    <row r="1232" spans="1:8" x14ac:dyDescent="0.3">
      <c r="A1232">
        <v>1231</v>
      </c>
      <c r="B1232">
        <v>1180</v>
      </c>
      <c r="C1232" t="s">
        <v>5248</v>
      </c>
      <c r="D1232" s="1">
        <v>43044</v>
      </c>
      <c r="E1232" s="1">
        <v>43046</v>
      </c>
      <c r="F1232" s="1">
        <v>43045</v>
      </c>
      <c r="G1232">
        <v>2</v>
      </c>
      <c r="H1232">
        <v>6</v>
      </c>
    </row>
    <row r="1233" spans="1:8" x14ac:dyDescent="0.3">
      <c r="A1233">
        <v>1232</v>
      </c>
      <c r="B1233">
        <v>665</v>
      </c>
      <c r="C1233" t="s">
        <v>5248</v>
      </c>
      <c r="D1233" s="1">
        <v>43045</v>
      </c>
      <c r="E1233" s="1">
        <v>43046</v>
      </c>
      <c r="F1233" s="1">
        <v>43048</v>
      </c>
      <c r="G1233">
        <v>1</v>
      </c>
      <c r="H1233">
        <v>3</v>
      </c>
    </row>
    <row r="1234" spans="1:8" x14ac:dyDescent="0.3">
      <c r="A1234">
        <v>1233</v>
      </c>
      <c r="B1234">
        <v>462</v>
      </c>
      <c r="C1234" t="s">
        <v>5248</v>
      </c>
      <c r="D1234" s="1">
        <v>43045</v>
      </c>
      <c r="E1234" s="1">
        <v>43046</v>
      </c>
      <c r="F1234" s="1">
        <v>43047</v>
      </c>
      <c r="G1234">
        <v>2</v>
      </c>
      <c r="H1234">
        <v>6</v>
      </c>
    </row>
    <row r="1235" spans="1:8" x14ac:dyDescent="0.3">
      <c r="A1235">
        <v>1234</v>
      </c>
      <c r="B1235">
        <v>19</v>
      </c>
      <c r="C1235" t="s">
        <v>5249</v>
      </c>
      <c r="D1235" s="1">
        <v>43046</v>
      </c>
      <c r="E1235" s="1">
        <v>43046</v>
      </c>
      <c r="F1235" s="1"/>
      <c r="G1235">
        <v>2</v>
      </c>
      <c r="H1235">
        <v>6</v>
      </c>
    </row>
    <row r="1236" spans="1:8" x14ac:dyDescent="0.3">
      <c r="A1236">
        <v>1235</v>
      </c>
      <c r="B1236">
        <v>210</v>
      </c>
      <c r="C1236" t="s">
        <v>5248</v>
      </c>
      <c r="D1236" s="1">
        <v>43046</v>
      </c>
      <c r="E1236" s="1">
        <v>43047</v>
      </c>
      <c r="F1236" s="1">
        <v>43048</v>
      </c>
      <c r="G1236">
        <v>2</v>
      </c>
      <c r="H1236">
        <v>6</v>
      </c>
    </row>
    <row r="1237" spans="1:8" x14ac:dyDescent="0.3">
      <c r="A1237">
        <v>1236</v>
      </c>
      <c r="B1237">
        <v>243</v>
      </c>
      <c r="C1237" t="s">
        <v>5248</v>
      </c>
      <c r="D1237" s="1">
        <v>43047</v>
      </c>
      <c r="E1237" s="1">
        <v>43050</v>
      </c>
      <c r="F1237" s="1">
        <v>43048</v>
      </c>
      <c r="G1237">
        <v>2</v>
      </c>
      <c r="H1237">
        <v>7</v>
      </c>
    </row>
    <row r="1238" spans="1:8" x14ac:dyDescent="0.3">
      <c r="A1238">
        <v>1237</v>
      </c>
      <c r="B1238">
        <v>571</v>
      </c>
      <c r="C1238" t="s">
        <v>5248</v>
      </c>
      <c r="D1238" s="1">
        <v>43048</v>
      </c>
      <c r="E1238" s="1">
        <v>43051</v>
      </c>
      <c r="F1238" s="1">
        <v>43050</v>
      </c>
      <c r="G1238">
        <v>1</v>
      </c>
      <c r="H1238">
        <v>2</v>
      </c>
    </row>
    <row r="1239" spans="1:8" x14ac:dyDescent="0.3">
      <c r="A1239">
        <v>1238</v>
      </c>
      <c r="B1239">
        <v>998</v>
      </c>
      <c r="C1239" t="s">
        <v>5248</v>
      </c>
      <c r="D1239" s="1">
        <v>43048</v>
      </c>
      <c r="E1239" s="1">
        <v>43049</v>
      </c>
      <c r="F1239" s="1">
        <v>43050</v>
      </c>
      <c r="G1239">
        <v>2</v>
      </c>
      <c r="H1239">
        <v>6</v>
      </c>
    </row>
    <row r="1240" spans="1:8" x14ac:dyDescent="0.3">
      <c r="A1240">
        <v>1239</v>
      </c>
      <c r="B1240">
        <v>1197</v>
      </c>
      <c r="C1240" t="s">
        <v>5248</v>
      </c>
      <c r="D1240" s="1">
        <v>43048</v>
      </c>
      <c r="E1240" s="1">
        <v>43049</v>
      </c>
      <c r="F1240" s="1">
        <v>43050</v>
      </c>
      <c r="G1240">
        <v>2</v>
      </c>
      <c r="H1240">
        <v>7</v>
      </c>
    </row>
    <row r="1241" spans="1:8" x14ac:dyDescent="0.3">
      <c r="A1241">
        <v>1240</v>
      </c>
      <c r="B1241">
        <v>903</v>
      </c>
      <c r="C1241" t="s">
        <v>5248</v>
      </c>
      <c r="D1241" s="1">
        <v>43049</v>
      </c>
      <c r="E1241" s="1">
        <v>43050</v>
      </c>
      <c r="F1241" s="1">
        <v>43050</v>
      </c>
      <c r="G1241">
        <v>2</v>
      </c>
      <c r="H1241">
        <v>7</v>
      </c>
    </row>
    <row r="1242" spans="1:8" x14ac:dyDescent="0.3">
      <c r="A1242">
        <v>1241</v>
      </c>
      <c r="B1242">
        <v>1170</v>
      </c>
      <c r="C1242" t="s">
        <v>5248</v>
      </c>
      <c r="D1242" s="1">
        <v>43049</v>
      </c>
      <c r="E1242" s="1">
        <v>43051</v>
      </c>
      <c r="F1242" s="1">
        <v>43050</v>
      </c>
      <c r="G1242">
        <v>2</v>
      </c>
      <c r="H1242">
        <v>7</v>
      </c>
    </row>
    <row r="1243" spans="1:8" x14ac:dyDescent="0.3">
      <c r="A1243">
        <v>1242</v>
      </c>
      <c r="B1243">
        <v>303</v>
      </c>
      <c r="C1243" t="s">
        <v>5248</v>
      </c>
      <c r="D1243" s="1">
        <v>43050</v>
      </c>
      <c r="E1243" s="1">
        <v>43051</v>
      </c>
      <c r="F1243" s="1">
        <v>43051</v>
      </c>
      <c r="G1243">
        <v>2</v>
      </c>
      <c r="H1243">
        <v>6</v>
      </c>
    </row>
    <row r="1244" spans="1:8" x14ac:dyDescent="0.3">
      <c r="A1244">
        <v>1243</v>
      </c>
      <c r="B1244">
        <v>346</v>
      </c>
      <c r="C1244" t="s">
        <v>5248</v>
      </c>
      <c r="D1244" s="1">
        <v>43050</v>
      </c>
      <c r="E1244" s="1">
        <v>43052</v>
      </c>
      <c r="F1244" s="1">
        <v>43053</v>
      </c>
      <c r="G1244">
        <v>2</v>
      </c>
      <c r="H1244">
        <v>6</v>
      </c>
    </row>
    <row r="1245" spans="1:8" x14ac:dyDescent="0.3">
      <c r="A1245">
        <v>1244</v>
      </c>
      <c r="B1245">
        <v>333</v>
      </c>
      <c r="C1245" t="s">
        <v>5248</v>
      </c>
      <c r="D1245" s="1">
        <v>43051</v>
      </c>
      <c r="E1245" s="1">
        <v>43053</v>
      </c>
      <c r="F1245" s="1">
        <v>43052</v>
      </c>
      <c r="G1245">
        <v>2</v>
      </c>
      <c r="H1245">
        <v>6</v>
      </c>
    </row>
    <row r="1246" spans="1:8" x14ac:dyDescent="0.3">
      <c r="A1246">
        <v>1245</v>
      </c>
      <c r="B1246">
        <v>1166</v>
      </c>
      <c r="C1246" t="s">
        <v>5248</v>
      </c>
      <c r="D1246" s="1">
        <v>43052</v>
      </c>
      <c r="E1246" s="1">
        <v>43055</v>
      </c>
      <c r="F1246" s="1">
        <v>43053</v>
      </c>
      <c r="G1246">
        <v>2</v>
      </c>
      <c r="H1246">
        <v>7</v>
      </c>
    </row>
    <row r="1247" spans="1:8" x14ac:dyDescent="0.3">
      <c r="A1247">
        <v>1246</v>
      </c>
      <c r="B1247">
        <v>1329</v>
      </c>
      <c r="C1247" t="s">
        <v>5248</v>
      </c>
      <c r="D1247" s="1">
        <v>43052</v>
      </c>
      <c r="E1247" s="1">
        <v>43055</v>
      </c>
      <c r="F1247" s="1">
        <v>43055</v>
      </c>
      <c r="G1247">
        <v>2</v>
      </c>
      <c r="H1247">
        <v>7</v>
      </c>
    </row>
    <row r="1248" spans="1:8" x14ac:dyDescent="0.3">
      <c r="A1248">
        <v>1247</v>
      </c>
      <c r="B1248">
        <v>426</v>
      </c>
      <c r="C1248" t="s">
        <v>5248</v>
      </c>
      <c r="D1248" s="1">
        <v>43055</v>
      </c>
      <c r="E1248" s="1">
        <v>43057</v>
      </c>
      <c r="F1248" s="1">
        <v>43056</v>
      </c>
      <c r="G1248">
        <v>1</v>
      </c>
      <c r="H1248">
        <v>2</v>
      </c>
    </row>
    <row r="1249" spans="1:8" x14ac:dyDescent="0.3">
      <c r="A1249">
        <v>1248</v>
      </c>
      <c r="B1249">
        <v>1367</v>
      </c>
      <c r="C1249" t="s">
        <v>5248</v>
      </c>
      <c r="D1249" s="1">
        <v>43055</v>
      </c>
      <c r="E1249" s="1">
        <v>43056</v>
      </c>
      <c r="F1249" s="1">
        <v>43057</v>
      </c>
      <c r="G1249">
        <v>1</v>
      </c>
      <c r="H1249">
        <v>3</v>
      </c>
    </row>
    <row r="1250" spans="1:8" x14ac:dyDescent="0.3">
      <c r="A1250">
        <v>1249</v>
      </c>
      <c r="B1250">
        <v>545</v>
      </c>
      <c r="C1250" t="s">
        <v>5248</v>
      </c>
      <c r="D1250" s="1">
        <v>43056</v>
      </c>
      <c r="E1250" s="1">
        <v>43057</v>
      </c>
      <c r="F1250" s="1">
        <v>43059</v>
      </c>
      <c r="G1250">
        <v>2</v>
      </c>
      <c r="H1250">
        <v>6</v>
      </c>
    </row>
    <row r="1251" spans="1:8" x14ac:dyDescent="0.3">
      <c r="A1251">
        <v>1250</v>
      </c>
      <c r="B1251">
        <v>1188</v>
      </c>
      <c r="C1251" t="s">
        <v>5248</v>
      </c>
      <c r="D1251" s="1">
        <v>43056</v>
      </c>
      <c r="E1251" s="1">
        <v>43058</v>
      </c>
      <c r="F1251" s="1">
        <v>43057</v>
      </c>
      <c r="G1251">
        <v>2</v>
      </c>
      <c r="H1251">
        <v>6</v>
      </c>
    </row>
    <row r="1252" spans="1:8" x14ac:dyDescent="0.3">
      <c r="A1252">
        <v>1251</v>
      </c>
      <c r="B1252">
        <v>289</v>
      </c>
      <c r="C1252" t="s">
        <v>5248</v>
      </c>
      <c r="D1252" s="1">
        <v>43056</v>
      </c>
      <c r="E1252" s="1">
        <v>43058</v>
      </c>
      <c r="F1252" s="1">
        <v>43058</v>
      </c>
      <c r="G1252">
        <v>3</v>
      </c>
      <c r="H1252">
        <v>9</v>
      </c>
    </row>
    <row r="1253" spans="1:8" x14ac:dyDescent="0.3">
      <c r="A1253">
        <v>1252</v>
      </c>
      <c r="B1253">
        <v>110</v>
      </c>
      <c r="C1253" t="s">
        <v>5248</v>
      </c>
      <c r="D1253" s="1">
        <v>43057</v>
      </c>
      <c r="E1253" s="1">
        <v>43059</v>
      </c>
      <c r="F1253" s="1">
        <v>43060</v>
      </c>
      <c r="G1253">
        <v>1</v>
      </c>
      <c r="H1253">
        <v>3</v>
      </c>
    </row>
    <row r="1254" spans="1:8" x14ac:dyDescent="0.3">
      <c r="A1254">
        <v>1253</v>
      </c>
      <c r="B1254">
        <v>44</v>
      </c>
      <c r="C1254" t="s">
        <v>5248</v>
      </c>
      <c r="D1254" s="1">
        <v>43057</v>
      </c>
      <c r="E1254" s="1">
        <v>43060</v>
      </c>
      <c r="F1254" s="1">
        <v>43060</v>
      </c>
      <c r="G1254">
        <v>2</v>
      </c>
      <c r="H1254">
        <v>6</v>
      </c>
    </row>
    <row r="1255" spans="1:8" x14ac:dyDescent="0.3">
      <c r="A1255">
        <v>1254</v>
      </c>
      <c r="B1255">
        <v>1098</v>
      </c>
      <c r="C1255" t="s">
        <v>5248</v>
      </c>
      <c r="D1255" s="1">
        <v>43057</v>
      </c>
      <c r="E1255" s="1">
        <v>43058</v>
      </c>
      <c r="F1255" s="1">
        <v>43058</v>
      </c>
      <c r="G1255">
        <v>2</v>
      </c>
      <c r="H1255">
        <v>7</v>
      </c>
    </row>
    <row r="1256" spans="1:8" x14ac:dyDescent="0.3">
      <c r="A1256">
        <v>1255</v>
      </c>
      <c r="B1256">
        <v>375</v>
      </c>
      <c r="C1256" t="s">
        <v>5248</v>
      </c>
      <c r="D1256" s="1">
        <v>43058</v>
      </c>
      <c r="E1256" s="1">
        <v>43059</v>
      </c>
      <c r="F1256" s="1">
        <v>43060</v>
      </c>
      <c r="G1256">
        <v>2</v>
      </c>
      <c r="H1256">
        <v>6</v>
      </c>
    </row>
    <row r="1257" spans="1:8" x14ac:dyDescent="0.3">
      <c r="A1257">
        <v>1256</v>
      </c>
      <c r="B1257">
        <v>458</v>
      </c>
      <c r="C1257" t="s">
        <v>5248</v>
      </c>
      <c r="D1257" s="1">
        <v>43058</v>
      </c>
      <c r="E1257" s="1">
        <v>43059</v>
      </c>
      <c r="F1257" s="1">
        <v>43061</v>
      </c>
      <c r="G1257">
        <v>2</v>
      </c>
      <c r="H1257">
        <v>6</v>
      </c>
    </row>
    <row r="1258" spans="1:8" x14ac:dyDescent="0.3">
      <c r="A1258">
        <v>1257</v>
      </c>
      <c r="B1258">
        <v>1136</v>
      </c>
      <c r="C1258" t="s">
        <v>5248</v>
      </c>
      <c r="D1258" s="1">
        <v>43058</v>
      </c>
      <c r="E1258" s="1">
        <v>43061</v>
      </c>
      <c r="F1258" s="1">
        <v>43059</v>
      </c>
      <c r="G1258">
        <v>2</v>
      </c>
      <c r="H1258">
        <v>7</v>
      </c>
    </row>
    <row r="1259" spans="1:8" x14ac:dyDescent="0.3">
      <c r="A1259">
        <v>1258</v>
      </c>
      <c r="B1259">
        <v>1099</v>
      </c>
      <c r="C1259" t="s">
        <v>5248</v>
      </c>
      <c r="D1259" s="1">
        <v>43059</v>
      </c>
      <c r="E1259" s="1">
        <v>43060</v>
      </c>
      <c r="F1259" s="1">
        <v>43061</v>
      </c>
      <c r="G1259">
        <v>2</v>
      </c>
      <c r="H1259">
        <v>7</v>
      </c>
    </row>
    <row r="1260" spans="1:8" x14ac:dyDescent="0.3">
      <c r="A1260">
        <v>1259</v>
      </c>
      <c r="B1260">
        <v>4</v>
      </c>
      <c r="C1260" t="s">
        <v>5249</v>
      </c>
      <c r="D1260" s="1">
        <v>43060</v>
      </c>
      <c r="E1260" s="1">
        <v>43060</v>
      </c>
      <c r="F1260" s="1"/>
      <c r="G1260">
        <v>2</v>
      </c>
      <c r="H1260">
        <v>7</v>
      </c>
    </row>
    <row r="1261" spans="1:8" x14ac:dyDescent="0.3">
      <c r="A1261">
        <v>1260</v>
      </c>
      <c r="B1261">
        <v>1117</v>
      </c>
      <c r="C1261" t="s">
        <v>5248</v>
      </c>
      <c r="D1261" s="1">
        <v>43061</v>
      </c>
      <c r="E1261" s="1">
        <v>43062</v>
      </c>
      <c r="F1261" s="1">
        <v>43063</v>
      </c>
      <c r="G1261">
        <v>2</v>
      </c>
      <c r="H1261">
        <v>6</v>
      </c>
    </row>
    <row r="1262" spans="1:8" x14ac:dyDescent="0.3">
      <c r="A1262">
        <v>1261</v>
      </c>
      <c r="B1262">
        <v>435</v>
      </c>
      <c r="C1262" t="s">
        <v>5248</v>
      </c>
      <c r="D1262" s="1">
        <v>43062</v>
      </c>
      <c r="E1262" s="1">
        <v>43064</v>
      </c>
      <c r="F1262" s="1">
        <v>43063</v>
      </c>
      <c r="G1262">
        <v>2</v>
      </c>
      <c r="H1262">
        <v>7</v>
      </c>
    </row>
    <row r="1263" spans="1:8" x14ac:dyDescent="0.3">
      <c r="A1263">
        <v>1262</v>
      </c>
      <c r="B1263">
        <v>509</v>
      </c>
      <c r="C1263" t="s">
        <v>5248</v>
      </c>
      <c r="D1263" s="1">
        <v>43062</v>
      </c>
      <c r="E1263" s="1">
        <v>43065</v>
      </c>
      <c r="F1263" s="1">
        <v>43065</v>
      </c>
      <c r="G1263">
        <v>2</v>
      </c>
      <c r="H1263">
        <v>6</v>
      </c>
    </row>
    <row r="1264" spans="1:8" x14ac:dyDescent="0.3">
      <c r="A1264">
        <v>1263</v>
      </c>
      <c r="B1264">
        <v>1408</v>
      </c>
      <c r="C1264" t="s">
        <v>5248</v>
      </c>
      <c r="D1264" s="1">
        <v>43062</v>
      </c>
      <c r="E1264" s="1">
        <v>43065</v>
      </c>
      <c r="F1264" s="1">
        <v>43065</v>
      </c>
      <c r="G1264">
        <v>2</v>
      </c>
      <c r="H1264">
        <v>6</v>
      </c>
    </row>
    <row r="1265" spans="1:8" x14ac:dyDescent="0.3">
      <c r="A1265">
        <v>1264</v>
      </c>
      <c r="B1265">
        <v>113</v>
      </c>
      <c r="C1265" t="s">
        <v>5248</v>
      </c>
      <c r="D1265" s="1">
        <v>43063</v>
      </c>
      <c r="E1265" s="1">
        <v>43066</v>
      </c>
      <c r="F1265" s="1">
        <v>43064</v>
      </c>
      <c r="G1265">
        <v>2</v>
      </c>
      <c r="H1265">
        <v>6</v>
      </c>
    </row>
    <row r="1266" spans="1:8" x14ac:dyDescent="0.3">
      <c r="A1266">
        <v>1265</v>
      </c>
      <c r="B1266">
        <v>950</v>
      </c>
      <c r="C1266" t="s">
        <v>5248</v>
      </c>
      <c r="D1266" s="1">
        <v>43063</v>
      </c>
      <c r="E1266" s="1">
        <v>43066</v>
      </c>
      <c r="F1266" s="1">
        <v>43066</v>
      </c>
      <c r="G1266">
        <v>2</v>
      </c>
      <c r="H1266">
        <v>7</v>
      </c>
    </row>
    <row r="1267" spans="1:8" x14ac:dyDescent="0.3">
      <c r="A1267">
        <v>1266</v>
      </c>
      <c r="B1267">
        <v>387</v>
      </c>
      <c r="C1267" t="s">
        <v>5248</v>
      </c>
      <c r="D1267" s="1">
        <v>43064</v>
      </c>
      <c r="E1267" s="1">
        <v>43067</v>
      </c>
      <c r="F1267" s="1">
        <v>43066</v>
      </c>
      <c r="G1267">
        <v>2</v>
      </c>
      <c r="H1267">
        <v>6</v>
      </c>
    </row>
    <row r="1268" spans="1:8" x14ac:dyDescent="0.3">
      <c r="A1268">
        <v>1267</v>
      </c>
      <c r="B1268">
        <v>467</v>
      </c>
      <c r="C1268" t="s">
        <v>5248</v>
      </c>
      <c r="D1268" s="1">
        <v>43064</v>
      </c>
      <c r="E1268" s="1">
        <v>43065</v>
      </c>
      <c r="F1268" s="1">
        <v>43065</v>
      </c>
      <c r="G1268">
        <v>2</v>
      </c>
      <c r="H1268">
        <v>6</v>
      </c>
    </row>
    <row r="1269" spans="1:8" x14ac:dyDescent="0.3">
      <c r="A1269">
        <v>1268</v>
      </c>
      <c r="B1269">
        <v>774</v>
      </c>
      <c r="C1269" t="s">
        <v>5248</v>
      </c>
      <c r="D1269" s="1">
        <v>43065</v>
      </c>
      <c r="E1269" s="1">
        <v>43067</v>
      </c>
      <c r="F1269" s="1">
        <v>43068</v>
      </c>
      <c r="G1269">
        <v>1</v>
      </c>
      <c r="H1269">
        <v>3</v>
      </c>
    </row>
    <row r="1270" spans="1:8" x14ac:dyDescent="0.3">
      <c r="A1270">
        <v>1269</v>
      </c>
      <c r="B1270">
        <v>1236</v>
      </c>
      <c r="C1270" t="s">
        <v>5248</v>
      </c>
      <c r="D1270" s="1">
        <v>43065</v>
      </c>
      <c r="E1270" s="1">
        <v>43068</v>
      </c>
      <c r="F1270" s="1">
        <v>43068</v>
      </c>
      <c r="G1270">
        <v>2</v>
      </c>
      <c r="H1270">
        <v>6</v>
      </c>
    </row>
    <row r="1271" spans="1:8" x14ac:dyDescent="0.3">
      <c r="A1271">
        <v>1270</v>
      </c>
      <c r="B1271">
        <v>1388</v>
      </c>
      <c r="C1271" t="s">
        <v>5248</v>
      </c>
      <c r="D1271" s="1">
        <v>43065</v>
      </c>
      <c r="E1271" s="1">
        <v>43068</v>
      </c>
      <c r="F1271" s="1">
        <v>43068</v>
      </c>
      <c r="G1271">
        <v>2</v>
      </c>
      <c r="H1271">
        <v>6</v>
      </c>
    </row>
    <row r="1272" spans="1:8" x14ac:dyDescent="0.3">
      <c r="A1272">
        <v>1271</v>
      </c>
      <c r="B1272">
        <v>734</v>
      </c>
      <c r="C1272" t="s">
        <v>5248</v>
      </c>
      <c r="D1272" s="1">
        <v>43066</v>
      </c>
      <c r="E1272" s="1">
        <v>43069</v>
      </c>
      <c r="F1272" s="1">
        <v>43069</v>
      </c>
      <c r="G1272">
        <v>2</v>
      </c>
      <c r="H1272">
        <v>6</v>
      </c>
    </row>
    <row r="1273" spans="1:8" x14ac:dyDescent="0.3">
      <c r="A1273">
        <v>1272</v>
      </c>
      <c r="B1273">
        <v>935</v>
      </c>
      <c r="C1273" t="s">
        <v>5248</v>
      </c>
      <c r="D1273" s="1">
        <v>43066</v>
      </c>
      <c r="E1273" s="1">
        <v>43068</v>
      </c>
      <c r="F1273" s="1">
        <v>43069</v>
      </c>
      <c r="G1273">
        <v>2</v>
      </c>
      <c r="H1273">
        <v>6</v>
      </c>
    </row>
    <row r="1274" spans="1:8" x14ac:dyDescent="0.3">
      <c r="A1274">
        <v>1273</v>
      </c>
      <c r="B1274">
        <v>1268</v>
      </c>
      <c r="C1274" t="s">
        <v>5248</v>
      </c>
      <c r="D1274" s="1">
        <v>43066</v>
      </c>
      <c r="E1274" s="1">
        <v>43068</v>
      </c>
      <c r="F1274" s="1">
        <v>43068</v>
      </c>
      <c r="G1274">
        <v>2</v>
      </c>
      <c r="H1274">
        <v>6</v>
      </c>
    </row>
    <row r="1275" spans="1:8" x14ac:dyDescent="0.3">
      <c r="A1275">
        <v>1274</v>
      </c>
      <c r="B1275">
        <v>1364</v>
      </c>
      <c r="C1275" t="s">
        <v>5248</v>
      </c>
      <c r="D1275" s="1">
        <v>43067</v>
      </c>
      <c r="E1275" s="1">
        <v>43068</v>
      </c>
      <c r="F1275" s="1">
        <v>43070</v>
      </c>
      <c r="G1275">
        <v>2</v>
      </c>
      <c r="H1275">
        <v>7</v>
      </c>
    </row>
    <row r="1276" spans="1:8" x14ac:dyDescent="0.3">
      <c r="A1276">
        <v>1275</v>
      </c>
      <c r="B1276">
        <v>165</v>
      </c>
      <c r="C1276" t="s">
        <v>5248</v>
      </c>
      <c r="D1276" s="1">
        <v>43068</v>
      </c>
      <c r="E1276" s="1">
        <v>43070</v>
      </c>
      <c r="F1276" s="1">
        <v>43069</v>
      </c>
      <c r="G1276">
        <v>1</v>
      </c>
      <c r="H1276">
        <v>2</v>
      </c>
    </row>
    <row r="1277" spans="1:8" x14ac:dyDescent="0.3">
      <c r="A1277">
        <v>1276</v>
      </c>
      <c r="B1277">
        <v>893</v>
      </c>
      <c r="C1277" t="s">
        <v>5248</v>
      </c>
      <c r="D1277" s="1">
        <v>43069</v>
      </c>
      <c r="E1277" s="1">
        <v>43072</v>
      </c>
      <c r="F1277" s="1">
        <v>43071</v>
      </c>
      <c r="G1277">
        <v>2</v>
      </c>
      <c r="H1277">
        <v>6</v>
      </c>
    </row>
    <row r="1278" spans="1:8" x14ac:dyDescent="0.3">
      <c r="A1278">
        <v>1277</v>
      </c>
      <c r="B1278">
        <v>227</v>
      </c>
      <c r="C1278" t="s">
        <v>5248</v>
      </c>
      <c r="D1278" s="1">
        <v>43070</v>
      </c>
      <c r="E1278" s="1">
        <v>43073</v>
      </c>
      <c r="F1278" s="1">
        <v>43071</v>
      </c>
      <c r="G1278">
        <v>2</v>
      </c>
      <c r="H1278">
        <v>6</v>
      </c>
    </row>
    <row r="1279" spans="1:8" x14ac:dyDescent="0.3">
      <c r="A1279">
        <v>1278</v>
      </c>
      <c r="B1279">
        <v>980</v>
      </c>
      <c r="C1279" t="s">
        <v>5248</v>
      </c>
      <c r="D1279" s="1">
        <v>43070</v>
      </c>
      <c r="E1279" s="1">
        <v>43071</v>
      </c>
      <c r="F1279" s="1">
        <v>43073</v>
      </c>
      <c r="G1279">
        <v>2</v>
      </c>
      <c r="H1279">
        <v>7</v>
      </c>
    </row>
    <row r="1280" spans="1:8" x14ac:dyDescent="0.3">
      <c r="A1280">
        <v>1279</v>
      </c>
      <c r="B1280">
        <v>1014</v>
      </c>
      <c r="C1280" t="s">
        <v>5248</v>
      </c>
      <c r="D1280" s="1">
        <v>43070</v>
      </c>
      <c r="E1280" s="1">
        <v>43073</v>
      </c>
      <c r="F1280" s="1">
        <v>43072</v>
      </c>
      <c r="G1280">
        <v>2</v>
      </c>
      <c r="H1280">
        <v>6</v>
      </c>
    </row>
    <row r="1281" spans="1:8" x14ac:dyDescent="0.3">
      <c r="A1281">
        <v>1280</v>
      </c>
      <c r="B1281">
        <v>123</v>
      </c>
      <c r="C1281" t="s">
        <v>5248</v>
      </c>
      <c r="D1281" s="1">
        <v>43070</v>
      </c>
      <c r="E1281" s="1">
        <v>43072</v>
      </c>
      <c r="F1281" s="1">
        <v>43072</v>
      </c>
      <c r="G1281">
        <v>3</v>
      </c>
      <c r="H1281">
        <v>9</v>
      </c>
    </row>
    <row r="1282" spans="1:8" x14ac:dyDescent="0.3">
      <c r="A1282">
        <v>1281</v>
      </c>
      <c r="B1282">
        <v>1060</v>
      </c>
      <c r="C1282" t="s">
        <v>5248</v>
      </c>
      <c r="D1282" s="1">
        <v>43071</v>
      </c>
      <c r="E1282" s="1">
        <v>43074</v>
      </c>
      <c r="F1282" s="1">
        <v>43074</v>
      </c>
      <c r="G1282">
        <v>2</v>
      </c>
      <c r="H1282">
        <v>6</v>
      </c>
    </row>
    <row r="1283" spans="1:8" x14ac:dyDescent="0.3">
      <c r="A1283">
        <v>1282</v>
      </c>
      <c r="B1283">
        <v>320</v>
      </c>
      <c r="C1283" t="s">
        <v>5248</v>
      </c>
      <c r="D1283" s="1">
        <v>43072</v>
      </c>
      <c r="E1283" s="1">
        <v>43074</v>
      </c>
      <c r="F1283" s="1">
        <v>43074</v>
      </c>
      <c r="G1283">
        <v>2</v>
      </c>
      <c r="H1283">
        <v>6</v>
      </c>
    </row>
    <row r="1284" spans="1:8" x14ac:dyDescent="0.3">
      <c r="A1284">
        <v>1283</v>
      </c>
      <c r="B1284">
        <v>85</v>
      </c>
      <c r="C1284" t="s">
        <v>5248</v>
      </c>
      <c r="D1284" s="1">
        <v>43073</v>
      </c>
      <c r="E1284" s="1">
        <v>43076</v>
      </c>
      <c r="F1284" s="1">
        <v>43076</v>
      </c>
      <c r="G1284">
        <v>2</v>
      </c>
      <c r="H1284">
        <v>7</v>
      </c>
    </row>
    <row r="1285" spans="1:8" x14ac:dyDescent="0.3">
      <c r="A1285">
        <v>1284</v>
      </c>
      <c r="B1285">
        <v>128</v>
      </c>
      <c r="C1285" t="s">
        <v>5248</v>
      </c>
      <c r="D1285" s="1">
        <v>43073</v>
      </c>
      <c r="E1285" s="1">
        <v>43075</v>
      </c>
      <c r="F1285" s="1">
        <v>43076</v>
      </c>
      <c r="G1285">
        <v>2</v>
      </c>
      <c r="H1285">
        <v>7</v>
      </c>
    </row>
    <row r="1286" spans="1:8" x14ac:dyDescent="0.3">
      <c r="A1286">
        <v>1285</v>
      </c>
      <c r="B1286">
        <v>262</v>
      </c>
      <c r="C1286" t="s">
        <v>5248</v>
      </c>
      <c r="D1286" s="1">
        <v>43073</v>
      </c>
      <c r="E1286" s="1">
        <v>43076</v>
      </c>
      <c r="F1286" s="1">
        <v>43076</v>
      </c>
      <c r="G1286">
        <v>2</v>
      </c>
      <c r="H1286">
        <v>7</v>
      </c>
    </row>
    <row r="1287" spans="1:8" x14ac:dyDescent="0.3">
      <c r="A1287">
        <v>1286</v>
      </c>
      <c r="B1287">
        <v>1033</v>
      </c>
      <c r="C1287" t="s">
        <v>5248</v>
      </c>
      <c r="D1287" s="1">
        <v>43073</v>
      </c>
      <c r="E1287" s="1">
        <v>43076</v>
      </c>
      <c r="F1287" s="1">
        <v>43075</v>
      </c>
      <c r="G1287">
        <v>2</v>
      </c>
      <c r="H1287">
        <v>7</v>
      </c>
    </row>
    <row r="1288" spans="1:8" x14ac:dyDescent="0.3">
      <c r="A1288">
        <v>1287</v>
      </c>
      <c r="B1288">
        <v>279</v>
      </c>
      <c r="C1288" t="s">
        <v>5248</v>
      </c>
      <c r="D1288" s="1">
        <v>43076</v>
      </c>
      <c r="E1288" s="1">
        <v>43079</v>
      </c>
      <c r="F1288" s="1">
        <v>43078</v>
      </c>
      <c r="G1288">
        <v>1</v>
      </c>
      <c r="H1288">
        <v>3</v>
      </c>
    </row>
    <row r="1289" spans="1:8" x14ac:dyDescent="0.3">
      <c r="A1289">
        <v>1288</v>
      </c>
      <c r="B1289">
        <v>778</v>
      </c>
      <c r="C1289" t="s">
        <v>5248</v>
      </c>
      <c r="D1289" s="1">
        <v>43076</v>
      </c>
      <c r="E1289" s="1">
        <v>43079</v>
      </c>
      <c r="F1289" s="1">
        <v>43078</v>
      </c>
      <c r="G1289">
        <v>3</v>
      </c>
      <c r="H1289">
        <v>9</v>
      </c>
    </row>
    <row r="1290" spans="1:8" x14ac:dyDescent="0.3">
      <c r="A1290">
        <v>1289</v>
      </c>
      <c r="B1290">
        <v>1292</v>
      </c>
      <c r="C1290" t="s">
        <v>5248</v>
      </c>
      <c r="D1290" s="1">
        <v>43077</v>
      </c>
      <c r="E1290" s="1">
        <v>43080</v>
      </c>
      <c r="F1290" s="1">
        <v>43079</v>
      </c>
      <c r="G1290">
        <v>1</v>
      </c>
      <c r="H1290">
        <v>3</v>
      </c>
    </row>
    <row r="1291" spans="1:8" x14ac:dyDescent="0.3">
      <c r="A1291">
        <v>1290</v>
      </c>
      <c r="B1291">
        <v>967</v>
      </c>
      <c r="C1291" t="s">
        <v>5248</v>
      </c>
      <c r="D1291" s="1">
        <v>43077</v>
      </c>
      <c r="E1291" s="1">
        <v>43079</v>
      </c>
      <c r="F1291" s="1">
        <v>43079</v>
      </c>
      <c r="G1291">
        <v>2</v>
      </c>
      <c r="H1291">
        <v>6</v>
      </c>
    </row>
    <row r="1292" spans="1:8" x14ac:dyDescent="0.3">
      <c r="A1292">
        <v>1291</v>
      </c>
      <c r="B1292">
        <v>1284</v>
      </c>
      <c r="C1292" t="s">
        <v>5248</v>
      </c>
      <c r="D1292" s="1">
        <v>43078</v>
      </c>
      <c r="E1292" s="1">
        <v>43080</v>
      </c>
      <c r="F1292" s="1">
        <v>43081</v>
      </c>
      <c r="G1292">
        <v>2</v>
      </c>
      <c r="H1292">
        <v>6</v>
      </c>
    </row>
    <row r="1293" spans="1:8" x14ac:dyDescent="0.3">
      <c r="A1293">
        <v>1292</v>
      </c>
      <c r="B1293">
        <v>285</v>
      </c>
      <c r="C1293" t="s">
        <v>5248</v>
      </c>
      <c r="D1293" s="1">
        <v>43079</v>
      </c>
      <c r="E1293" s="1">
        <v>43082</v>
      </c>
      <c r="F1293" s="1">
        <v>43080</v>
      </c>
      <c r="G1293">
        <v>2</v>
      </c>
      <c r="H1293">
        <v>6</v>
      </c>
    </row>
    <row r="1294" spans="1:8" x14ac:dyDescent="0.3">
      <c r="A1294">
        <v>1293</v>
      </c>
      <c r="B1294">
        <v>1401</v>
      </c>
      <c r="C1294" t="s">
        <v>5248</v>
      </c>
      <c r="D1294" s="1">
        <v>43079</v>
      </c>
      <c r="E1294" s="1">
        <v>43081</v>
      </c>
      <c r="F1294" s="1">
        <v>43080</v>
      </c>
      <c r="G1294">
        <v>2</v>
      </c>
      <c r="H1294">
        <v>7</v>
      </c>
    </row>
    <row r="1295" spans="1:8" x14ac:dyDescent="0.3">
      <c r="A1295">
        <v>1294</v>
      </c>
      <c r="B1295">
        <v>947</v>
      </c>
      <c r="C1295" t="s">
        <v>5248</v>
      </c>
      <c r="D1295" s="1">
        <v>43080</v>
      </c>
      <c r="E1295" s="1">
        <v>43082</v>
      </c>
      <c r="F1295" s="1">
        <v>43083</v>
      </c>
      <c r="G1295">
        <v>1</v>
      </c>
      <c r="H1295">
        <v>2</v>
      </c>
    </row>
    <row r="1296" spans="1:8" x14ac:dyDescent="0.3">
      <c r="A1296">
        <v>1295</v>
      </c>
      <c r="B1296">
        <v>37</v>
      </c>
      <c r="C1296" t="s">
        <v>5248</v>
      </c>
      <c r="D1296" s="1">
        <v>43080</v>
      </c>
      <c r="E1296" s="1">
        <v>43081</v>
      </c>
      <c r="F1296" s="1">
        <v>43083</v>
      </c>
      <c r="G1296">
        <v>2</v>
      </c>
      <c r="H1296">
        <v>7</v>
      </c>
    </row>
    <row r="1297" spans="1:8" x14ac:dyDescent="0.3">
      <c r="A1297">
        <v>1296</v>
      </c>
      <c r="B1297">
        <v>231</v>
      </c>
      <c r="C1297" t="s">
        <v>5248</v>
      </c>
      <c r="D1297" s="1">
        <v>43083</v>
      </c>
      <c r="E1297" s="1">
        <v>43086</v>
      </c>
      <c r="F1297" s="1">
        <v>43084</v>
      </c>
      <c r="G1297">
        <v>1</v>
      </c>
      <c r="H1297">
        <v>3</v>
      </c>
    </row>
    <row r="1298" spans="1:8" x14ac:dyDescent="0.3">
      <c r="A1298">
        <v>1297</v>
      </c>
      <c r="B1298">
        <v>108</v>
      </c>
      <c r="C1298" t="s">
        <v>5248</v>
      </c>
      <c r="D1298" s="1">
        <v>43083</v>
      </c>
      <c r="E1298" s="1">
        <v>43086</v>
      </c>
      <c r="F1298" s="1">
        <v>43085</v>
      </c>
      <c r="G1298">
        <v>2</v>
      </c>
      <c r="H1298">
        <v>6</v>
      </c>
    </row>
    <row r="1299" spans="1:8" x14ac:dyDescent="0.3">
      <c r="A1299">
        <v>1298</v>
      </c>
      <c r="B1299">
        <v>533</v>
      </c>
      <c r="C1299" t="s">
        <v>5248</v>
      </c>
      <c r="D1299" s="1">
        <v>43083</v>
      </c>
      <c r="E1299" s="1">
        <v>43086</v>
      </c>
      <c r="F1299" s="1">
        <v>43085</v>
      </c>
      <c r="G1299">
        <v>3</v>
      </c>
      <c r="H1299">
        <v>9</v>
      </c>
    </row>
    <row r="1300" spans="1:8" x14ac:dyDescent="0.3">
      <c r="A1300">
        <v>1299</v>
      </c>
      <c r="B1300">
        <v>1216</v>
      </c>
      <c r="C1300" t="s">
        <v>5248</v>
      </c>
      <c r="D1300" s="1">
        <v>43084</v>
      </c>
      <c r="E1300" s="1">
        <v>43087</v>
      </c>
      <c r="F1300" s="1">
        <v>43085</v>
      </c>
      <c r="G1300">
        <v>1</v>
      </c>
      <c r="H1300">
        <v>2</v>
      </c>
    </row>
    <row r="1301" spans="1:8" x14ac:dyDescent="0.3">
      <c r="A1301">
        <v>1300</v>
      </c>
      <c r="B1301">
        <v>824</v>
      </c>
      <c r="C1301" t="s">
        <v>5248</v>
      </c>
      <c r="D1301" s="1">
        <v>43084</v>
      </c>
      <c r="E1301" s="1">
        <v>43086</v>
      </c>
      <c r="F1301" s="1">
        <v>43086</v>
      </c>
      <c r="G1301">
        <v>2</v>
      </c>
      <c r="H1301">
        <v>6</v>
      </c>
    </row>
    <row r="1302" spans="1:8" x14ac:dyDescent="0.3">
      <c r="A1302">
        <v>1301</v>
      </c>
      <c r="B1302">
        <v>1088</v>
      </c>
      <c r="C1302" t="s">
        <v>5248</v>
      </c>
      <c r="D1302" s="1">
        <v>43085</v>
      </c>
      <c r="E1302" s="1">
        <v>43088</v>
      </c>
      <c r="F1302" s="1">
        <v>43088</v>
      </c>
      <c r="G1302">
        <v>1</v>
      </c>
      <c r="H1302">
        <v>3</v>
      </c>
    </row>
    <row r="1303" spans="1:8" x14ac:dyDescent="0.3">
      <c r="A1303">
        <v>1302</v>
      </c>
      <c r="B1303">
        <v>322</v>
      </c>
      <c r="C1303" t="s">
        <v>5248</v>
      </c>
      <c r="D1303" s="1">
        <v>43085</v>
      </c>
      <c r="E1303" s="1">
        <v>43087</v>
      </c>
      <c r="F1303" s="1">
        <v>43088</v>
      </c>
      <c r="G1303">
        <v>2</v>
      </c>
      <c r="H1303">
        <v>7</v>
      </c>
    </row>
    <row r="1304" spans="1:8" x14ac:dyDescent="0.3">
      <c r="A1304">
        <v>1303</v>
      </c>
      <c r="B1304">
        <v>878</v>
      </c>
      <c r="C1304" t="s">
        <v>5248</v>
      </c>
      <c r="D1304" s="1">
        <v>43085</v>
      </c>
      <c r="E1304" s="1">
        <v>43088</v>
      </c>
      <c r="F1304" s="1">
        <v>43087</v>
      </c>
      <c r="G1304">
        <v>2</v>
      </c>
      <c r="H1304">
        <v>7</v>
      </c>
    </row>
    <row r="1305" spans="1:8" x14ac:dyDescent="0.3">
      <c r="A1305">
        <v>1304</v>
      </c>
      <c r="B1305">
        <v>1409</v>
      </c>
      <c r="C1305" t="s">
        <v>5248</v>
      </c>
      <c r="D1305" s="1">
        <v>43085</v>
      </c>
      <c r="E1305" s="1">
        <v>43086</v>
      </c>
      <c r="F1305" s="1">
        <v>43086</v>
      </c>
      <c r="G1305">
        <v>2</v>
      </c>
      <c r="H1305">
        <v>6</v>
      </c>
    </row>
    <row r="1306" spans="1:8" x14ac:dyDescent="0.3">
      <c r="A1306">
        <v>1305</v>
      </c>
      <c r="B1306">
        <v>257</v>
      </c>
      <c r="C1306" t="s">
        <v>5248</v>
      </c>
      <c r="D1306" s="1">
        <v>43086</v>
      </c>
      <c r="E1306" s="1">
        <v>43088</v>
      </c>
      <c r="F1306" s="1">
        <v>43087</v>
      </c>
      <c r="G1306">
        <v>2</v>
      </c>
      <c r="H1306">
        <v>7</v>
      </c>
    </row>
    <row r="1307" spans="1:8" x14ac:dyDescent="0.3">
      <c r="A1307">
        <v>1306</v>
      </c>
      <c r="B1307">
        <v>28</v>
      </c>
      <c r="C1307" t="s">
        <v>5248</v>
      </c>
      <c r="D1307" s="1">
        <v>43089</v>
      </c>
      <c r="E1307" s="1">
        <v>43090</v>
      </c>
      <c r="F1307" s="1">
        <v>43091</v>
      </c>
      <c r="G1307">
        <v>2</v>
      </c>
      <c r="H1307">
        <v>6</v>
      </c>
    </row>
    <row r="1308" spans="1:8" x14ac:dyDescent="0.3">
      <c r="A1308">
        <v>1307</v>
      </c>
      <c r="B1308">
        <v>1384</v>
      </c>
      <c r="C1308" t="s">
        <v>5248</v>
      </c>
      <c r="D1308" s="1">
        <v>43091</v>
      </c>
      <c r="E1308" s="1">
        <v>43092</v>
      </c>
      <c r="F1308" s="1">
        <v>43094</v>
      </c>
      <c r="G1308">
        <v>1</v>
      </c>
      <c r="H1308">
        <v>2</v>
      </c>
    </row>
    <row r="1309" spans="1:8" x14ac:dyDescent="0.3">
      <c r="A1309">
        <v>1308</v>
      </c>
      <c r="B1309">
        <v>713</v>
      </c>
      <c r="C1309" t="s">
        <v>5248</v>
      </c>
      <c r="D1309" s="1">
        <v>43091</v>
      </c>
      <c r="E1309" s="1">
        <v>43093</v>
      </c>
      <c r="F1309" s="1">
        <v>43093</v>
      </c>
      <c r="G1309">
        <v>2</v>
      </c>
      <c r="H1309">
        <v>7</v>
      </c>
    </row>
    <row r="1310" spans="1:8" x14ac:dyDescent="0.3">
      <c r="A1310">
        <v>1309</v>
      </c>
      <c r="B1310">
        <v>821</v>
      </c>
      <c r="C1310" t="s">
        <v>5248</v>
      </c>
      <c r="D1310" s="1">
        <v>43091</v>
      </c>
      <c r="E1310" s="1">
        <v>43094</v>
      </c>
      <c r="F1310" s="1">
        <v>43093</v>
      </c>
      <c r="G1310">
        <v>2</v>
      </c>
      <c r="H1310">
        <v>6</v>
      </c>
    </row>
    <row r="1311" spans="1:8" x14ac:dyDescent="0.3">
      <c r="A1311">
        <v>1310</v>
      </c>
      <c r="B1311">
        <v>444</v>
      </c>
      <c r="C1311" t="s">
        <v>5248</v>
      </c>
      <c r="D1311" s="1">
        <v>43093</v>
      </c>
      <c r="E1311" s="1">
        <v>43094</v>
      </c>
      <c r="F1311" s="1">
        <v>43095</v>
      </c>
      <c r="G1311">
        <v>1</v>
      </c>
      <c r="H1311">
        <v>3</v>
      </c>
    </row>
    <row r="1312" spans="1:8" x14ac:dyDescent="0.3">
      <c r="A1312">
        <v>1311</v>
      </c>
      <c r="B1312">
        <v>1021</v>
      </c>
      <c r="C1312" t="s">
        <v>5248</v>
      </c>
      <c r="D1312" s="1">
        <v>43093</v>
      </c>
      <c r="E1312" s="1">
        <v>43095</v>
      </c>
      <c r="F1312" s="1">
        <v>43096</v>
      </c>
      <c r="G1312">
        <v>2</v>
      </c>
      <c r="H1312">
        <v>6</v>
      </c>
    </row>
    <row r="1313" spans="1:8" x14ac:dyDescent="0.3">
      <c r="A1313">
        <v>1312</v>
      </c>
      <c r="B1313">
        <v>311</v>
      </c>
      <c r="C1313" t="s">
        <v>5248</v>
      </c>
      <c r="D1313" s="1">
        <v>43094</v>
      </c>
      <c r="E1313" s="1">
        <v>43097</v>
      </c>
      <c r="F1313" s="1">
        <v>43095</v>
      </c>
      <c r="G1313">
        <v>1</v>
      </c>
      <c r="H1313">
        <v>3</v>
      </c>
    </row>
    <row r="1314" spans="1:8" x14ac:dyDescent="0.3">
      <c r="A1314">
        <v>1313</v>
      </c>
      <c r="B1314">
        <v>1294</v>
      </c>
      <c r="C1314" t="s">
        <v>5248</v>
      </c>
      <c r="D1314" s="1">
        <v>43094</v>
      </c>
      <c r="E1314" s="1">
        <v>43096</v>
      </c>
      <c r="F1314" s="1">
        <v>43096</v>
      </c>
      <c r="G1314">
        <v>1</v>
      </c>
      <c r="H1314">
        <v>3</v>
      </c>
    </row>
    <row r="1315" spans="1:8" x14ac:dyDescent="0.3">
      <c r="A1315">
        <v>1314</v>
      </c>
      <c r="B1315">
        <v>1027</v>
      </c>
      <c r="C1315" t="s">
        <v>5248</v>
      </c>
      <c r="D1315" s="1">
        <v>43094</v>
      </c>
      <c r="E1315" s="1">
        <v>43095</v>
      </c>
      <c r="F1315" s="1">
        <v>43097</v>
      </c>
      <c r="G1315">
        <v>2</v>
      </c>
      <c r="H1315">
        <v>7</v>
      </c>
    </row>
    <row r="1316" spans="1:8" x14ac:dyDescent="0.3">
      <c r="A1316">
        <v>1315</v>
      </c>
      <c r="B1316">
        <v>931</v>
      </c>
      <c r="C1316" t="s">
        <v>5248</v>
      </c>
      <c r="D1316" s="1">
        <v>43094</v>
      </c>
      <c r="E1316" s="1">
        <v>43096</v>
      </c>
      <c r="F1316" s="1">
        <v>43097</v>
      </c>
      <c r="G1316">
        <v>3</v>
      </c>
      <c r="H1316">
        <v>9</v>
      </c>
    </row>
    <row r="1317" spans="1:8" x14ac:dyDescent="0.3">
      <c r="A1317">
        <v>1316</v>
      </c>
      <c r="B1317">
        <v>846</v>
      </c>
      <c r="C1317" t="s">
        <v>5248</v>
      </c>
      <c r="D1317" s="1">
        <v>43095</v>
      </c>
      <c r="E1317" s="1">
        <v>43098</v>
      </c>
      <c r="F1317" s="1">
        <v>43096</v>
      </c>
      <c r="G1317">
        <v>1</v>
      </c>
      <c r="H1317">
        <v>3</v>
      </c>
    </row>
    <row r="1318" spans="1:8" x14ac:dyDescent="0.3">
      <c r="A1318">
        <v>1317</v>
      </c>
      <c r="B1318">
        <v>418</v>
      </c>
      <c r="C1318" t="s">
        <v>5248</v>
      </c>
      <c r="D1318" s="1">
        <v>43096</v>
      </c>
      <c r="E1318" s="1">
        <v>43097</v>
      </c>
      <c r="F1318" s="1">
        <v>43098</v>
      </c>
      <c r="G1318">
        <v>1</v>
      </c>
      <c r="H1318">
        <v>3</v>
      </c>
    </row>
    <row r="1319" spans="1:8" x14ac:dyDescent="0.3">
      <c r="A1319">
        <v>1318</v>
      </c>
      <c r="B1319">
        <v>75</v>
      </c>
      <c r="C1319" t="s">
        <v>5248</v>
      </c>
      <c r="D1319" s="1">
        <v>43096</v>
      </c>
      <c r="E1319" s="1">
        <v>43099</v>
      </c>
      <c r="F1319" s="1">
        <v>43098</v>
      </c>
      <c r="G1319">
        <v>2</v>
      </c>
      <c r="H1319">
        <v>6</v>
      </c>
    </row>
    <row r="1320" spans="1:8" x14ac:dyDescent="0.3">
      <c r="A1320">
        <v>1319</v>
      </c>
      <c r="B1320">
        <v>604</v>
      </c>
      <c r="C1320" t="s">
        <v>5248</v>
      </c>
      <c r="D1320" s="1">
        <v>43096</v>
      </c>
      <c r="E1320" s="1">
        <v>43099</v>
      </c>
      <c r="F1320" s="1">
        <v>43099</v>
      </c>
      <c r="G1320">
        <v>2</v>
      </c>
      <c r="H1320">
        <v>6</v>
      </c>
    </row>
    <row r="1321" spans="1:8" x14ac:dyDescent="0.3">
      <c r="A1321">
        <v>1320</v>
      </c>
      <c r="B1321">
        <v>244</v>
      </c>
      <c r="C1321" t="s">
        <v>5248</v>
      </c>
      <c r="D1321" s="1">
        <v>43097</v>
      </c>
      <c r="E1321" s="1">
        <v>43099</v>
      </c>
      <c r="F1321" s="1">
        <v>43098</v>
      </c>
      <c r="G1321">
        <v>1</v>
      </c>
      <c r="H1321">
        <v>3</v>
      </c>
    </row>
    <row r="1322" spans="1:8" x14ac:dyDescent="0.3">
      <c r="A1322">
        <v>1321</v>
      </c>
      <c r="B1322">
        <v>217</v>
      </c>
      <c r="C1322" t="s">
        <v>5248</v>
      </c>
      <c r="D1322" s="1">
        <v>43099</v>
      </c>
      <c r="E1322" s="1">
        <v>43100</v>
      </c>
      <c r="F1322" s="1">
        <v>43100</v>
      </c>
      <c r="G1322">
        <v>1</v>
      </c>
      <c r="H1322">
        <v>3</v>
      </c>
    </row>
    <row r="1323" spans="1:8" x14ac:dyDescent="0.3">
      <c r="A1323">
        <v>1322</v>
      </c>
      <c r="B1323">
        <v>39</v>
      </c>
      <c r="C1323" t="s">
        <v>5248</v>
      </c>
      <c r="D1323" s="1">
        <v>43100</v>
      </c>
      <c r="E1323" s="1">
        <v>43103</v>
      </c>
      <c r="F1323" s="1">
        <v>43102</v>
      </c>
      <c r="G1323">
        <v>2</v>
      </c>
      <c r="H1323">
        <v>7</v>
      </c>
    </row>
    <row r="1324" spans="1:8" x14ac:dyDescent="0.3">
      <c r="A1324">
        <v>1323</v>
      </c>
      <c r="B1324">
        <v>273</v>
      </c>
      <c r="C1324" t="s">
        <v>5248</v>
      </c>
      <c r="D1324" s="1">
        <v>43100</v>
      </c>
      <c r="E1324" s="1">
        <v>43101</v>
      </c>
      <c r="F1324" s="1">
        <v>43101</v>
      </c>
      <c r="G1324">
        <v>2</v>
      </c>
      <c r="H1324">
        <v>6</v>
      </c>
    </row>
    <row r="1325" spans="1:8" x14ac:dyDescent="0.3">
      <c r="A1325">
        <v>1324</v>
      </c>
      <c r="B1325">
        <v>862</v>
      </c>
      <c r="C1325" t="s">
        <v>5248</v>
      </c>
      <c r="D1325" s="1">
        <v>43101</v>
      </c>
      <c r="E1325" s="1">
        <v>43104</v>
      </c>
      <c r="F1325" s="1">
        <v>43103</v>
      </c>
      <c r="G1325">
        <v>2</v>
      </c>
      <c r="H1325">
        <v>6</v>
      </c>
    </row>
    <row r="1326" spans="1:8" x14ac:dyDescent="0.3">
      <c r="A1326">
        <v>1325</v>
      </c>
      <c r="B1326">
        <v>68</v>
      </c>
      <c r="C1326" t="s">
        <v>5248</v>
      </c>
      <c r="D1326" s="1">
        <v>43101</v>
      </c>
      <c r="E1326" s="1">
        <v>43102</v>
      </c>
      <c r="F1326" s="1">
        <v>43103</v>
      </c>
      <c r="G1326">
        <v>3</v>
      </c>
      <c r="H1326">
        <v>8</v>
      </c>
    </row>
    <row r="1327" spans="1:8" x14ac:dyDescent="0.3">
      <c r="A1327">
        <v>1326</v>
      </c>
      <c r="B1327">
        <v>567</v>
      </c>
      <c r="C1327" t="s">
        <v>5248</v>
      </c>
      <c r="D1327" s="1">
        <v>43101</v>
      </c>
      <c r="E1327" s="1">
        <v>43103</v>
      </c>
      <c r="F1327" s="1">
        <v>43102</v>
      </c>
      <c r="G1327">
        <v>3</v>
      </c>
      <c r="H1327">
        <v>9</v>
      </c>
    </row>
    <row r="1328" spans="1:8" x14ac:dyDescent="0.3">
      <c r="A1328">
        <v>1327</v>
      </c>
      <c r="B1328">
        <v>1026</v>
      </c>
      <c r="C1328" t="s">
        <v>5248</v>
      </c>
      <c r="D1328" s="1">
        <v>43102</v>
      </c>
      <c r="E1328" s="1">
        <v>43103</v>
      </c>
      <c r="F1328" s="1">
        <v>43105</v>
      </c>
      <c r="G1328">
        <v>2</v>
      </c>
      <c r="H1328">
        <v>6</v>
      </c>
    </row>
    <row r="1329" spans="1:8" x14ac:dyDescent="0.3">
      <c r="A1329">
        <v>1328</v>
      </c>
      <c r="B1329">
        <v>1083</v>
      </c>
      <c r="C1329" t="s">
        <v>5248</v>
      </c>
      <c r="D1329" s="1">
        <v>43102</v>
      </c>
      <c r="E1329" s="1">
        <v>43103</v>
      </c>
      <c r="F1329" s="1">
        <v>43103</v>
      </c>
      <c r="G1329">
        <v>2</v>
      </c>
      <c r="H1329">
        <v>6</v>
      </c>
    </row>
    <row r="1330" spans="1:8" x14ac:dyDescent="0.3">
      <c r="A1330">
        <v>1329</v>
      </c>
      <c r="B1330">
        <v>443</v>
      </c>
      <c r="C1330" t="s">
        <v>5248</v>
      </c>
      <c r="D1330" s="1">
        <v>43104</v>
      </c>
      <c r="E1330" s="1">
        <v>43105</v>
      </c>
      <c r="F1330" s="1">
        <v>43106</v>
      </c>
      <c r="G1330">
        <v>1</v>
      </c>
      <c r="H1330">
        <v>3</v>
      </c>
    </row>
    <row r="1331" spans="1:8" x14ac:dyDescent="0.3">
      <c r="A1331">
        <v>1330</v>
      </c>
      <c r="B1331">
        <v>761</v>
      </c>
      <c r="C1331" t="s">
        <v>5248</v>
      </c>
      <c r="D1331" s="1">
        <v>43104</v>
      </c>
      <c r="E1331" s="1">
        <v>43105</v>
      </c>
      <c r="F1331" s="1">
        <v>43107</v>
      </c>
      <c r="G1331">
        <v>2</v>
      </c>
      <c r="H1331">
        <v>7</v>
      </c>
    </row>
    <row r="1332" spans="1:8" x14ac:dyDescent="0.3">
      <c r="A1332">
        <v>1331</v>
      </c>
      <c r="B1332">
        <v>1122</v>
      </c>
      <c r="C1332" t="s">
        <v>5248</v>
      </c>
      <c r="D1332" s="1">
        <v>43105</v>
      </c>
      <c r="E1332" s="1">
        <v>43106</v>
      </c>
      <c r="F1332" s="1">
        <v>43108</v>
      </c>
      <c r="G1332">
        <v>2</v>
      </c>
      <c r="H1332">
        <v>6</v>
      </c>
    </row>
    <row r="1333" spans="1:8" x14ac:dyDescent="0.3">
      <c r="A1333">
        <v>1332</v>
      </c>
      <c r="B1333">
        <v>256</v>
      </c>
      <c r="C1333" t="s">
        <v>5248</v>
      </c>
      <c r="D1333" s="1">
        <v>43106</v>
      </c>
      <c r="E1333" s="1">
        <v>43107</v>
      </c>
      <c r="F1333" s="1">
        <v>43109</v>
      </c>
      <c r="G1333">
        <v>2</v>
      </c>
      <c r="H1333">
        <v>7</v>
      </c>
    </row>
    <row r="1334" spans="1:8" x14ac:dyDescent="0.3">
      <c r="A1334">
        <v>1333</v>
      </c>
      <c r="B1334">
        <v>203</v>
      </c>
      <c r="C1334" t="s">
        <v>5248</v>
      </c>
      <c r="D1334" s="1">
        <v>43106</v>
      </c>
      <c r="E1334" s="1">
        <v>43107</v>
      </c>
      <c r="F1334" s="1">
        <v>43107</v>
      </c>
      <c r="G1334">
        <v>3</v>
      </c>
      <c r="H1334">
        <v>8</v>
      </c>
    </row>
    <row r="1335" spans="1:8" x14ac:dyDescent="0.3">
      <c r="A1335">
        <v>1334</v>
      </c>
      <c r="B1335">
        <v>425</v>
      </c>
      <c r="C1335" t="s">
        <v>5248</v>
      </c>
      <c r="D1335" s="1">
        <v>43107</v>
      </c>
      <c r="E1335" s="1">
        <v>43109</v>
      </c>
      <c r="F1335" s="1">
        <v>43110</v>
      </c>
      <c r="G1335">
        <v>2</v>
      </c>
      <c r="H1335">
        <v>6</v>
      </c>
    </row>
    <row r="1336" spans="1:8" x14ac:dyDescent="0.3">
      <c r="A1336">
        <v>1335</v>
      </c>
      <c r="B1336">
        <v>955</v>
      </c>
      <c r="C1336" t="s">
        <v>5248</v>
      </c>
      <c r="D1336" s="1">
        <v>43107</v>
      </c>
      <c r="E1336" s="1">
        <v>43108</v>
      </c>
      <c r="F1336" s="1">
        <v>43108</v>
      </c>
      <c r="G1336">
        <v>2</v>
      </c>
      <c r="H1336">
        <v>7</v>
      </c>
    </row>
    <row r="1337" spans="1:8" x14ac:dyDescent="0.3">
      <c r="A1337">
        <v>1336</v>
      </c>
      <c r="B1337">
        <v>904</v>
      </c>
      <c r="C1337" t="s">
        <v>5248</v>
      </c>
      <c r="D1337" s="1">
        <v>43109</v>
      </c>
      <c r="E1337" s="1">
        <v>43110</v>
      </c>
      <c r="F1337" s="1">
        <v>43112</v>
      </c>
      <c r="G1337">
        <v>1</v>
      </c>
      <c r="H1337">
        <v>2</v>
      </c>
    </row>
    <row r="1338" spans="1:8" x14ac:dyDescent="0.3">
      <c r="A1338">
        <v>1337</v>
      </c>
      <c r="B1338">
        <v>970</v>
      </c>
      <c r="C1338" t="s">
        <v>5248</v>
      </c>
      <c r="D1338" s="1">
        <v>43109</v>
      </c>
      <c r="E1338" s="1">
        <v>43112</v>
      </c>
      <c r="F1338" s="1">
        <v>43112</v>
      </c>
      <c r="G1338">
        <v>2</v>
      </c>
      <c r="H1338">
        <v>7</v>
      </c>
    </row>
    <row r="1339" spans="1:8" x14ac:dyDescent="0.3">
      <c r="A1339">
        <v>1338</v>
      </c>
      <c r="B1339">
        <v>905</v>
      </c>
      <c r="C1339" t="s">
        <v>5248</v>
      </c>
      <c r="D1339" s="1">
        <v>43110</v>
      </c>
      <c r="E1339" s="1">
        <v>43111</v>
      </c>
      <c r="F1339" s="1">
        <v>43113</v>
      </c>
      <c r="G1339">
        <v>2</v>
      </c>
      <c r="H1339">
        <v>6</v>
      </c>
    </row>
    <row r="1340" spans="1:8" x14ac:dyDescent="0.3">
      <c r="A1340">
        <v>1339</v>
      </c>
      <c r="B1340">
        <v>580</v>
      </c>
      <c r="C1340" t="s">
        <v>5248</v>
      </c>
      <c r="D1340" s="1">
        <v>43111</v>
      </c>
      <c r="E1340" s="1">
        <v>43114</v>
      </c>
      <c r="F1340" s="1">
        <v>43113</v>
      </c>
      <c r="G1340">
        <v>1</v>
      </c>
      <c r="H1340">
        <v>3</v>
      </c>
    </row>
    <row r="1341" spans="1:8" x14ac:dyDescent="0.3">
      <c r="A1341">
        <v>1340</v>
      </c>
      <c r="B1341">
        <v>1066</v>
      </c>
      <c r="C1341" t="s">
        <v>5248</v>
      </c>
      <c r="D1341" s="1">
        <v>43112</v>
      </c>
      <c r="E1341" s="1">
        <v>43113</v>
      </c>
      <c r="F1341" s="1">
        <v>43113</v>
      </c>
      <c r="G1341">
        <v>1</v>
      </c>
      <c r="H1341">
        <v>3</v>
      </c>
    </row>
    <row r="1342" spans="1:8" x14ac:dyDescent="0.3">
      <c r="A1342">
        <v>1341</v>
      </c>
      <c r="B1342">
        <v>1258</v>
      </c>
      <c r="C1342" t="s">
        <v>5248</v>
      </c>
      <c r="D1342" s="1">
        <v>43112</v>
      </c>
      <c r="E1342" s="1">
        <v>43113</v>
      </c>
      <c r="F1342" s="1">
        <v>43114</v>
      </c>
      <c r="G1342">
        <v>2</v>
      </c>
      <c r="H1342">
        <v>7</v>
      </c>
    </row>
    <row r="1343" spans="1:8" x14ac:dyDescent="0.3">
      <c r="A1343">
        <v>1342</v>
      </c>
      <c r="B1343">
        <v>1393</v>
      </c>
      <c r="C1343" t="s">
        <v>5248</v>
      </c>
      <c r="D1343" s="1">
        <v>43112</v>
      </c>
      <c r="E1343" s="1">
        <v>43113</v>
      </c>
      <c r="F1343" s="1">
        <v>43115</v>
      </c>
      <c r="G1343">
        <v>2</v>
      </c>
      <c r="H1343">
        <v>7</v>
      </c>
    </row>
    <row r="1344" spans="1:8" x14ac:dyDescent="0.3">
      <c r="A1344">
        <v>1343</v>
      </c>
      <c r="B1344">
        <v>594</v>
      </c>
      <c r="C1344" t="s">
        <v>5248</v>
      </c>
      <c r="D1344" s="1">
        <v>43113</v>
      </c>
      <c r="E1344" s="1">
        <v>43115</v>
      </c>
      <c r="F1344" s="1">
        <v>43114</v>
      </c>
      <c r="G1344">
        <v>2</v>
      </c>
      <c r="H1344">
        <v>6</v>
      </c>
    </row>
    <row r="1345" spans="1:8" x14ac:dyDescent="0.3">
      <c r="A1345">
        <v>1344</v>
      </c>
      <c r="B1345">
        <v>916</v>
      </c>
      <c r="C1345" t="s">
        <v>5248</v>
      </c>
      <c r="D1345" s="1">
        <v>43113</v>
      </c>
      <c r="E1345" s="1">
        <v>43116</v>
      </c>
      <c r="F1345" s="1">
        <v>43115</v>
      </c>
      <c r="G1345">
        <v>2</v>
      </c>
      <c r="H1345">
        <v>6</v>
      </c>
    </row>
    <row r="1346" spans="1:8" x14ac:dyDescent="0.3">
      <c r="A1346">
        <v>1345</v>
      </c>
      <c r="B1346">
        <v>1037</v>
      </c>
      <c r="C1346" t="s">
        <v>5248</v>
      </c>
      <c r="D1346" s="1">
        <v>43114</v>
      </c>
      <c r="E1346" s="1">
        <v>43115</v>
      </c>
      <c r="F1346" s="1">
        <v>43115</v>
      </c>
      <c r="G1346">
        <v>2</v>
      </c>
      <c r="H1346">
        <v>6</v>
      </c>
    </row>
    <row r="1347" spans="1:8" x14ac:dyDescent="0.3">
      <c r="A1347">
        <v>1346</v>
      </c>
      <c r="B1347">
        <v>136</v>
      </c>
      <c r="C1347" t="s">
        <v>5248</v>
      </c>
      <c r="D1347" s="1">
        <v>43114</v>
      </c>
      <c r="E1347" s="1">
        <v>43115</v>
      </c>
      <c r="F1347" s="1">
        <v>43115</v>
      </c>
      <c r="G1347">
        <v>3</v>
      </c>
      <c r="H1347">
        <v>8</v>
      </c>
    </row>
    <row r="1348" spans="1:8" x14ac:dyDescent="0.3">
      <c r="A1348">
        <v>1347</v>
      </c>
      <c r="B1348">
        <v>247</v>
      </c>
      <c r="C1348" t="s">
        <v>5248</v>
      </c>
      <c r="D1348" s="1">
        <v>43115</v>
      </c>
      <c r="E1348" s="1">
        <v>43118</v>
      </c>
      <c r="F1348" s="1">
        <v>43118</v>
      </c>
      <c r="G1348">
        <v>1</v>
      </c>
      <c r="H1348">
        <v>2</v>
      </c>
    </row>
    <row r="1349" spans="1:8" x14ac:dyDescent="0.3">
      <c r="A1349">
        <v>1348</v>
      </c>
      <c r="B1349">
        <v>1214</v>
      </c>
      <c r="C1349" t="s">
        <v>5248</v>
      </c>
      <c r="D1349" s="1">
        <v>43115</v>
      </c>
      <c r="E1349" s="1">
        <v>43117</v>
      </c>
      <c r="F1349" s="1">
        <v>43117</v>
      </c>
      <c r="G1349">
        <v>1</v>
      </c>
      <c r="H1349">
        <v>2</v>
      </c>
    </row>
    <row r="1350" spans="1:8" x14ac:dyDescent="0.3">
      <c r="A1350">
        <v>1349</v>
      </c>
      <c r="B1350">
        <v>464</v>
      </c>
      <c r="C1350" t="s">
        <v>5248</v>
      </c>
      <c r="D1350" s="1">
        <v>43115</v>
      </c>
      <c r="E1350" s="1">
        <v>43117</v>
      </c>
      <c r="F1350" s="1">
        <v>43116</v>
      </c>
      <c r="G1350">
        <v>2</v>
      </c>
      <c r="H1350">
        <v>6</v>
      </c>
    </row>
    <row r="1351" spans="1:8" x14ac:dyDescent="0.3">
      <c r="A1351">
        <v>1350</v>
      </c>
      <c r="B1351">
        <v>637</v>
      </c>
      <c r="C1351" t="s">
        <v>5248</v>
      </c>
      <c r="D1351" s="1">
        <v>43115</v>
      </c>
      <c r="E1351" s="1">
        <v>43118</v>
      </c>
      <c r="F1351" s="1">
        <v>43117</v>
      </c>
      <c r="G1351">
        <v>2</v>
      </c>
      <c r="H1351">
        <v>7</v>
      </c>
    </row>
    <row r="1352" spans="1:8" x14ac:dyDescent="0.3">
      <c r="A1352">
        <v>1351</v>
      </c>
      <c r="B1352">
        <v>1016</v>
      </c>
      <c r="C1352" t="s">
        <v>5248</v>
      </c>
      <c r="D1352" s="1">
        <v>43116</v>
      </c>
      <c r="E1352" s="1">
        <v>43119</v>
      </c>
      <c r="F1352" s="1">
        <v>43119</v>
      </c>
      <c r="G1352">
        <v>2</v>
      </c>
      <c r="H1352">
        <v>7</v>
      </c>
    </row>
    <row r="1353" spans="1:8" x14ac:dyDescent="0.3">
      <c r="A1353">
        <v>1352</v>
      </c>
      <c r="B1353">
        <v>1433</v>
      </c>
      <c r="C1353" t="s">
        <v>5248</v>
      </c>
      <c r="D1353" s="1">
        <v>43116</v>
      </c>
      <c r="E1353" s="1">
        <v>43118</v>
      </c>
      <c r="F1353" s="1">
        <v>43118</v>
      </c>
      <c r="G1353">
        <v>2</v>
      </c>
      <c r="H1353">
        <v>6</v>
      </c>
    </row>
    <row r="1354" spans="1:8" x14ac:dyDescent="0.3">
      <c r="A1354">
        <v>1353</v>
      </c>
      <c r="B1354">
        <v>502</v>
      </c>
      <c r="C1354" t="s">
        <v>5248</v>
      </c>
      <c r="D1354" s="1">
        <v>43117</v>
      </c>
      <c r="E1354" s="1">
        <v>43119</v>
      </c>
      <c r="F1354" s="1">
        <v>43118</v>
      </c>
      <c r="G1354">
        <v>2</v>
      </c>
      <c r="H1354">
        <v>6</v>
      </c>
    </row>
    <row r="1355" spans="1:8" x14ac:dyDescent="0.3">
      <c r="A1355">
        <v>1354</v>
      </c>
      <c r="B1355">
        <v>476</v>
      </c>
      <c r="C1355" t="s">
        <v>5248</v>
      </c>
      <c r="D1355" s="1">
        <v>43119</v>
      </c>
      <c r="E1355" s="1">
        <v>43120</v>
      </c>
      <c r="F1355" s="1">
        <v>43121</v>
      </c>
      <c r="G1355">
        <v>1</v>
      </c>
      <c r="H1355">
        <v>3</v>
      </c>
    </row>
    <row r="1356" spans="1:8" x14ac:dyDescent="0.3">
      <c r="A1356">
        <v>1355</v>
      </c>
      <c r="B1356">
        <v>1010</v>
      </c>
      <c r="C1356" t="s">
        <v>5248</v>
      </c>
      <c r="D1356" s="1">
        <v>43119</v>
      </c>
      <c r="E1356" s="1">
        <v>43121</v>
      </c>
      <c r="F1356" s="1">
        <v>43120</v>
      </c>
      <c r="G1356">
        <v>2</v>
      </c>
      <c r="H1356">
        <v>7</v>
      </c>
    </row>
    <row r="1357" spans="1:8" x14ac:dyDescent="0.3">
      <c r="A1357">
        <v>1356</v>
      </c>
      <c r="B1357">
        <v>1161</v>
      </c>
      <c r="C1357" t="s">
        <v>5248</v>
      </c>
      <c r="D1357" s="1">
        <v>43119</v>
      </c>
      <c r="E1357" s="1">
        <v>43121</v>
      </c>
      <c r="F1357" s="1">
        <v>43122</v>
      </c>
      <c r="G1357">
        <v>2</v>
      </c>
      <c r="H1357">
        <v>6</v>
      </c>
    </row>
    <row r="1358" spans="1:8" x14ac:dyDescent="0.3">
      <c r="A1358">
        <v>1357</v>
      </c>
      <c r="B1358">
        <v>440</v>
      </c>
      <c r="C1358" t="s">
        <v>5248</v>
      </c>
      <c r="D1358" s="1">
        <v>43120</v>
      </c>
      <c r="E1358" s="1">
        <v>43123</v>
      </c>
      <c r="F1358" s="1">
        <v>43121</v>
      </c>
      <c r="G1358">
        <v>2</v>
      </c>
      <c r="H1358">
        <v>6</v>
      </c>
    </row>
    <row r="1359" spans="1:8" x14ac:dyDescent="0.3">
      <c r="A1359">
        <v>1358</v>
      </c>
      <c r="B1359">
        <v>253</v>
      </c>
      <c r="C1359" t="s">
        <v>5248</v>
      </c>
      <c r="D1359" s="1">
        <v>43121</v>
      </c>
      <c r="E1359" s="1">
        <v>43123</v>
      </c>
      <c r="F1359" s="1">
        <v>43124</v>
      </c>
      <c r="G1359">
        <v>1</v>
      </c>
      <c r="H1359">
        <v>2</v>
      </c>
    </row>
    <row r="1360" spans="1:8" x14ac:dyDescent="0.3">
      <c r="A1360">
        <v>1359</v>
      </c>
      <c r="B1360">
        <v>1008</v>
      </c>
      <c r="C1360" t="s">
        <v>5248</v>
      </c>
      <c r="D1360" s="1">
        <v>43121</v>
      </c>
      <c r="E1360" s="1">
        <v>43122</v>
      </c>
      <c r="F1360" s="1">
        <v>43122</v>
      </c>
      <c r="G1360">
        <v>3</v>
      </c>
      <c r="H1360">
        <v>9</v>
      </c>
    </row>
    <row r="1361" spans="1:8" x14ac:dyDescent="0.3">
      <c r="A1361">
        <v>1360</v>
      </c>
      <c r="B1361">
        <v>71</v>
      </c>
      <c r="C1361" t="s">
        <v>5248</v>
      </c>
      <c r="D1361" s="1">
        <v>43122</v>
      </c>
      <c r="E1361" s="1">
        <v>43125</v>
      </c>
      <c r="F1361" s="1">
        <v>43124</v>
      </c>
      <c r="G1361">
        <v>2</v>
      </c>
      <c r="H1361">
        <v>6</v>
      </c>
    </row>
    <row r="1362" spans="1:8" x14ac:dyDescent="0.3">
      <c r="A1362">
        <v>1361</v>
      </c>
      <c r="B1362">
        <v>1084</v>
      </c>
      <c r="C1362" t="s">
        <v>5248</v>
      </c>
      <c r="D1362" s="1">
        <v>43122</v>
      </c>
      <c r="E1362" s="1">
        <v>43124</v>
      </c>
      <c r="F1362" s="1">
        <v>43123</v>
      </c>
      <c r="G1362">
        <v>2</v>
      </c>
      <c r="H1362">
        <v>7</v>
      </c>
    </row>
    <row r="1363" spans="1:8" x14ac:dyDescent="0.3">
      <c r="A1363">
        <v>1362</v>
      </c>
      <c r="B1363">
        <v>310</v>
      </c>
      <c r="C1363" t="s">
        <v>5248</v>
      </c>
      <c r="D1363" s="1">
        <v>43123</v>
      </c>
      <c r="E1363" s="1">
        <v>43124</v>
      </c>
      <c r="F1363" s="1">
        <v>43125</v>
      </c>
      <c r="G1363">
        <v>2</v>
      </c>
      <c r="H1363">
        <v>6</v>
      </c>
    </row>
    <row r="1364" spans="1:8" x14ac:dyDescent="0.3">
      <c r="A1364">
        <v>1363</v>
      </c>
      <c r="B1364">
        <v>860</v>
      </c>
      <c r="C1364" t="s">
        <v>5248</v>
      </c>
      <c r="D1364" s="1">
        <v>43124</v>
      </c>
      <c r="E1364" s="1">
        <v>43125</v>
      </c>
      <c r="F1364" s="1">
        <v>43125</v>
      </c>
      <c r="G1364">
        <v>2</v>
      </c>
      <c r="H1364">
        <v>6</v>
      </c>
    </row>
    <row r="1365" spans="1:8" x14ac:dyDescent="0.3">
      <c r="A1365">
        <v>1364</v>
      </c>
      <c r="B1365">
        <v>122</v>
      </c>
      <c r="C1365" t="s">
        <v>5248</v>
      </c>
      <c r="D1365" s="1">
        <v>43125</v>
      </c>
      <c r="E1365" s="1">
        <v>43128</v>
      </c>
      <c r="F1365" s="1">
        <v>43128</v>
      </c>
      <c r="G1365">
        <v>2</v>
      </c>
      <c r="H1365">
        <v>6</v>
      </c>
    </row>
    <row r="1366" spans="1:8" x14ac:dyDescent="0.3">
      <c r="A1366">
        <v>1365</v>
      </c>
      <c r="B1366">
        <v>689</v>
      </c>
      <c r="C1366" t="s">
        <v>5248</v>
      </c>
      <c r="D1366" s="1">
        <v>43125</v>
      </c>
      <c r="E1366" s="1">
        <v>43128</v>
      </c>
      <c r="F1366" s="1">
        <v>43127</v>
      </c>
      <c r="G1366">
        <v>2</v>
      </c>
      <c r="H1366">
        <v>7</v>
      </c>
    </row>
    <row r="1367" spans="1:8" x14ac:dyDescent="0.3">
      <c r="A1367">
        <v>1366</v>
      </c>
      <c r="B1367">
        <v>1441</v>
      </c>
      <c r="C1367" t="s">
        <v>5248</v>
      </c>
      <c r="D1367" s="1">
        <v>43126</v>
      </c>
      <c r="E1367" s="1">
        <v>43127</v>
      </c>
      <c r="F1367" s="1">
        <v>43128</v>
      </c>
      <c r="G1367">
        <v>2</v>
      </c>
      <c r="H1367">
        <v>6</v>
      </c>
    </row>
    <row r="1368" spans="1:8" x14ac:dyDescent="0.3">
      <c r="A1368">
        <v>1367</v>
      </c>
      <c r="B1368">
        <v>1118</v>
      </c>
      <c r="C1368" t="s">
        <v>5248</v>
      </c>
      <c r="D1368" s="1">
        <v>43127</v>
      </c>
      <c r="E1368" s="1">
        <v>43128</v>
      </c>
      <c r="F1368" s="1">
        <v>43128</v>
      </c>
      <c r="G1368">
        <v>1</v>
      </c>
      <c r="H1368">
        <v>3</v>
      </c>
    </row>
    <row r="1369" spans="1:8" x14ac:dyDescent="0.3">
      <c r="A1369">
        <v>1368</v>
      </c>
      <c r="B1369">
        <v>765</v>
      </c>
      <c r="C1369" t="s">
        <v>5248</v>
      </c>
      <c r="D1369" s="1">
        <v>43127</v>
      </c>
      <c r="E1369" s="1">
        <v>43128</v>
      </c>
      <c r="F1369" s="1">
        <v>43129</v>
      </c>
      <c r="G1369">
        <v>2</v>
      </c>
      <c r="H1369">
        <v>6</v>
      </c>
    </row>
    <row r="1370" spans="1:8" x14ac:dyDescent="0.3">
      <c r="A1370">
        <v>1369</v>
      </c>
      <c r="B1370">
        <v>92</v>
      </c>
      <c r="C1370" t="s">
        <v>5248</v>
      </c>
      <c r="D1370" s="1">
        <v>43128</v>
      </c>
      <c r="E1370" s="1">
        <v>43130</v>
      </c>
      <c r="F1370" s="1">
        <v>43130</v>
      </c>
      <c r="G1370">
        <v>2</v>
      </c>
      <c r="H1370">
        <v>6</v>
      </c>
    </row>
    <row r="1371" spans="1:8" x14ac:dyDescent="0.3">
      <c r="A1371">
        <v>1370</v>
      </c>
      <c r="B1371">
        <v>115</v>
      </c>
      <c r="C1371" t="s">
        <v>5248</v>
      </c>
      <c r="D1371" s="1">
        <v>43128</v>
      </c>
      <c r="E1371" s="1">
        <v>43129</v>
      </c>
      <c r="F1371" s="1">
        <v>43129</v>
      </c>
      <c r="G1371">
        <v>2</v>
      </c>
      <c r="H1371">
        <v>7</v>
      </c>
    </row>
    <row r="1372" spans="1:8" x14ac:dyDescent="0.3">
      <c r="A1372">
        <v>1371</v>
      </c>
      <c r="B1372">
        <v>937</v>
      </c>
      <c r="C1372" t="s">
        <v>5248</v>
      </c>
      <c r="D1372" s="1">
        <v>43129</v>
      </c>
      <c r="E1372" s="1">
        <v>43130</v>
      </c>
      <c r="F1372" s="1">
        <v>43132</v>
      </c>
      <c r="G1372">
        <v>2</v>
      </c>
      <c r="H1372">
        <v>7</v>
      </c>
    </row>
    <row r="1373" spans="1:8" x14ac:dyDescent="0.3">
      <c r="A1373">
        <v>1372</v>
      </c>
      <c r="B1373">
        <v>1013</v>
      </c>
      <c r="C1373" t="s">
        <v>5248</v>
      </c>
      <c r="D1373" s="1">
        <v>43129</v>
      </c>
      <c r="E1373" s="1">
        <v>43132</v>
      </c>
      <c r="F1373" s="1">
        <v>43130</v>
      </c>
      <c r="G1373">
        <v>2</v>
      </c>
      <c r="H1373">
        <v>6</v>
      </c>
    </row>
    <row r="1374" spans="1:8" x14ac:dyDescent="0.3">
      <c r="A1374">
        <v>1373</v>
      </c>
      <c r="B1374">
        <v>427</v>
      </c>
      <c r="C1374" t="s">
        <v>5248</v>
      </c>
      <c r="D1374" s="1">
        <v>43129</v>
      </c>
      <c r="E1374" s="1">
        <v>43131</v>
      </c>
      <c r="F1374" s="1">
        <v>43131</v>
      </c>
      <c r="G1374">
        <v>3</v>
      </c>
      <c r="H1374">
        <v>9</v>
      </c>
    </row>
    <row r="1375" spans="1:8" x14ac:dyDescent="0.3">
      <c r="A1375">
        <v>1374</v>
      </c>
      <c r="B1375">
        <v>1330</v>
      </c>
      <c r="C1375" t="s">
        <v>5248</v>
      </c>
      <c r="D1375" s="1">
        <v>43130</v>
      </c>
      <c r="E1375" s="1">
        <v>43132</v>
      </c>
      <c r="F1375" s="1">
        <v>43132</v>
      </c>
      <c r="G1375">
        <v>1</v>
      </c>
      <c r="H1375">
        <v>3</v>
      </c>
    </row>
    <row r="1376" spans="1:8" x14ac:dyDescent="0.3">
      <c r="A1376">
        <v>1375</v>
      </c>
      <c r="B1376">
        <v>312</v>
      </c>
      <c r="C1376" t="s">
        <v>5248</v>
      </c>
      <c r="D1376" s="1">
        <v>43130</v>
      </c>
      <c r="E1376" s="1">
        <v>43132</v>
      </c>
      <c r="F1376" s="1">
        <v>43132</v>
      </c>
      <c r="G1376">
        <v>3</v>
      </c>
      <c r="H1376">
        <v>8</v>
      </c>
    </row>
    <row r="1377" spans="1:8" x14ac:dyDescent="0.3">
      <c r="A1377">
        <v>1376</v>
      </c>
      <c r="B1377">
        <v>1186</v>
      </c>
      <c r="C1377" t="s">
        <v>5248</v>
      </c>
      <c r="D1377" s="1">
        <v>43132</v>
      </c>
      <c r="E1377" s="1">
        <v>43133</v>
      </c>
      <c r="F1377" s="1">
        <v>43134</v>
      </c>
      <c r="G1377">
        <v>1</v>
      </c>
      <c r="H1377">
        <v>2</v>
      </c>
    </row>
    <row r="1378" spans="1:8" x14ac:dyDescent="0.3">
      <c r="A1378">
        <v>1377</v>
      </c>
      <c r="B1378">
        <v>1007</v>
      </c>
      <c r="C1378" t="s">
        <v>5248</v>
      </c>
      <c r="D1378" s="1">
        <v>43132</v>
      </c>
      <c r="E1378" s="1">
        <v>43134</v>
      </c>
      <c r="F1378" s="1">
        <v>43134</v>
      </c>
      <c r="G1378">
        <v>2</v>
      </c>
      <c r="H1378">
        <v>7</v>
      </c>
    </row>
    <row r="1379" spans="1:8" x14ac:dyDescent="0.3">
      <c r="A1379">
        <v>1378</v>
      </c>
      <c r="B1379">
        <v>983</v>
      </c>
      <c r="C1379" t="s">
        <v>5248</v>
      </c>
      <c r="D1379" s="1">
        <v>43133</v>
      </c>
      <c r="E1379" s="1">
        <v>43136</v>
      </c>
      <c r="F1379" s="1">
        <v>43135</v>
      </c>
      <c r="G1379">
        <v>1</v>
      </c>
      <c r="H1379">
        <v>2</v>
      </c>
    </row>
    <row r="1380" spans="1:8" x14ac:dyDescent="0.3">
      <c r="A1380">
        <v>1379</v>
      </c>
      <c r="B1380">
        <v>1256</v>
      </c>
      <c r="C1380" t="s">
        <v>5248</v>
      </c>
      <c r="D1380" s="1">
        <v>43133</v>
      </c>
      <c r="E1380" s="1">
        <v>43136</v>
      </c>
      <c r="F1380" s="1">
        <v>43136</v>
      </c>
      <c r="G1380">
        <v>2</v>
      </c>
      <c r="H1380">
        <v>6</v>
      </c>
    </row>
    <row r="1381" spans="1:8" x14ac:dyDescent="0.3">
      <c r="A1381">
        <v>1380</v>
      </c>
      <c r="B1381">
        <v>818</v>
      </c>
      <c r="C1381" t="s">
        <v>5248</v>
      </c>
      <c r="D1381" s="1">
        <v>43136</v>
      </c>
      <c r="E1381" s="1">
        <v>43139</v>
      </c>
      <c r="F1381" s="1">
        <v>43139</v>
      </c>
      <c r="G1381">
        <v>1</v>
      </c>
      <c r="H1381">
        <v>3</v>
      </c>
    </row>
    <row r="1382" spans="1:8" x14ac:dyDescent="0.3">
      <c r="A1382">
        <v>1381</v>
      </c>
      <c r="B1382">
        <v>680</v>
      </c>
      <c r="C1382" t="s">
        <v>5248</v>
      </c>
      <c r="D1382" s="1">
        <v>43136</v>
      </c>
      <c r="E1382" s="1">
        <v>43137</v>
      </c>
      <c r="F1382" s="1">
        <v>43139</v>
      </c>
      <c r="G1382">
        <v>2</v>
      </c>
      <c r="H1382">
        <v>7</v>
      </c>
    </row>
    <row r="1383" spans="1:8" x14ac:dyDescent="0.3">
      <c r="A1383">
        <v>1382</v>
      </c>
      <c r="B1383">
        <v>1303</v>
      </c>
      <c r="C1383" t="s">
        <v>5248</v>
      </c>
      <c r="D1383" s="1">
        <v>43137</v>
      </c>
      <c r="E1383" s="1">
        <v>43140</v>
      </c>
      <c r="F1383" s="1">
        <v>43139</v>
      </c>
      <c r="G1383">
        <v>2</v>
      </c>
      <c r="H1383">
        <v>6</v>
      </c>
    </row>
    <row r="1384" spans="1:8" x14ac:dyDescent="0.3">
      <c r="A1384">
        <v>1383</v>
      </c>
      <c r="B1384">
        <v>488</v>
      </c>
      <c r="C1384" t="s">
        <v>5248</v>
      </c>
      <c r="D1384" s="1">
        <v>43138</v>
      </c>
      <c r="E1384" s="1">
        <v>43139</v>
      </c>
      <c r="F1384" s="1">
        <v>43139</v>
      </c>
      <c r="G1384">
        <v>1</v>
      </c>
      <c r="H1384">
        <v>3</v>
      </c>
    </row>
    <row r="1385" spans="1:8" x14ac:dyDescent="0.3">
      <c r="A1385">
        <v>1384</v>
      </c>
      <c r="B1385">
        <v>1126</v>
      </c>
      <c r="C1385" t="s">
        <v>5248</v>
      </c>
      <c r="D1385" s="1">
        <v>43139</v>
      </c>
      <c r="E1385" s="1">
        <v>43141</v>
      </c>
      <c r="F1385" s="1">
        <v>43140</v>
      </c>
      <c r="G1385">
        <v>2</v>
      </c>
      <c r="H1385">
        <v>7</v>
      </c>
    </row>
    <row r="1386" spans="1:8" x14ac:dyDescent="0.3">
      <c r="A1386">
        <v>1385</v>
      </c>
      <c r="B1386">
        <v>866</v>
      </c>
      <c r="C1386" t="s">
        <v>5248</v>
      </c>
      <c r="D1386" s="1">
        <v>43139</v>
      </c>
      <c r="E1386" s="1">
        <v>43142</v>
      </c>
      <c r="F1386" s="1">
        <v>43140</v>
      </c>
      <c r="G1386">
        <v>3</v>
      </c>
      <c r="H1386">
        <v>9</v>
      </c>
    </row>
    <row r="1387" spans="1:8" x14ac:dyDescent="0.3">
      <c r="A1387">
        <v>1386</v>
      </c>
      <c r="B1387">
        <v>1254</v>
      </c>
      <c r="C1387" t="s">
        <v>5248</v>
      </c>
      <c r="D1387" s="1">
        <v>43140</v>
      </c>
      <c r="E1387" s="1">
        <v>43141</v>
      </c>
      <c r="F1387" s="1">
        <v>43142</v>
      </c>
      <c r="G1387">
        <v>1</v>
      </c>
      <c r="H1387">
        <v>2</v>
      </c>
    </row>
    <row r="1388" spans="1:8" x14ac:dyDescent="0.3">
      <c r="A1388">
        <v>1387</v>
      </c>
      <c r="B1388">
        <v>11</v>
      </c>
      <c r="C1388" t="s">
        <v>5248</v>
      </c>
      <c r="D1388" s="1">
        <v>43140</v>
      </c>
      <c r="E1388" s="1">
        <v>43142</v>
      </c>
      <c r="F1388" s="1">
        <v>43142</v>
      </c>
      <c r="G1388">
        <v>2</v>
      </c>
      <c r="H1388">
        <v>7</v>
      </c>
    </row>
    <row r="1389" spans="1:8" x14ac:dyDescent="0.3">
      <c r="A1389">
        <v>1388</v>
      </c>
      <c r="B1389">
        <v>323</v>
      </c>
      <c r="C1389" t="s">
        <v>5248</v>
      </c>
      <c r="D1389" s="1">
        <v>43140</v>
      </c>
      <c r="E1389" s="1">
        <v>43143</v>
      </c>
      <c r="F1389" s="1">
        <v>43143</v>
      </c>
      <c r="G1389">
        <v>2</v>
      </c>
      <c r="H1389">
        <v>7</v>
      </c>
    </row>
    <row r="1390" spans="1:8" x14ac:dyDescent="0.3">
      <c r="A1390">
        <v>1389</v>
      </c>
      <c r="B1390">
        <v>491</v>
      </c>
      <c r="C1390" t="s">
        <v>5248</v>
      </c>
      <c r="D1390" s="1">
        <v>43142</v>
      </c>
      <c r="E1390" s="1">
        <v>43143</v>
      </c>
      <c r="F1390" s="1">
        <v>43145</v>
      </c>
      <c r="G1390">
        <v>2</v>
      </c>
      <c r="H1390">
        <v>7</v>
      </c>
    </row>
    <row r="1391" spans="1:8" x14ac:dyDescent="0.3">
      <c r="A1391">
        <v>1390</v>
      </c>
      <c r="B1391">
        <v>63</v>
      </c>
      <c r="C1391" t="s">
        <v>5248</v>
      </c>
      <c r="D1391" s="1">
        <v>43143</v>
      </c>
      <c r="E1391" s="1">
        <v>43144</v>
      </c>
      <c r="F1391" s="1">
        <v>43144</v>
      </c>
      <c r="G1391">
        <v>2</v>
      </c>
      <c r="H1391">
        <v>7</v>
      </c>
    </row>
    <row r="1392" spans="1:8" x14ac:dyDescent="0.3">
      <c r="A1392">
        <v>1391</v>
      </c>
      <c r="B1392">
        <v>914</v>
      </c>
      <c r="C1392" t="s">
        <v>5248</v>
      </c>
      <c r="D1392" s="1">
        <v>43144</v>
      </c>
      <c r="E1392" s="1">
        <v>43145</v>
      </c>
      <c r="F1392" s="1">
        <v>43145</v>
      </c>
      <c r="G1392">
        <v>2</v>
      </c>
      <c r="H1392">
        <v>7</v>
      </c>
    </row>
    <row r="1393" spans="1:8" x14ac:dyDescent="0.3">
      <c r="A1393">
        <v>1392</v>
      </c>
      <c r="B1393">
        <v>1187</v>
      </c>
      <c r="C1393" t="s">
        <v>5248</v>
      </c>
      <c r="D1393" s="1">
        <v>43144</v>
      </c>
      <c r="E1393" s="1">
        <v>43145</v>
      </c>
      <c r="F1393" s="1">
        <v>43145</v>
      </c>
      <c r="G1393">
        <v>2</v>
      </c>
      <c r="H1393">
        <v>6</v>
      </c>
    </row>
    <row r="1394" spans="1:8" x14ac:dyDescent="0.3">
      <c r="A1394">
        <v>1393</v>
      </c>
      <c r="B1394">
        <v>547</v>
      </c>
      <c r="C1394" t="s">
        <v>5248</v>
      </c>
      <c r="D1394" s="1">
        <v>43145</v>
      </c>
      <c r="E1394" s="1">
        <v>43146</v>
      </c>
      <c r="F1394" s="1">
        <v>43146</v>
      </c>
      <c r="G1394">
        <v>2</v>
      </c>
      <c r="H1394">
        <v>7</v>
      </c>
    </row>
    <row r="1395" spans="1:8" x14ac:dyDescent="0.3">
      <c r="A1395">
        <v>1394</v>
      </c>
      <c r="B1395">
        <v>906</v>
      </c>
      <c r="C1395" t="s">
        <v>5248</v>
      </c>
      <c r="D1395" s="1">
        <v>43145</v>
      </c>
      <c r="E1395" s="1">
        <v>43147</v>
      </c>
      <c r="F1395" s="1">
        <v>43147</v>
      </c>
      <c r="G1395">
        <v>3</v>
      </c>
      <c r="H1395">
        <v>8</v>
      </c>
    </row>
    <row r="1396" spans="1:8" x14ac:dyDescent="0.3">
      <c r="A1396">
        <v>1395</v>
      </c>
      <c r="B1396">
        <v>1052</v>
      </c>
      <c r="C1396" t="s">
        <v>5248</v>
      </c>
      <c r="D1396" s="1">
        <v>43146</v>
      </c>
      <c r="E1396" s="1">
        <v>43149</v>
      </c>
      <c r="F1396" s="1">
        <v>43147</v>
      </c>
      <c r="G1396">
        <v>1</v>
      </c>
      <c r="H1396">
        <v>3</v>
      </c>
    </row>
    <row r="1397" spans="1:8" x14ac:dyDescent="0.3">
      <c r="A1397">
        <v>1396</v>
      </c>
      <c r="B1397">
        <v>856</v>
      </c>
      <c r="C1397" t="s">
        <v>5248</v>
      </c>
      <c r="D1397" s="1">
        <v>43146</v>
      </c>
      <c r="E1397" s="1">
        <v>43149</v>
      </c>
      <c r="F1397" s="1">
        <v>43147</v>
      </c>
      <c r="G1397">
        <v>2</v>
      </c>
      <c r="H1397">
        <v>7</v>
      </c>
    </row>
    <row r="1398" spans="1:8" x14ac:dyDescent="0.3">
      <c r="A1398">
        <v>1397</v>
      </c>
      <c r="B1398">
        <v>920</v>
      </c>
      <c r="C1398" t="s">
        <v>5248</v>
      </c>
      <c r="D1398" s="1">
        <v>43146</v>
      </c>
      <c r="E1398" s="1">
        <v>43148</v>
      </c>
      <c r="F1398" s="1">
        <v>43147</v>
      </c>
      <c r="G1398">
        <v>2</v>
      </c>
      <c r="H1398">
        <v>6</v>
      </c>
    </row>
    <row r="1399" spans="1:8" x14ac:dyDescent="0.3">
      <c r="A1399">
        <v>1398</v>
      </c>
      <c r="B1399">
        <v>1383</v>
      </c>
      <c r="C1399" t="s">
        <v>5248</v>
      </c>
      <c r="D1399" s="1">
        <v>43147</v>
      </c>
      <c r="E1399" s="1">
        <v>43150</v>
      </c>
      <c r="F1399" s="1">
        <v>43150</v>
      </c>
      <c r="G1399">
        <v>1</v>
      </c>
      <c r="H1399">
        <v>3</v>
      </c>
    </row>
    <row r="1400" spans="1:8" x14ac:dyDescent="0.3">
      <c r="A1400">
        <v>1399</v>
      </c>
      <c r="B1400">
        <v>146</v>
      </c>
      <c r="C1400" t="s">
        <v>5248</v>
      </c>
      <c r="D1400" s="1">
        <v>43147</v>
      </c>
      <c r="E1400" s="1">
        <v>43149</v>
      </c>
      <c r="F1400" s="1">
        <v>43149</v>
      </c>
      <c r="G1400">
        <v>2</v>
      </c>
      <c r="H1400">
        <v>6</v>
      </c>
    </row>
    <row r="1401" spans="1:8" x14ac:dyDescent="0.3">
      <c r="A1401">
        <v>1400</v>
      </c>
      <c r="B1401">
        <v>987</v>
      </c>
      <c r="C1401" t="s">
        <v>5248</v>
      </c>
      <c r="D1401" s="1">
        <v>43148</v>
      </c>
      <c r="E1401" s="1">
        <v>43149</v>
      </c>
      <c r="F1401" s="1">
        <v>43149</v>
      </c>
      <c r="G1401">
        <v>2</v>
      </c>
      <c r="H1401">
        <v>6</v>
      </c>
    </row>
    <row r="1402" spans="1:8" x14ac:dyDescent="0.3">
      <c r="A1402">
        <v>1401</v>
      </c>
      <c r="B1402">
        <v>15</v>
      </c>
      <c r="C1402" t="s">
        <v>5248</v>
      </c>
      <c r="D1402" s="1">
        <v>43149</v>
      </c>
      <c r="E1402" s="1">
        <v>43150</v>
      </c>
      <c r="F1402" s="1">
        <v>43151</v>
      </c>
      <c r="G1402">
        <v>2</v>
      </c>
      <c r="H1402">
        <v>7</v>
      </c>
    </row>
    <row r="1403" spans="1:8" x14ac:dyDescent="0.3">
      <c r="A1403">
        <v>1402</v>
      </c>
      <c r="B1403">
        <v>1171</v>
      </c>
      <c r="C1403" t="s">
        <v>5248</v>
      </c>
      <c r="D1403" s="1">
        <v>43150</v>
      </c>
      <c r="E1403" s="1">
        <v>43152</v>
      </c>
      <c r="F1403" s="1">
        <v>43152</v>
      </c>
      <c r="G1403">
        <v>2</v>
      </c>
      <c r="H1403">
        <v>6</v>
      </c>
    </row>
    <row r="1404" spans="1:8" x14ac:dyDescent="0.3">
      <c r="A1404">
        <v>1403</v>
      </c>
      <c r="B1404">
        <v>452</v>
      </c>
      <c r="C1404" t="s">
        <v>5248</v>
      </c>
      <c r="D1404" s="1">
        <v>43152</v>
      </c>
      <c r="E1404" s="1">
        <v>43153</v>
      </c>
      <c r="F1404" s="1">
        <v>43153</v>
      </c>
      <c r="G1404">
        <v>2</v>
      </c>
      <c r="H1404">
        <v>7</v>
      </c>
    </row>
    <row r="1405" spans="1:8" x14ac:dyDescent="0.3">
      <c r="A1405">
        <v>1404</v>
      </c>
      <c r="B1405">
        <v>1240</v>
      </c>
      <c r="C1405" t="s">
        <v>5248</v>
      </c>
      <c r="D1405" s="1">
        <v>43154</v>
      </c>
      <c r="E1405" s="1">
        <v>43157</v>
      </c>
      <c r="F1405" s="1">
        <v>43155</v>
      </c>
      <c r="G1405">
        <v>1</v>
      </c>
      <c r="H1405">
        <v>3</v>
      </c>
    </row>
    <row r="1406" spans="1:8" x14ac:dyDescent="0.3">
      <c r="A1406">
        <v>1405</v>
      </c>
      <c r="B1406">
        <v>100</v>
      </c>
      <c r="C1406" t="s">
        <v>5248</v>
      </c>
      <c r="D1406" s="1">
        <v>43156</v>
      </c>
      <c r="E1406" s="1">
        <v>43159</v>
      </c>
      <c r="F1406" s="1">
        <v>43158</v>
      </c>
      <c r="G1406">
        <v>2</v>
      </c>
      <c r="H1406">
        <v>6</v>
      </c>
    </row>
    <row r="1407" spans="1:8" x14ac:dyDescent="0.3">
      <c r="A1407">
        <v>1406</v>
      </c>
      <c r="B1407">
        <v>1053</v>
      </c>
      <c r="C1407" t="s">
        <v>5248</v>
      </c>
      <c r="D1407" s="1">
        <v>43156</v>
      </c>
      <c r="E1407" s="1">
        <v>43158</v>
      </c>
      <c r="F1407" s="1">
        <v>43158</v>
      </c>
      <c r="G1407">
        <v>2</v>
      </c>
      <c r="H1407">
        <v>7</v>
      </c>
    </row>
    <row r="1408" spans="1:8" x14ac:dyDescent="0.3">
      <c r="A1408">
        <v>1407</v>
      </c>
      <c r="B1408">
        <v>18</v>
      </c>
      <c r="C1408" t="s">
        <v>5249</v>
      </c>
      <c r="D1408" s="1">
        <v>43157</v>
      </c>
      <c r="E1408" s="1">
        <v>43157</v>
      </c>
      <c r="F1408" s="1"/>
      <c r="G1408">
        <v>2</v>
      </c>
      <c r="H1408">
        <v>6</v>
      </c>
    </row>
    <row r="1409" spans="1:8" x14ac:dyDescent="0.3">
      <c r="A1409">
        <v>1408</v>
      </c>
      <c r="B1409">
        <v>1172</v>
      </c>
      <c r="C1409" t="s">
        <v>5248</v>
      </c>
      <c r="D1409" s="1">
        <v>43157</v>
      </c>
      <c r="E1409" s="1">
        <v>43158</v>
      </c>
      <c r="F1409" s="1">
        <v>43160</v>
      </c>
      <c r="G1409">
        <v>2</v>
      </c>
      <c r="H1409">
        <v>6</v>
      </c>
    </row>
    <row r="1410" spans="1:8" x14ac:dyDescent="0.3">
      <c r="A1410">
        <v>1409</v>
      </c>
      <c r="B1410">
        <v>21</v>
      </c>
      <c r="C1410" t="s">
        <v>5248</v>
      </c>
      <c r="D1410" s="1">
        <v>43157</v>
      </c>
      <c r="E1410" s="1">
        <v>43159</v>
      </c>
      <c r="F1410" s="1">
        <v>43159</v>
      </c>
      <c r="G1410">
        <v>3</v>
      </c>
      <c r="H1410">
        <v>8</v>
      </c>
    </row>
    <row r="1411" spans="1:8" x14ac:dyDescent="0.3">
      <c r="A1411">
        <v>1410</v>
      </c>
      <c r="B1411">
        <v>1005</v>
      </c>
      <c r="C1411" t="s">
        <v>5248</v>
      </c>
      <c r="D1411" s="1">
        <v>43158</v>
      </c>
      <c r="E1411" s="1">
        <v>43159</v>
      </c>
      <c r="F1411" s="1">
        <v>43159</v>
      </c>
      <c r="G1411">
        <v>2</v>
      </c>
      <c r="H1411">
        <v>7</v>
      </c>
    </row>
    <row r="1412" spans="1:8" x14ac:dyDescent="0.3">
      <c r="A1412">
        <v>1411</v>
      </c>
      <c r="B1412">
        <v>109</v>
      </c>
      <c r="C1412" t="s">
        <v>5248</v>
      </c>
      <c r="D1412" s="1">
        <v>43160</v>
      </c>
      <c r="E1412" s="1">
        <v>43161</v>
      </c>
      <c r="F1412" s="1">
        <v>43161</v>
      </c>
      <c r="G1412">
        <v>1</v>
      </c>
      <c r="H1412">
        <v>2</v>
      </c>
    </row>
    <row r="1413" spans="1:8" x14ac:dyDescent="0.3">
      <c r="A1413">
        <v>1412</v>
      </c>
      <c r="B1413">
        <v>1043</v>
      </c>
      <c r="C1413" t="s">
        <v>5248</v>
      </c>
      <c r="D1413" s="1">
        <v>43160</v>
      </c>
      <c r="E1413" s="1">
        <v>43161</v>
      </c>
      <c r="F1413" s="1">
        <v>43163</v>
      </c>
      <c r="G1413">
        <v>2</v>
      </c>
      <c r="H1413">
        <v>7</v>
      </c>
    </row>
    <row r="1414" spans="1:8" x14ac:dyDescent="0.3">
      <c r="A1414">
        <v>1413</v>
      </c>
      <c r="B1414">
        <v>56</v>
      </c>
      <c r="C1414" t="s">
        <v>5248</v>
      </c>
      <c r="D1414" s="1">
        <v>43160</v>
      </c>
      <c r="E1414" s="1">
        <v>43162</v>
      </c>
      <c r="F1414" s="1">
        <v>43163</v>
      </c>
      <c r="G1414">
        <v>3</v>
      </c>
      <c r="H1414">
        <v>8</v>
      </c>
    </row>
    <row r="1415" spans="1:8" x14ac:dyDescent="0.3">
      <c r="A1415">
        <v>1414</v>
      </c>
      <c r="B1415">
        <v>293</v>
      </c>
      <c r="C1415" t="s">
        <v>5248</v>
      </c>
      <c r="D1415" s="1">
        <v>43162</v>
      </c>
      <c r="E1415" s="1">
        <v>43164</v>
      </c>
      <c r="F1415" s="1">
        <v>43165</v>
      </c>
      <c r="G1415">
        <v>2</v>
      </c>
      <c r="H1415">
        <v>7</v>
      </c>
    </row>
    <row r="1416" spans="1:8" x14ac:dyDescent="0.3">
      <c r="A1416">
        <v>1415</v>
      </c>
      <c r="B1416">
        <v>839</v>
      </c>
      <c r="C1416" t="s">
        <v>5248</v>
      </c>
      <c r="D1416" s="1">
        <v>43162</v>
      </c>
      <c r="E1416" s="1">
        <v>43163</v>
      </c>
      <c r="F1416" s="1">
        <v>43164</v>
      </c>
      <c r="G1416">
        <v>2</v>
      </c>
      <c r="H1416">
        <v>7</v>
      </c>
    </row>
    <row r="1417" spans="1:8" x14ac:dyDescent="0.3">
      <c r="A1417">
        <v>1416</v>
      </c>
      <c r="B1417">
        <v>566</v>
      </c>
      <c r="C1417" t="s">
        <v>5248</v>
      </c>
      <c r="D1417" s="1">
        <v>43162</v>
      </c>
      <c r="E1417" s="1">
        <v>43163</v>
      </c>
      <c r="F1417" s="1">
        <v>43165</v>
      </c>
      <c r="G1417">
        <v>3</v>
      </c>
      <c r="H1417">
        <v>8</v>
      </c>
    </row>
    <row r="1418" spans="1:8" x14ac:dyDescent="0.3">
      <c r="A1418">
        <v>1417</v>
      </c>
      <c r="B1418">
        <v>300</v>
      </c>
      <c r="C1418" t="s">
        <v>5248</v>
      </c>
      <c r="D1418" s="1">
        <v>43163</v>
      </c>
      <c r="E1418" s="1">
        <v>43165</v>
      </c>
      <c r="F1418" s="1">
        <v>43166</v>
      </c>
      <c r="G1418">
        <v>1</v>
      </c>
      <c r="H1418">
        <v>2</v>
      </c>
    </row>
    <row r="1419" spans="1:8" x14ac:dyDescent="0.3">
      <c r="A1419">
        <v>1418</v>
      </c>
      <c r="B1419">
        <v>364</v>
      </c>
      <c r="C1419" t="s">
        <v>5248</v>
      </c>
      <c r="D1419" s="1">
        <v>43163</v>
      </c>
      <c r="E1419" s="1">
        <v>43164</v>
      </c>
      <c r="F1419" s="1">
        <v>43166</v>
      </c>
      <c r="G1419">
        <v>2</v>
      </c>
      <c r="H1419">
        <v>6</v>
      </c>
    </row>
    <row r="1420" spans="1:8" x14ac:dyDescent="0.3">
      <c r="A1420">
        <v>1419</v>
      </c>
      <c r="B1420">
        <v>474</v>
      </c>
      <c r="C1420" t="s">
        <v>5248</v>
      </c>
      <c r="D1420" s="1">
        <v>43163</v>
      </c>
      <c r="E1420" s="1">
        <v>43166</v>
      </c>
      <c r="F1420" s="1">
        <v>43166</v>
      </c>
      <c r="G1420">
        <v>2</v>
      </c>
      <c r="H1420">
        <v>6</v>
      </c>
    </row>
    <row r="1421" spans="1:8" x14ac:dyDescent="0.3">
      <c r="A1421">
        <v>1420</v>
      </c>
      <c r="B1421">
        <v>838</v>
      </c>
      <c r="C1421" t="s">
        <v>5248</v>
      </c>
      <c r="D1421" s="1">
        <v>43163</v>
      </c>
      <c r="E1421" s="1">
        <v>43164</v>
      </c>
      <c r="F1421" s="1">
        <v>43166</v>
      </c>
      <c r="G1421">
        <v>2</v>
      </c>
      <c r="H1421">
        <v>7</v>
      </c>
    </row>
    <row r="1422" spans="1:8" x14ac:dyDescent="0.3">
      <c r="A1422">
        <v>1421</v>
      </c>
      <c r="B1422">
        <v>1176</v>
      </c>
      <c r="C1422" t="s">
        <v>5248</v>
      </c>
      <c r="D1422" s="1">
        <v>43164</v>
      </c>
      <c r="E1422" s="1">
        <v>43166</v>
      </c>
      <c r="F1422" s="1">
        <v>43166</v>
      </c>
      <c r="G1422">
        <v>2</v>
      </c>
      <c r="H1422">
        <v>7</v>
      </c>
    </row>
    <row r="1423" spans="1:8" x14ac:dyDescent="0.3">
      <c r="A1423">
        <v>1422</v>
      </c>
      <c r="B1423">
        <v>599</v>
      </c>
      <c r="C1423" t="s">
        <v>5248</v>
      </c>
      <c r="D1423" s="1">
        <v>43164</v>
      </c>
      <c r="E1423" s="1">
        <v>43165</v>
      </c>
      <c r="F1423" s="1">
        <v>43167</v>
      </c>
      <c r="G1423">
        <v>3</v>
      </c>
      <c r="H1423">
        <v>8</v>
      </c>
    </row>
    <row r="1424" spans="1:8" x14ac:dyDescent="0.3">
      <c r="A1424">
        <v>1423</v>
      </c>
      <c r="B1424">
        <v>1231</v>
      </c>
      <c r="C1424" t="s">
        <v>5248</v>
      </c>
      <c r="D1424" s="1">
        <v>43165</v>
      </c>
      <c r="E1424" s="1">
        <v>43166</v>
      </c>
      <c r="F1424" s="1">
        <v>43166</v>
      </c>
      <c r="G1424">
        <v>1</v>
      </c>
      <c r="H1424">
        <v>2</v>
      </c>
    </row>
    <row r="1425" spans="1:8" x14ac:dyDescent="0.3">
      <c r="A1425">
        <v>1424</v>
      </c>
      <c r="B1425">
        <v>1445</v>
      </c>
      <c r="C1425" t="s">
        <v>5248</v>
      </c>
      <c r="D1425" s="1">
        <v>43166</v>
      </c>
      <c r="E1425" s="1">
        <v>43169</v>
      </c>
      <c r="F1425" s="1">
        <v>43169</v>
      </c>
      <c r="G1425">
        <v>1</v>
      </c>
      <c r="H1425">
        <v>2</v>
      </c>
    </row>
    <row r="1426" spans="1:8" x14ac:dyDescent="0.3">
      <c r="A1426">
        <v>1425</v>
      </c>
      <c r="B1426">
        <v>126</v>
      </c>
      <c r="C1426" t="s">
        <v>5248</v>
      </c>
      <c r="D1426" s="1">
        <v>43166</v>
      </c>
      <c r="E1426" s="1">
        <v>43168</v>
      </c>
      <c r="F1426" s="1">
        <v>43168</v>
      </c>
      <c r="G1426">
        <v>2</v>
      </c>
      <c r="H1426">
        <v>6</v>
      </c>
    </row>
    <row r="1427" spans="1:8" x14ac:dyDescent="0.3">
      <c r="A1427">
        <v>1426</v>
      </c>
      <c r="B1427">
        <v>938</v>
      </c>
      <c r="C1427" t="s">
        <v>5248</v>
      </c>
      <c r="D1427" s="1">
        <v>43166</v>
      </c>
      <c r="E1427" s="1">
        <v>43167</v>
      </c>
      <c r="F1427" s="1">
        <v>43169</v>
      </c>
      <c r="G1427">
        <v>2</v>
      </c>
      <c r="H1427">
        <v>6</v>
      </c>
    </row>
    <row r="1428" spans="1:8" x14ac:dyDescent="0.3">
      <c r="A1428">
        <v>1427</v>
      </c>
      <c r="B1428">
        <v>999</v>
      </c>
      <c r="C1428" t="s">
        <v>5248</v>
      </c>
      <c r="D1428" s="1">
        <v>43166</v>
      </c>
      <c r="E1428" s="1">
        <v>43167</v>
      </c>
      <c r="F1428" s="1">
        <v>43167</v>
      </c>
      <c r="G1428">
        <v>2</v>
      </c>
      <c r="H1428">
        <v>6</v>
      </c>
    </row>
    <row r="1429" spans="1:8" x14ac:dyDescent="0.3">
      <c r="A1429">
        <v>1428</v>
      </c>
      <c r="B1429">
        <v>195</v>
      </c>
      <c r="C1429" t="s">
        <v>5248</v>
      </c>
      <c r="D1429" s="1">
        <v>43167</v>
      </c>
      <c r="E1429" s="1">
        <v>43169</v>
      </c>
      <c r="F1429" s="1">
        <v>43170</v>
      </c>
      <c r="G1429">
        <v>2</v>
      </c>
      <c r="H1429">
        <v>7</v>
      </c>
    </row>
    <row r="1430" spans="1:8" x14ac:dyDescent="0.3">
      <c r="A1430">
        <v>1429</v>
      </c>
      <c r="B1430">
        <v>1116</v>
      </c>
      <c r="C1430" t="s">
        <v>5248</v>
      </c>
      <c r="D1430" s="1">
        <v>43167</v>
      </c>
      <c r="E1430" s="1">
        <v>43168</v>
      </c>
      <c r="F1430" s="1">
        <v>43168</v>
      </c>
      <c r="G1430">
        <v>2</v>
      </c>
      <c r="H1430">
        <v>6</v>
      </c>
    </row>
    <row r="1431" spans="1:8" x14ac:dyDescent="0.3">
      <c r="A1431">
        <v>1430</v>
      </c>
      <c r="B1431">
        <v>1239</v>
      </c>
      <c r="C1431" t="s">
        <v>5248</v>
      </c>
      <c r="D1431" s="1">
        <v>43169</v>
      </c>
      <c r="E1431" s="1">
        <v>43172</v>
      </c>
      <c r="F1431" s="1">
        <v>43170</v>
      </c>
      <c r="G1431">
        <v>2</v>
      </c>
      <c r="H1431">
        <v>7</v>
      </c>
    </row>
    <row r="1432" spans="1:8" x14ac:dyDescent="0.3">
      <c r="A1432">
        <v>1431</v>
      </c>
      <c r="B1432">
        <v>308</v>
      </c>
      <c r="C1432" t="s">
        <v>5248</v>
      </c>
      <c r="D1432" s="1">
        <v>43170</v>
      </c>
      <c r="E1432" s="1">
        <v>43171</v>
      </c>
      <c r="F1432" s="1">
        <v>43173</v>
      </c>
      <c r="G1432">
        <v>2</v>
      </c>
      <c r="H1432">
        <v>6</v>
      </c>
    </row>
    <row r="1433" spans="1:8" x14ac:dyDescent="0.3">
      <c r="A1433">
        <v>1432</v>
      </c>
      <c r="B1433">
        <v>483</v>
      </c>
      <c r="C1433" t="s">
        <v>5248</v>
      </c>
      <c r="D1433" s="1">
        <v>43170</v>
      </c>
      <c r="E1433" s="1">
        <v>43171</v>
      </c>
      <c r="F1433" s="1">
        <v>43173</v>
      </c>
      <c r="G1433">
        <v>2</v>
      </c>
      <c r="H1433">
        <v>6</v>
      </c>
    </row>
    <row r="1434" spans="1:8" x14ac:dyDescent="0.3">
      <c r="A1434">
        <v>1433</v>
      </c>
      <c r="B1434">
        <v>1142</v>
      </c>
      <c r="C1434" t="s">
        <v>5248</v>
      </c>
      <c r="D1434" s="1">
        <v>43170</v>
      </c>
      <c r="E1434" s="1">
        <v>43172</v>
      </c>
      <c r="F1434" s="1">
        <v>43171</v>
      </c>
      <c r="G1434">
        <v>2</v>
      </c>
      <c r="H1434">
        <v>7</v>
      </c>
    </row>
    <row r="1435" spans="1:8" x14ac:dyDescent="0.3">
      <c r="A1435">
        <v>1434</v>
      </c>
      <c r="B1435">
        <v>595</v>
      </c>
      <c r="C1435" t="s">
        <v>5248</v>
      </c>
      <c r="D1435" s="1">
        <v>43173</v>
      </c>
      <c r="E1435" s="1">
        <v>43175</v>
      </c>
      <c r="F1435" s="1">
        <v>43175</v>
      </c>
      <c r="G1435">
        <v>2</v>
      </c>
      <c r="H1435">
        <v>6</v>
      </c>
    </row>
    <row r="1436" spans="1:8" x14ac:dyDescent="0.3">
      <c r="A1436">
        <v>1435</v>
      </c>
      <c r="B1436">
        <v>744</v>
      </c>
      <c r="C1436" t="s">
        <v>5248</v>
      </c>
      <c r="D1436" s="1">
        <v>43173</v>
      </c>
      <c r="E1436" s="1">
        <v>43174</v>
      </c>
      <c r="F1436" s="1">
        <v>43175</v>
      </c>
      <c r="G1436">
        <v>2</v>
      </c>
      <c r="H1436">
        <v>6</v>
      </c>
    </row>
    <row r="1437" spans="1:8" x14ac:dyDescent="0.3">
      <c r="A1437">
        <v>1436</v>
      </c>
      <c r="B1437">
        <v>1044</v>
      </c>
      <c r="C1437" t="s">
        <v>5248</v>
      </c>
      <c r="D1437" s="1">
        <v>43173</v>
      </c>
      <c r="E1437" s="1">
        <v>43176</v>
      </c>
      <c r="F1437" s="1">
        <v>43175</v>
      </c>
      <c r="G1437">
        <v>2</v>
      </c>
      <c r="H1437">
        <v>6</v>
      </c>
    </row>
    <row r="1438" spans="1:8" x14ac:dyDescent="0.3">
      <c r="A1438">
        <v>1437</v>
      </c>
      <c r="B1438">
        <v>518</v>
      </c>
      <c r="C1438" t="s">
        <v>5248</v>
      </c>
      <c r="D1438" s="1">
        <v>43174</v>
      </c>
      <c r="E1438" s="1">
        <v>43175</v>
      </c>
      <c r="F1438" s="1">
        <v>43175</v>
      </c>
      <c r="G1438">
        <v>1</v>
      </c>
      <c r="H1438">
        <v>2</v>
      </c>
    </row>
    <row r="1439" spans="1:8" x14ac:dyDescent="0.3">
      <c r="A1439">
        <v>1438</v>
      </c>
      <c r="B1439">
        <v>263</v>
      </c>
      <c r="C1439" t="s">
        <v>5248</v>
      </c>
      <c r="D1439" s="1">
        <v>43174</v>
      </c>
      <c r="E1439" s="1">
        <v>43176</v>
      </c>
      <c r="F1439" s="1">
        <v>43175</v>
      </c>
      <c r="G1439">
        <v>2</v>
      </c>
      <c r="H1439">
        <v>6</v>
      </c>
    </row>
    <row r="1440" spans="1:8" x14ac:dyDescent="0.3">
      <c r="A1440">
        <v>1439</v>
      </c>
      <c r="B1440">
        <v>463</v>
      </c>
      <c r="C1440" t="s">
        <v>5248</v>
      </c>
      <c r="D1440" s="1">
        <v>43174</v>
      </c>
      <c r="E1440" s="1">
        <v>43175</v>
      </c>
      <c r="F1440" s="1">
        <v>43176</v>
      </c>
      <c r="G1440">
        <v>2</v>
      </c>
      <c r="H1440">
        <v>7</v>
      </c>
    </row>
    <row r="1441" spans="1:8" x14ac:dyDescent="0.3">
      <c r="A1441">
        <v>1440</v>
      </c>
      <c r="B1441">
        <v>859</v>
      </c>
      <c r="C1441" t="s">
        <v>5248</v>
      </c>
      <c r="D1441" s="1">
        <v>43174</v>
      </c>
      <c r="E1441" s="1">
        <v>43177</v>
      </c>
      <c r="F1441" s="1">
        <v>43175</v>
      </c>
      <c r="G1441">
        <v>3</v>
      </c>
      <c r="H1441">
        <v>8</v>
      </c>
    </row>
    <row r="1442" spans="1:8" x14ac:dyDescent="0.3">
      <c r="A1442">
        <v>1441</v>
      </c>
      <c r="B1442">
        <v>982</v>
      </c>
      <c r="C1442" t="s">
        <v>5248</v>
      </c>
      <c r="D1442" s="1">
        <v>43174</v>
      </c>
      <c r="E1442" s="1">
        <v>43175</v>
      </c>
      <c r="F1442" s="1">
        <v>43177</v>
      </c>
      <c r="G1442">
        <v>3</v>
      </c>
      <c r="H1442">
        <v>8</v>
      </c>
    </row>
    <row r="1443" spans="1:8" x14ac:dyDescent="0.3">
      <c r="A1443">
        <v>1442</v>
      </c>
      <c r="B1443">
        <v>478</v>
      </c>
      <c r="C1443" t="s">
        <v>5248</v>
      </c>
      <c r="D1443" s="1">
        <v>43175</v>
      </c>
      <c r="E1443" s="1">
        <v>43176</v>
      </c>
      <c r="F1443" s="1">
        <v>43176</v>
      </c>
      <c r="G1443">
        <v>2</v>
      </c>
      <c r="H1443">
        <v>7</v>
      </c>
    </row>
    <row r="1444" spans="1:8" x14ac:dyDescent="0.3">
      <c r="A1444">
        <v>1443</v>
      </c>
      <c r="B1444">
        <v>972</v>
      </c>
      <c r="C1444" t="s">
        <v>5248</v>
      </c>
      <c r="D1444" s="1">
        <v>43175</v>
      </c>
      <c r="E1444" s="1">
        <v>43176</v>
      </c>
      <c r="F1444" s="1">
        <v>43176</v>
      </c>
      <c r="G1444">
        <v>2</v>
      </c>
      <c r="H1444">
        <v>7</v>
      </c>
    </row>
    <row r="1445" spans="1:8" x14ac:dyDescent="0.3">
      <c r="A1445">
        <v>1444</v>
      </c>
      <c r="B1445">
        <v>1154</v>
      </c>
      <c r="C1445" t="s">
        <v>5248</v>
      </c>
      <c r="D1445" s="1">
        <v>43175</v>
      </c>
      <c r="E1445" s="1">
        <v>43176</v>
      </c>
      <c r="F1445" s="1">
        <v>43178</v>
      </c>
      <c r="G1445">
        <v>2</v>
      </c>
      <c r="H1445">
        <v>6</v>
      </c>
    </row>
    <row r="1446" spans="1:8" x14ac:dyDescent="0.3">
      <c r="A1446">
        <v>1445</v>
      </c>
      <c r="B1446">
        <v>515</v>
      </c>
      <c r="C1446" t="s">
        <v>5248</v>
      </c>
      <c r="D1446" s="1">
        <v>43176</v>
      </c>
      <c r="E1446" s="1">
        <v>43177</v>
      </c>
      <c r="F1446" s="1">
        <v>43179</v>
      </c>
      <c r="G1446">
        <v>2</v>
      </c>
      <c r="H1446">
        <v>7</v>
      </c>
    </row>
    <row r="1447" spans="1:8" x14ac:dyDescent="0.3">
      <c r="A1447">
        <v>1446</v>
      </c>
      <c r="B1447">
        <v>820</v>
      </c>
      <c r="C1447" t="s">
        <v>5248</v>
      </c>
      <c r="D1447" s="1">
        <v>43176</v>
      </c>
      <c r="E1447" s="1">
        <v>43177</v>
      </c>
      <c r="F1447" s="1">
        <v>43177</v>
      </c>
      <c r="G1447">
        <v>2</v>
      </c>
      <c r="H1447">
        <v>6</v>
      </c>
    </row>
    <row r="1448" spans="1:8" x14ac:dyDescent="0.3">
      <c r="A1448">
        <v>1447</v>
      </c>
      <c r="B1448">
        <v>1419</v>
      </c>
      <c r="C1448" t="s">
        <v>5248</v>
      </c>
      <c r="D1448" s="1">
        <v>43177</v>
      </c>
      <c r="E1448" s="1">
        <v>43179</v>
      </c>
      <c r="F1448" s="1">
        <v>43179</v>
      </c>
      <c r="G1448">
        <v>1</v>
      </c>
      <c r="H1448">
        <v>3</v>
      </c>
    </row>
    <row r="1449" spans="1:8" x14ac:dyDescent="0.3">
      <c r="A1449">
        <v>1448</v>
      </c>
      <c r="B1449">
        <v>228</v>
      </c>
      <c r="C1449" t="s">
        <v>5248</v>
      </c>
      <c r="D1449" s="1">
        <v>43177</v>
      </c>
      <c r="E1449" s="1">
        <v>43178</v>
      </c>
      <c r="F1449" s="1">
        <v>43180</v>
      </c>
      <c r="G1449">
        <v>2</v>
      </c>
      <c r="H1449">
        <v>6</v>
      </c>
    </row>
    <row r="1450" spans="1:8" x14ac:dyDescent="0.3">
      <c r="A1450">
        <v>1449</v>
      </c>
      <c r="B1450">
        <v>330</v>
      </c>
      <c r="C1450" t="s">
        <v>5248</v>
      </c>
      <c r="D1450" s="1">
        <v>43177</v>
      </c>
      <c r="E1450" s="1">
        <v>43178</v>
      </c>
      <c r="F1450" s="1">
        <v>43179</v>
      </c>
      <c r="G1450">
        <v>2</v>
      </c>
      <c r="H1450">
        <v>7</v>
      </c>
    </row>
    <row r="1451" spans="1:8" x14ac:dyDescent="0.3">
      <c r="A1451">
        <v>1450</v>
      </c>
      <c r="B1451">
        <v>296</v>
      </c>
      <c r="C1451" t="s">
        <v>5248</v>
      </c>
      <c r="D1451" s="1">
        <v>43178</v>
      </c>
      <c r="E1451" s="1">
        <v>43179</v>
      </c>
      <c r="F1451" s="1">
        <v>43181</v>
      </c>
      <c r="G1451">
        <v>2</v>
      </c>
      <c r="H1451">
        <v>7</v>
      </c>
    </row>
    <row r="1452" spans="1:8" x14ac:dyDescent="0.3">
      <c r="A1452">
        <v>1451</v>
      </c>
      <c r="B1452">
        <v>822</v>
      </c>
      <c r="C1452" t="s">
        <v>5248</v>
      </c>
      <c r="D1452" s="1">
        <v>43178</v>
      </c>
      <c r="E1452" s="1">
        <v>43181</v>
      </c>
      <c r="F1452" s="1">
        <v>43179</v>
      </c>
      <c r="G1452">
        <v>2</v>
      </c>
      <c r="H1452">
        <v>6</v>
      </c>
    </row>
    <row r="1453" spans="1:8" x14ac:dyDescent="0.3">
      <c r="A1453">
        <v>1452</v>
      </c>
      <c r="B1453">
        <v>287</v>
      </c>
      <c r="C1453" t="s">
        <v>5248</v>
      </c>
      <c r="D1453" s="1">
        <v>43179</v>
      </c>
      <c r="E1453" s="1">
        <v>43182</v>
      </c>
      <c r="F1453" s="1">
        <v>43182</v>
      </c>
      <c r="G1453">
        <v>1</v>
      </c>
      <c r="H1453">
        <v>3</v>
      </c>
    </row>
    <row r="1454" spans="1:8" x14ac:dyDescent="0.3">
      <c r="A1454">
        <v>1453</v>
      </c>
      <c r="B1454">
        <v>601</v>
      </c>
      <c r="C1454" t="s">
        <v>5248</v>
      </c>
      <c r="D1454" s="1">
        <v>43179</v>
      </c>
      <c r="E1454" s="1">
        <v>43182</v>
      </c>
      <c r="F1454" s="1">
        <v>43181</v>
      </c>
      <c r="G1454">
        <v>1</v>
      </c>
      <c r="H1454">
        <v>3</v>
      </c>
    </row>
    <row r="1455" spans="1:8" x14ac:dyDescent="0.3">
      <c r="A1455">
        <v>1454</v>
      </c>
      <c r="B1455">
        <v>395</v>
      </c>
      <c r="C1455" t="s">
        <v>5248</v>
      </c>
      <c r="D1455" s="1">
        <v>43179</v>
      </c>
      <c r="E1455" s="1">
        <v>43180</v>
      </c>
      <c r="F1455" s="1">
        <v>43181</v>
      </c>
      <c r="G1455">
        <v>2</v>
      </c>
      <c r="H1455">
        <v>6</v>
      </c>
    </row>
    <row r="1456" spans="1:8" x14ac:dyDescent="0.3">
      <c r="A1456">
        <v>1455</v>
      </c>
      <c r="B1456">
        <v>405</v>
      </c>
      <c r="C1456" t="s">
        <v>5248</v>
      </c>
      <c r="D1456" s="1">
        <v>43179</v>
      </c>
      <c r="E1456" s="1">
        <v>43181</v>
      </c>
      <c r="F1456" s="1">
        <v>43180</v>
      </c>
      <c r="G1456">
        <v>2</v>
      </c>
      <c r="H1456">
        <v>6</v>
      </c>
    </row>
    <row r="1457" spans="1:8" x14ac:dyDescent="0.3">
      <c r="A1457">
        <v>1456</v>
      </c>
      <c r="B1457">
        <v>754</v>
      </c>
      <c r="C1457" t="s">
        <v>5248</v>
      </c>
      <c r="D1457" s="1">
        <v>43179</v>
      </c>
      <c r="E1457" s="1">
        <v>43180</v>
      </c>
      <c r="F1457" s="1">
        <v>43182</v>
      </c>
      <c r="G1457">
        <v>2</v>
      </c>
      <c r="H1457">
        <v>7</v>
      </c>
    </row>
    <row r="1458" spans="1:8" x14ac:dyDescent="0.3">
      <c r="A1458">
        <v>1457</v>
      </c>
      <c r="B1458">
        <v>1411</v>
      </c>
      <c r="C1458" t="s">
        <v>5248</v>
      </c>
      <c r="D1458" s="1">
        <v>43179</v>
      </c>
      <c r="E1458" s="1">
        <v>43182</v>
      </c>
      <c r="F1458" s="1">
        <v>43182</v>
      </c>
      <c r="G1458">
        <v>2</v>
      </c>
      <c r="H1458">
        <v>6</v>
      </c>
    </row>
    <row r="1459" spans="1:8" x14ac:dyDescent="0.3">
      <c r="A1459">
        <v>1458</v>
      </c>
      <c r="B1459">
        <v>1029</v>
      </c>
      <c r="C1459" t="s">
        <v>5248</v>
      </c>
      <c r="D1459" s="1">
        <v>43179</v>
      </c>
      <c r="E1459" s="1">
        <v>43181</v>
      </c>
      <c r="F1459" s="1">
        <v>43180</v>
      </c>
      <c r="G1459">
        <v>3</v>
      </c>
      <c r="H1459">
        <v>8</v>
      </c>
    </row>
    <row r="1460" spans="1:8" x14ac:dyDescent="0.3">
      <c r="A1460">
        <v>1459</v>
      </c>
      <c r="B1460">
        <v>9</v>
      </c>
      <c r="C1460" t="s">
        <v>5248</v>
      </c>
      <c r="D1460" s="1">
        <v>43180</v>
      </c>
      <c r="E1460" s="1">
        <v>43181</v>
      </c>
      <c r="F1460" s="1">
        <v>43181</v>
      </c>
      <c r="G1460">
        <v>2</v>
      </c>
      <c r="H1460">
        <v>7</v>
      </c>
    </row>
    <row r="1461" spans="1:8" x14ac:dyDescent="0.3">
      <c r="A1461">
        <v>1460</v>
      </c>
      <c r="B1461">
        <v>1131</v>
      </c>
      <c r="C1461" t="s">
        <v>5248</v>
      </c>
      <c r="D1461" s="1">
        <v>43180</v>
      </c>
      <c r="E1461" s="1">
        <v>43182</v>
      </c>
      <c r="F1461" s="1">
        <v>43182</v>
      </c>
      <c r="G1461">
        <v>2</v>
      </c>
      <c r="H1461">
        <v>7</v>
      </c>
    </row>
    <row r="1462" spans="1:8" x14ac:dyDescent="0.3">
      <c r="A1462">
        <v>1461</v>
      </c>
      <c r="B1462">
        <v>139</v>
      </c>
      <c r="C1462" t="s">
        <v>5248</v>
      </c>
      <c r="D1462" s="1">
        <v>43181</v>
      </c>
      <c r="E1462" s="1">
        <v>43184</v>
      </c>
      <c r="F1462" s="1">
        <v>43182</v>
      </c>
      <c r="G1462">
        <v>2</v>
      </c>
      <c r="H1462">
        <v>6</v>
      </c>
    </row>
    <row r="1463" spans="1:8" x14ac:dyDescent="0.3">
      <c r="A1463">
        <v>1462</v>
      </c>
      <c r="B1463">
        <v>1101</v>
      </c>
      <c r="C1463" t="s">
        <v>5248</v>
      </c>
      <c r="D1463" s="1">
        <v>43181</v>
      </c>
      <c r="E1463" s="1">
        <v>43183</v>
      </c>
      <c r="F1463" s="1">
        <v>43183</v>
      </c>
      <c r="G1463">
        <v>2</v>
      </c>
      <c r="H1463">
        <v>6</v>
      </c>
    </row>
    <row r="1464" spans="1:8" x14ac:dyDescent="0.3">
      <c r="A1464">
        <v>1463</v>
      </c>
      <c r="B1464">
        <v>692</v>
      </c>
      <c r="C1464" t="s">
        <v>5248</v>
      </c>
      <c r="D1464" s="1">
        <v>43182</v>
      </c>
      <c r="E1464" s="1">
        <v>43183</v>
      </c>
      <c r="F1464" s="1">
        <v>43183</v>
      </c>
      <c r="G1464">
        <v>2</v>
      </c>
      <c r="H1464">
        <v>7</v>
      </c>
    </row>
    <row r="1465" spans="1:8" x14ac:dyDescent="0.3">
      <c r="A1465">
        <v>1464</v>
      </c>
      <c r="B1465">
        <v>1279</v>
      </c>
      <c r="C1465" t="s">
        <v>5248</v>
      </c>
      <c r="D1465" s="1">
        <v>43183</v>
      </c>
      <c r="E1465" s="1">
        <v>43184</v>
      </c>
      <c r="F1465" s="1">
        <v>43184</v>
      </c>
      <c r="G1465">
        <v>2</v>
      </c>
      <c r="H1465">
        <v>7</v>
      </c>
    </row>
    <row r="1466" spans="1:8" x14ac:dyDescent="0.3">
      <c r="A1466">
        <v>1465</v>
      </c>
      <c r="B1466">
        <v>623</v>
      </c>
      <c r="C1466" t="s">
        <v>5248</v>
      </c>
      <c r="D1466" s="1">
        <v>43184</v>
      </c>
      <c r="E1466" s="1">
        <v>43187</v>
      </c>
      <c r="F1466" s="1">
        <v>43187</v>
      </c>
      <c r="G1466">
        <v>2</v>
      </c>
      <c r="H1466">
        <v>7</v>
      </c>
    </row>
    <row r="1467" spans="1:8" x14ac:dyDescent="0.3">
      <c r="A1467">
        <v>1466</v>
      </c>
      <c r="B1467">
        <v>738</v>
      </c>
      <c r="C1467" t="s">
        <v>5248</v>
      </c>
      <c r="D1467" s="1">
        <v>43185</v>
      </c>
      <c r="E1467" s="1">
        <v>43188</v>
      </c>
      <c r="F1467" s="1">
        <v>43187</v>
      </c>
      <c r="G1467">
        <v>1</v>
      </c>
      <c r="H1467">
        <v>3</v>
      </c>
    </row>
    <row r="1468" spans="1:8" x14ac:dyDescent="0.3">
      <c r="A1468">
        <v>1467</v>
      </c>
      <c r="B1468">
        <v>152</v>
      </c>
      <c r="C1468" t="s">
        <v>5248</v>
      </c>
      <c r="D1468" s="1">
        <v>43185</v>
      </c>
      <c r="E1468" s="1">
        <v>43186</v>
      </c>
      <c r="F1468" s="1">
        <v>43188</v>
      </c>
      <c r="G1468">
        <v>2</v>
      </c>
      <c r="H1468">
        <v>7</v>
      </c>
    </row>
    <row r="1469" spans="1:8" x14ac:dyDescent="0.3">
      <c r="A1469">
        <v>1468</v>
      </c>
      <c r="B1469">
        <v>3</v>
      </c>
      <c r="C1469" t="s">
        <v>5248</v>
      </c>
      <c r="D1469" s="1">
        <v>43186</v>
      </c>
      <c r="E1469" s="1">
        <v>43189</v>
      </c>
      <c r="F1469" s="1">
        <v>43188</v>
      </c>
      <c r="G1469">
        <v>1</v>
      </c>
      <c r="H1469">
        <v>2</v>
      </c>
    </row>
    <row r="1470" spans="1:8" x14ac:dyDescent="0.3">
      <c r="A1470">
        <v>1469</v>
      </c>
      <c r="B1470">
        <v>1135</v>
      </c>
      <c r="C1470" t="s">
        <v>5248</v>
      </c>
      <c r="D1470" s="1">
        <v>43186</v>
      </c>
      <c r="E1470" s="1">
        <v>43187</v>
      </c>
      <c r="F1470" s="1">
        <v>43189</v>
      </c>
      <c r="G1470">
        <v>3</v>
      </c>
      <c r="H1470">
        <v>8</v>
      </c>
    </row>
    <row r="1471" spans="1:8" x14ac:dyDescent="0.3">
      <c r="A1471">
        <v>1470</v>
      </c>
      <c r="B1471">
        <v>505</v>
      </c>
      <c r="C1471" t="s">
        <v>5248</v>
      </c>
      <c r="D1471" s="1">
        <v>43187</v>
      </c>
      <c r="E1471" s="1">
        <v>43190</v>
      </c>
      <c r="F1471" s="1">
        <v>43190</v>
      </c>
      <c r="G1471">
        <v>2</v>
      </c>
      <c r="H1471">
        <v>7</v>
      </c>
    </row>
    <row r="1472" spans="1:8" x14ac:dyDescent="0.3">
      <c r="A1472">
        <v>1471</v>
      </c>
      <c r="B1472">
        <v>1310</v>
      </c>
      <c r="C1472" t="s">
        <v>5248</v>
      </c>
      <c r="D1472" s="1">
        <v>43187</v>
      </c>
      <c r="E1472" s="1">
        <v>43189</v>
      </c>
      <c r="F1472" s="1">
        <v>43188</v>
      </c>
      <c r="G1472">
        <v>2</v>
      </c>
      <c r="H1472">
        <v>7</v>
      </c>
    </row>
    <row r="1473" spans="1:8" x14ac:dyDescent="0.3">
      <c r="A1473">
        <v>1472</v>
      </c>
      <c r="B1473">
        <v>114</v>
      </c>
      <c r="C1473" t="s">
        <v>5248</v>
      </c>
      <c r="D1473" s="1">
        <v>43188</v>
      </c>
      <c r="E1473" s="1">
        <v>43189</v>
      </c>
      <c r="F1473" s="1">
        <v>43190</v>
      </c>
      <c r="G1473">
        <v>2</v>
      </c>
      <c r="H1473">
        <v>6</v>
      </c>
    </row>
    <row r="1474" spans="1:8" x14ac:dyDescent="0.3">
      <c r="A1474">
        <v>1473</v>
      </c>
      <c r="B1474">
        <v>302</v>
      </c>
      <c r="C1474" t="s">
        <v>5248</v>
      </c>
      <c r="D1474" s="1">
        <v>43189</v>
      </c>
      <c r="E1474" s="1">
        <v>43191</v>
      </c>
      <c r="F1474" s="1">
        <v>43192</v>
      </c>
      <c r="G1474">
        <v>1</v>
      </c>
      <c r="H1474">
        <v>2</v>
      </c>
    </row>
    <row r="1475" spans="1:8" x14ac:dyDescent="0.3">
      <c r="A1475">
        <v>1474</v>
      </c>
      <c r="B1475">
        <v>816</v>
      </c>
      <c r="C1475" t="s">
        <v>5248</v>
      </c>
      <c r="D1475" s="1">
        <v>43189</v>
      </c>
      <c r="E1475" s="1">
        <v>43191</v>
      </c>
      <c r="F1475" s="1">
        <v>43192</v>
      </c>
      <c r="G1475">
        <v>1</v>
      </c>
      <c r="H1475">
        <v>3</v>
      </c>
    </row>
    <row r="1476" spans="1:8" x14ac:dyDescent="0.3">
      <c r="A1476">
        <v>1475</v>
      </c>
      <c r="B1476">
        <v>112</v>
      </c>
      <c r="C1476" t="s">
        <v>5248</v>
      </c>
      <c r="D1476" s="1">
        <v>43189</v>
      </c>
      <c r="E1476" s="1">
        <v>43191</v>
      </c>
      <c r="F1476" s="1">
        <v>43190</v>
      </c>
      <c r="G1476">
        <v>2</v>
      </c>
      <c r="H1476">
        <v>6</v>
      </c>
    </row>
    <row r="1477" spans="1:8" x14ac:dyDescent="0.3">
      <c r="A1477">
        <v>1476</v>
      </c>
      <c r="B1477">
        <v>35</v>
      </c>
      <c r="C1477" t="s">
        <v>5248</v>
      </c>
      <c r="D1477" s="1">
        <v>43190</v>
      </c>
      <c r="E1477" s="1">
        <v>43191</v>
      </c>
      <c r="F1477" s="1">
        <v>43191</v>
      </c>
      <c r="G1477">
        <v>2</v>
      </c>
      <c r="H1477">
        <v>7</v>
      </c>
    </row>
    <row r="1478" spans="1:8" x14ac:dyDescent="0.3">
      <c r="A1478">
        <v>1477</v>
      </c>
      <c r="B1478">
        <v>180</v>
      </c>
      <c r="C1478" t="s">
        <v>5248</v>
      </c>
      <c r="D1478" s="1">
        <v>43190</v>
      </c>
      <c r="E1478" s="1">
        <v>43193</v>
      </c>
      <c r="F1478" s="1">
        <v>43191</v>
      </c>
      <c r="G1478">
        <v>2</v>
      </c>
      <c r="H1478">
        <v>6</v>
      </c>
    </row>
    <row r="1479" spans="1:8" x14ac:dyDescent="0.3">
      <c r="A1479">
        <v>1478</v>
      </c>
      <c r="B1479">
        <v>392</v>
      </c>
      <c r="C1479" t="s">
        <v>5248</v>
      </c>
      <c r="D1479" s="1">
        <v>43190</v>
      </c>
      <c r="E1479" s="1">
        <v>43192</v>
      </c>
      <c r="F1479" s="1">
        <v>43192</v>
      </c>
      <c r="G1479">
        <v>2</v>
      </c>
      <c r="H1479">
        <v>6</v>
      </c>
    </row>
    <row r="1480" spans="1:8" x14ac:dyDescent="0.3">
      <c r="A1480">
        <v>1479</v>
      </c>
      <c r="B1480">
        <v>23</v>
      </c>
      <c r="C1480" t="s">
        <v>5250</v>
      </c>
      <c r="D1480" s="1">
        <v>43191</v>
      </c>
      <c r="E1480" s="1">
        <v>43191</v>
      </c>
      <c r="F1480" s="1">
        <v>43193</v>
      </c>
      <c r="G1480">
        <v>2</v>
      </c>
      <c r="H1480">
        <v>7</v>
      </c>
    </row>
    <row r="1481" spans="1:8" x14ac:dyDescent="0.3">
      <c r="A1481">
        <v>1480</v>
      </c>
      <c r="B1481">
        <v>27</v>
      </c>
      <c r="C1481" t="s">
        <v>5250</v>
      </c>
      <c r="D1481" s="1">
        <v>43191</v>
      </c>
      <c r="E1481" s="1">
        <v>43191</v>
      </c>
      <c r="F1481" s="1">
        <v>43193</v>
      </c>
      <c r="G1481">
        <v>2</v>
      </c>
      <c r="H1481">
        <v>7</v>
      </c>
    </row>
    <row r="1482" spans="1:8" x14ac:dyDescent="0.3">
      <c r="A1482">
        <v>1481</v>
      </c>
      <c r="B1482">
        <v>62</v>
      </c>
      <c r="C1482" t="s">
        <v>5251</v>
      </c>
      <c r="D1482" s="1">
        <v>43191</v>
      </c>
      <c r="E1482" s="1">
        <v>43191</v>
      </c>
      <c r="F1482" s="1"/>
      <c r="G1482">
        <v>2</v>
      </c>
      <c r="H1482">
        <v>6</v>
      </c>
    </row>
    <row r="1483" spans="1:8" x14ac:dyDescent="0.3">
      <c r="A1483">
        <v>1482</v>
      </c>
      <c r="B1483">
        <v>94</v>
      </c>
      <c r="C1483" t="s">
        <v>5251</v>
      </c>
      <c r="D1483" s="1">
        <v>43191</v>
      </c>
      <c r="E1483" s="1">
        <v>43191</v>
      </c>
      <c r="F1483" s="1"/>
      <c r="G1483">
        <v>2</v>
      </c>
      <c r="H1483">
        <v>7</v>
      </c>
    </row>
    <row r="1484" spans="1:8" x14ac:dyDescent="0.3">
      <c r="A1484">
        <v>1483</v>
      </c>
      <c r="B1484">
        <v>15</v>
      </c>
      <c r="C1484" t="s">
        <v>5251</v>
      </c>
      <c r="D1484" s="1">
        <v>43192</v>
      </c>
      <c r="E1484" s="1">
        <v>43192</v>
      </c>
      <c r="F1484" s="1"/>
      <c r="G1484">
        <v>2</v>
      </c>
      <c r="H1484">
        <v>7</v>
      </c>
    </row>
    <row r="1485" spans="1:8" x14ac:dyDescent="0.3">
      <c r="A1485">
        <v>1484</v>
      </c>
      <c r="B1485">
        <v>35</v>
      </c>
      <c r="C1485" t="s">
        <v>5250</v>
      </c>
      <c r="D1485" s="1">
        <v>43192</v>
      </c>
      <c r="E1485" s="1">
        <v>43192</v>
      </c>
      <c r="F1485" s="1">
        <v>43194</v>
      </c>
      <c r="G1485">
        <v>2</v>
      </c>
      <c r="H1485">
        <v>6</v>
      </c>
    </row>
    <row r="1486" spans="1:8" x14ac:dyDescent="0.3">
      <c r="A1486">
        <v>1485</v>
      </c>
      <c r="B1486">
        <v>51</v>
      </c>
      <c r="C1486" t="s">
        <v>5250</v>
      </c>
      <c r="D1486" s="1">
        <v>43192</v>
      </c>
      <c r="E1486" s="1">
        <v>43192</v>
      </c>
      <c r="F1486" s="1">
        <v>43194</v>
      </c>
      <c r="G1486">
        <v>2</v>
      </c>
      <c r="H1486">
        <v>7</v>
      </c>
    </row>
    <row r="1487" spans="1:8" x14ac:dyDescent="0.3">
      <c r="A1487">
        <v>1486</v>
      </c>
      <c r="B1487">
        <v>84</v>
      </c>
      <c r="C1487" t="s">
        <v>5250</v>
      </c>
      <c r="D1487" s="1">
        <v>43192</v>
      </c>
      <c r="E1487" s="1">
        <v>43192</v>
      </c>
      <c r="F1487" s="1">
        <v>43194</v>
      </c>
      <c r="G1487">
        <v>2</v>
      </c>
      <c r="H1487">
        <v>7</v>
      </c>
    </row>
    <row r="1488" spans="1:8" x14ac:dyDescent="0.3">
      <c r="A1488">
        <v>1487</v>
      </c>
      <c r="B1488">
        <v>33</v>
      </c>
      <c r="C1488" t="s">
        <v>5251</v>
      </c>
      <c r="D1488" s="1">
        <v>43193</v>
      </c>
      <c r="E1488" s="1">
        <v>43193</v>
      </c>
      <c r="F1488" s="1"/>
      <c r="G1488">
        <v>1</v>
      </c>
      <c r="H1488">
        <v>3</v>
      </c>
    </row>
    <row r="1489" spans="1:8" x14ac:dyDescent="0.3">
      <c r="A1489">
        <v>1488</v>
      </c>
      <c r="B1489">
        <v>181</v>
      </c>
      <c r="C1489" t="s">
        <v>5250</v>
      </c>
      <c r="D1489" s="1">
        <v>43193</v>
      </c>
      <c r="E1489" s="1">
        <v>43193</v>
      </c>
      <c r="F1489" s="1">
        <v>43195</v>
      </c>
      <c r="G1489">
        <v>1</v>
      </c>
      <c r="H1489">
        <v>3</v>
      </c>
    </row>
    <row r="1490" spans="1:8" x14ac:dyDescent="0.3">
      <c r="A1490">
        <v>1489</v>
      </c>
      <c r="B1490">
        <v>194</v>
      </c>
      <c r="C1490" t="s">
        <v>5251</v>
      </c>
      <c r="D1490" s="1">
        <v>43193</v>
      </c>
      <c r="E1490" s="1">
        <v>43193</v>
      </c>
      <c r="F1490" s="1"/>
      <c r="G1490">
        <v>1</v>
      </c>
      <c r="H1490">
        <v>3</v>
      </c>
    </row>
    <row r="1491" spans="1:8" x14ac:dyDescent="0.3">
      <c r="A1491">
        <v>1490</v>
      </c>
      <c r="B1491">
        <v>217</v>
      </c>
      <c r="C1491" t="s">
        <v>5250</v>
      </c>
      <c r="D1491" s="1">
        <v>43193</v>
      </c>
      <c r="E1491" s="1">
        <v>43193</v>
      </c>
      <c r="F1491" s="1">
        <v>43195</v>
      </c>
      <c r="G1491">
        <v>1</v>
      </c>
      <c r="H1491">
        <v>3</v>
      </c>
    </row>
    <row r="1492" spans="1:8" x14ac:dyDescent="0.3">
      <c r="A1492">
        <v>1491</v>
      </c>
      <c r="B1492">
        <v>82</v>
      </c>
      <c r="C1492" t="s">
        <v>5251</v>
      </c>
      <c r="D1492" s="1">
        <v>43194</v>
      </c>
      <c r="E1492" s="1">
        <v>43194</v>
      </c>
      <c r="F1492" s="1"/>
      <c r="G1492">
        <v>1</v>
      </c>
      <c r="H1492">
        <v>3</v>
      </c>
    </row>
    <row r="1493" spans="1:8" x14ac:dyDescent="0.3">
      <c r="A1493">
        <v>1492</v>
      </c>
      <c r="B1493">
        <v>41</v>
      </c>
      <c r="C1493" t="s">
        <v>5251</v>
      </c>
      <c r="D1493" s="1">
        <v>43194</v>
      </c>
      <c r="E1493" s="1">
        <v>43194</v>
      </c>
      <c r="F1493" s="1"/>
      <c r="G1493">
        <v>2</v>
      </c>
      <c r="H1493">
        <v>7</v>
      </c>
    </row>
    <row r="1494" spans="1:8" x14ac:dyDescent="0.3">
      <c r="A1494">
        <v>1493</v>
      </c>
      <c r="B1494">
        <v>64</v>
      </c>
      <c r="C1494" t="s">
        <v>5250</v>
      </c>
      <c r="D1494" s="1">
        <v>43194</v>
      </c>
      <c r="E1494" s="1">
        <v>43194</v>
      </c>
      <c r="F1494" s="1">
        <v>43196</v>
      </c>
      <c r="G1494">
        <v>3</v>
      </c>
      <c r="H1494">
        <v>8</v>
      </c>
    </row>
    <row r="1495" spans="1:8" x14ac:dyDescent="0.3">
      <c r="A1495">
        <v>1494</v>
      </c>
      <c r="B1495">
        <v>69</v>
      </c>
      <c r="C1495" t="s">
        <v>5250</v>
      </c>
      <c r="D1495" s="1">
        <v>43195</v>
      </c>
      <c r="E1495" s="1">
        <v>43195</v>
      </c>
      <c r="F1495" s="1">
        <v>43197</v>
      </c>
      <c r="G1495">
        <v>1</v>
      </c>
      <c r="H1495">
        <v>3</v>
      </c>
    </row>
    <row r="1496" spans="1:8" x14ac:dyDescent="0.3">
      <c r="A1496">
        <v>1495</v>
      </c>
      <c r="B1496">
        <v>86</v>
      </c>
      <c r="C1496" t="s">
        <v>5250</v>
      </c>
      <c r="D1496" s="1">
        <v>43195</v>
      </c>
      <c r="E1496" s="1">
        <v>43195</v>
      </c>
      <c r="F1496" s="1">
        <v>43197</v>
      </c>
      <c r="G1496">
        <v>2</v>
      </c>
      <c r="H1496">
        <v>7</v>
      </c>
    </row>
    <row r="1497" spans="1:8" x14ac:dyDescent="0.3">
      <c r="A1497">
        <v>1496</v>
      </c>
      <c r="B1497">
        <v>3</v>
      </c>
      <c r="C1497" t="s">
        <v>5251</v>
      </c>
      <c r="D1497" s="1">
        <v>43196</v>
      </c>
      <c r="E1497" s="1">
        <v>43196</v>
      </c>
      <c r="F1497" s="1"/>
      <c r="G1497">
        <v>1</v>
      </c>
      <c r="H1497">
        <v>3</v>
      </c>
    </row>
    <row r="1498" spans="1:8" x14ac:dyDescent="0.3">
      <c r="A1498">
        <v>1497</v>
      </c>
      <c r="B1498">
        <v>31</v>
      </c>
      <c r="C1498" t="s">
        <v>5250</v>
      </c>
      <c r="D1498" s="1">
        <v>43196</v>
      </c>
      <c r="E1498" s="1">
        <v>43196</v>
      </c>
      <c r="F1498" s="1">
        <v>43198</v>
      </c>
      <c r="G1498">
        <v>1</v>
      </c>
      <c r="H1498">
        <v>2</v>
      </c>
    </row>
    <row r="1499" spans="1:8" x14ac:dyDescent="0.3">
      <c r="A1499">
        <v>1498</v>
      </c>
      <c r="B1499">
        <v>81</v>
      </c>
      <c r="C1499" t="s">
        <v>5251</v>
      </c>
      <c r="D1499" s="1">
        <v>43196</v>
      </c>
      <c r="E1499" s="1">
        <v>43196</v>
      </c>
      <c r="F1499" s="1"/>
      <c r="G1499">
        <v>1</v>
      </c>
      <c r="H1499">
        <v>2</v>
      </c>
    </row>
    <row r="1500" spans="1:8" x14ac:dyDescent="0.3">
      <c r="A1500">
        <v>1499</v>
      </c>
      <c r="B1500">
        <v>120</v>
      </c>
      <c r="C1500" t="s">
        <v>5250</v>
      </c>
      <c r="D1500" s="1">
        <v>43196</v>
      </c>
      <c r="E1500" s="1">
        <v>43196</v>
      </c>
      <c r="F1500" s="1">
        <v>43198</v>
      </c>
      <c r="G1500">
        <v>1</v>
      </c>
      <c r="H1500">
        <v>2</v>
      </c>
    </row>
    <row r="1501" spans="1:8" x14ac:dyDescent="0.3">
      <c r="A1501">
        <v>1500</v>
      </c>
      <c r="B1501">
        <v>151</v>
      </c>
      <c r="C1501" t="s">
        <v>5250</v>
      </c>
      <c r="D1501" s="1">
        <v>43196</v>
      </c>
      <c r="E1501" s="1">
        <v>43196</v>
      </c>
      <c r="F1501" s="1">
        <v>43198</v>
      </c>
      <c r="G1501">
        <v>1</v>
      </c>
      <c r="H1501">
        <v>3</v>
      </c>
    </row>
    <row r="1502" spans="1:8" x14ac:dyDescent="0.3">
      <c r="A1502">
        <v>1501</v>
      </c>
      <c r="B1502">
        <v>52</v>
      </c>
      <c r="C1502" t="s">
        <v>5251</v>
      </c>
      <c r="D1502" s="1">
        <v>43196</v>
      </c>
      <c r="E1502" s="1">
        <v>43196</v>
      </c>
      <c r="F1502" s="1"/>
      <c r="G1502">
        <v>2</v>
      </c>
      <c r="H1502">
        <v>6</v>
      </c>
    </row>
    <row r="1503" spans="1:8" x14ac:dyDescent="0.3">
      <c r="A1503">
        <v>1502</v>
      </c>
      <c r="B1503">
        <v>83</v>
      </c>
      <c r="C1503" t="s">
        <v>5250</v>
      </c>
      <c r="D1503" s="1">
        <v>43196</v>
      </c>
      <c r="E1503" s="1">
        <v>43196</v>
      </c>
      <c r="F1503" s="1">
        <v>43198</v>
      </c>
      <c r="G1503">
        <v>2</v>
      </c>
      <c r="H1503">
        <v>6</v>
      </c>
    </row>
    <row r="1504" spans="1:8" x14ac:dyDescent="0.3">
      <c r="A1504">
        <v>1503</v>
      </c>
      <c r="B1504">
        <v>208</v>
      </c>
      <c r="C1504" t="s">
        <v>5250</v>
      </c>
      <c r="D1504" s="1">
        <v>43197</v>
      </c>
      <c r="E1504" s="1">
        <v>43197</v>
      </c>
      <c r="F1504" s="1">
        <v>43199</v>
      </c>
      <c r="G1504">
        <v>1</v>
      </c>
      <c r="H1504">
        <v>3</v>
      </c>
    </row>
    <row r="1505" spans="1:8" x14ac:dyDescent="0.3">
      <c r="A1505">
        <v>1504</v>
      </c>
      <c r="B1505">
        <v>237</v>
      </c>
      <c r="C1505" t="s">
        <v>5250</v>
      </c>
      <c r="D1505" s="1">
        <v>43198</v>
      </c>
      <c r="E1505" s="1">
        <v>43198</v>
      </c>
      <c r="F1505" s="1">
        <v>43200</v>
      </c>
      <c r="G1505">
        <v>1</v>
      </c>
      <c r="H1505">
        <v>2</v>
      </c>
    </row>
    <row r="1506" spans="1:8" x14ac:dyDescent="0.3">
      <c r="A1506">
        <v>1505</v>
      </c>
      <c r="B1506">
        <v>22</v>
      </c>
      <c r="C1506" t="s">
        <v>5251</v>
      </c>
      <c r="D1506" s="1">
        <v>43198</v>
      </c>
      <c r="E1506" s="1">
        <v>43198</v>
      </c>
      <c r="F1506" s="1"/>
      <c r="G1506">
        <v>2</v>
      </c>
      <c r="H1506">
        <v>7</v>
      </c>
    </row>
    <row r="1507" spans="1:8" x14ac:dyDescent="0.3">
      <c r="A1507">
        <v>1506</v>
      </c>
      <c r="B1507">
        <v>75</v>
      </c>
      <c r="C1507" t="s">
        <v>5251</v>
      </c>
      <c r="D1507" s="1">
        <v>43198</v>
      </c>
      <c r="E1507" s="1">
        <v>43198</v>
      </c>
      <c r="F1507" s="1"/>
      <c r="G1507">
        <v>2</v>
      </c>
      <c r="H1507">
        <v>7</v>
      </c>
    </row>
    <row r="1508" spans="1:8" x14ac:dyDescent="0.3">
      <c r="A1508">
        <v>1507</v>
      </c>
      <c r="B1508">
        <v>85</v>
      </c>
      <c r="C1508" t="s">
        <v>5250</v>
      </c>
      <c r="D1508" s="1">
        <v>43198</v>
      </c>
      <c r="E1508" s="1">
        <v>43198</v>
      </c>
      <c r="F1508" s="1">
        <v>43200</v>
      </c>
      <c r="G1508">
        <v>2</v>
      </c>
      <c r="H1508">
        <v>6</v>
      </c>
    </row>
    <row r="1509" spans="1:8" x14ac:dyDescent="0.3">
      <c r="A1509">
        <v>1508</v>
      </c>
      <c r="B1509">
        <v>92</v>
      </c>
      <c r="C1509" t="s">
        <v>5250</v>
      </c>
      <c r="D1509" s="1">
        <v>43198</v>
      </c>
      <c r="E1509" s="1">
        <v>43198</v>
      </c>
      <c r="F1509" s="1">
        <v>43200</v>
      </c>
      <c r="G1509">
        <v>2</v>
      </c>
      <c r="H1509">
        <v>6</v>
      </c>
    </row>
    <row r="1510" spans="1:8" x14ac:dyDescent="0.3">
      <c r="A1510">
        <v>1509</v>
      </c>
      <c r="B1510">
        <v>2</v>
      </c>
      <c r="C1510" t="s">
        <v>5251</v>
      </c>
      <c r="D1510" s="1">
        <v>43199</v>
      </c>
      <c r="E1510" s="1">
        <v>43199</v>
      </c>
      <c r="F1510" s="1"/>
      <c r="G1510">
        <v>1</v>
      </c>
      <c r="H1510">
        <v>3</v>
      </c>
    </row>
    <row r="1511" spans="1:8" x14ac:dyDescent="0.3">
      <c r="A1511">
        <v>1510</v>
      </c>
      <c r="B1511">
        <v>16</v>
      </c>
      <c r="C1511" t="s">
        <v>5250</v>
      </c>
      <c r="D1511" s="1">
        <v>43199</v>
      </c>
      <c r="E1511" s="1">
        <v>43199</v>
      </c>
      <c r="F1511" s="1">
        <v>43201</v>
      </c>
      <c r="G1511">
        <v>2</v>
      </c>
      <c r="H1511">
        <v>6</v>
      </c>
    </row>
    <row r="1512" spans="1:8" x14ac:dyDescent="0.3">
      <c r="A1512">
        <v>1511</v>
      </c>
      <c r="B1512">
        <v>25</v>
      </c>
      <c r="C1512" t="s">
        <v>5251</v>
      </c>
      <c r="D1512" s="1">
        <v>43199</v>
      </c>
      <c r="E1512" s="1">
        <v>43199</v>
      </c>
      <c r="F1512" s="1"/>
      <c r="G1512">
        <v>2</v>
      </c>
      <c r="H1512">
        <v>6</v>
      </c>
    </row>
    <row r="1513" spans="1:8" x14ac:dyDescent="0.3">
      <c r="A1513">
        <v>1512</v>
      </c>
      <c r="B1513">
        <v>68</v>
      </c>
      <c r="C1513" t="s">
        <v>5251</v>
      </c>
      <c r="D1513" s="1">
        <v>43199</v>
      </c>
      <c r="E1513" s="1">
        <v>43199</v>
      </c>
      <c r="F1513" s="1"/>
      <c r="G1513">
        <v>3</v>
      </c>
      <c r="H1513">
        <v>9</v>
      </c>
    </row>
    <row r="1514" spans="1:8" x14ac:dyDescent="0.3">
      <c r="A1514">
        <v>1513</v>
      </c>
      <c r="B1514">
        <v>32</v>
      </c>
      <c r="C1514" t="s">
        <v>5250</v>
      </c>
      <c r="D1514" s="1">
        <v>43200</v>
      </c>
      <c r="E1514" s="1">
        <v>43200</v>
      </c>
      <c r="F1514" s="1">
        <v>43202</v>
      </c>
      <c r="G1514">
        <v>1</v>
      </c>
      <c r="H1514">
        <v>2</v>
      </c>
    </row>
    <row r="1515" spans="1:8" x14ac:dyDescent="0.3">
      <c r="A1515">
        <v>1514</v>
      </c>
      <c r="B1515">
        <v>87</v>
      </c>
      <c r="C1515" t="s">
        <v>5250</v>
      </c>
      <c r="D1515" s="1">
        <v>43200</v>
      </c>
      <c r="E1515" s="1">
        <v>43200</v>
      </c>
      <c r="F1515" s="1">
        <v>43202</v>
      </c>
      <c r="G1515">
        <v>1</v>
      </c>
      <c r="H1515">
        <v>3</v>
      </c>
    </row>
    <row r="1516" spans="1:8" x14ac:dyDescent="0.3">
      <c r="A1516">
        <v>1515</v>
      </c>
      <c r="B1516">
        <v>61</v>
      </c>
      <c r="C1516" t="s">
        <v>5251</v>
      </c>
      <c r="D1516" s="1">
        <v>43200</v>
      </c>
      <c r="E1516" s="1">
        <v>43200</v>
      </c>
      <c r="F1516" s="1"/>
      <c r="G1516">
        <v>3</v>
      </c>
      <c r="H1516">
        <v>9</v>
      </c>
    </row>
    <row r="1517" spans="1:8" x14ac:dyDescent="0.3">
      <c r="A1517">
        <v>1516</v>
      </c>
      <c r="B1517">
        <v>47</v>
      </c>
      <c r="C1517" t="s">
        <v>5250</v>
      </c>
      <c r="D1517" s="1">
        <v>43201</v>
      </c>
      <c r="E1517" s="1">
        <v>43201</v>
      </c>
      <c r="F1517" s="1">
        <v>43203</v>
      </c>
      <c r="G1517">
        <v>1</v>
      </c>
      <c r="H1517">
        <v>3</v>
      </c>
    </row>
    <row r="1518" spans="1:8" x14ac:dyDescent="0.3">
      <c r="A1518">
        <v>1517</v>
      </c>
      <c r="B1518">
        <v>97</v>
      </c>
      <c r="C1518" t="s">
        <v>5251</v>
      </c>
      <c r="D1518" s="1">
        <v>43201</v>
      </c>
      <c r="E1518" s="1">
        <v>43201</v>
      </c>
      <c r="F1518" s="1"/>
      <c r="G1518">
        <v>1</v>
      </c>
      <c r="H1518">
        <v>2</v>
      </c>
    </row>
    <row r="1519" spans="1:8" x14ac:dyDescent="0.3">
      <c r="A1519">
        <v>1518</v>
      </c>
      <c r="B1519">
        <v>175</v>
      </c>
      <c r="C1519" t="s">
        <v>5251</v>
      </c>
      <c r="D1519" s="1">
        <v>43201</v>
      </c>
      <c r="E1519" s="1">
        <v>43201</v>
      </c>
      <c r="F1519" s="1"/>
      <c r="G1519">
        <v>1</v>
      </c>
      <c r="H1519">
        <v>2</v>
      </c>
    </row>
    <row r="1520" spans="1:8" x14ac:dyDescent="0.3">
      <c r="A1520">
        <v>1519</v>
      </c>
      <c r="B1520">
        <v>26</v>
      </c>
      <c r="C1520" t="s">
        <v>5250</v>
      </c>
      <c r="D1520" s="1">
        <v>43201</v>
      </c>
      <c r="E1520" s="1">
        <v>43201</v>
      </c>
      <c r="F1520" s="1">
        <v>43203</v>
      </c>
      <c r="G1520">
        <v>2</v>
      </c>
      <c r="H1520">
        <v>7</v>
      </c>
    </row>
    <row r="1521" spans="1:8" x14ac:dyDescent="0.3">
      <c r="A1521">
        <v>1520</v>
      </c>
      <c r="B1521">
        <v>66</v>
      </c>
      <c r="C1521" t="s">
        <v>5250</v>
      </c>
      <c r="D1521" s="1">
        <v>43201</v>
      </c>
      <c r="E1521" s="1">
        <v>43201</v>
      </c>
      <c r="F1521" s="1">
        <v>43203</v>
      </c>
      <c r="G1521">
        <v>3</v>
      </c>
      <c r="H1521">
        <v>8</v>
      </c>
    </row>
    <row r="1522" spans="1:8" x14ac:dyDescent="0.3">
      <c r="A1522">
        <v>1521</v>
      </c>
      <c r="B1522">
        <v>53</v>
      </c>
      <c r="C1522" t="s">
        <v>5251</v>
      </c>
      <c r="D1522" s="1">
        <v>43202</v>
      </c>
      <c r="E1522" s="1">
        <v>43202</v>
      </c>
      <c r="F1522" s="1"/>
      <c r="G1522">
        <v>1</v>
      </c>
      <c r="H1522">
        <v>3</v>
      </c>
    </row>
    <row r="1523" spans="1:8" x14ac:dyDescent="0.3">
      <c r="A1523">
        <v>1522</v>
      </c>
      <c r="B1523">
        <v>78</v>
      </c>
      <c r="C1523" t="s">
        <v>5251</v>
      </c>
      <c r="D1523" s="1">
        <v>43202</v>
      </c>
      <c r="E1523" s="1">
        <v>43202</v>
      </c>
      <c r="F1523" s="1"/>
      <c r="G1523">
        <v>1</v>
      </c>
      <c r="H1523">
        <v>3</v>
      </c>
    </row>
    <row r="1524" spans="1:8" x14ac:dyDescent="0.3">
      <c r="A1524">
        <v>1523</v>
      </c>
      <c r="B1524">
        <v>8</v>
      </c>
      <c r="C1524" t="s">
        <v>5251</v>
      </c>
      <c r="D1524" s="1">
        <v>43202</v>
      </c>
      <c r="E1524" s="1">
        <v>43202</v>
      </c>
      <c r="F1524" s="1"/>
      <c r="G1524">
        <v>2</v>
      </c>
      <c r="H1524">
        <v>7</v>
      </c>
    </row>
    <row r="1525" spans="1:8" x14ac:dyDescent="0.3">
      <c r="A1525">
        <v>1524</v>
      </c>
      <c r="B1525">
        <v>37</v>
      </c>
      <c r="C1525" t="s">
        <v>5251</v>
      </c>
      <c r="D1525" s="1">
        <v>43202</v>
      </c>
      <c r="E1525" s="1">
        <v>43202</v>
      </c>
      <c r="F1525" s="1"/>
      <c r="G1525">
        <v>2</v>
      </c>
      <c r="H1525">
        <v>6</v>
      </c>
    </row>
    <row r="1526" spans="1:8" x14ac:dyDescent="0.3">
      <c r="A1526">
        <v>1525</v>
      </c>
      <c r="B1526">
        <v>38</v>
      </c>
      <c r="C1526" t="s">
        <v>5250</v>
      </c>
      <c r="D1526" s="1">
        <v>43202</v>
      </c>
      <c r="E1526" s="1">
        <v>43202</v>
      </c>
      <c r="F1526" s="1">
        <v>43204</v>
      </c>
      <c r="G1526">
        <v>2</v>
      </c>
      <c r="H1526">
        <v>7</v>
      </c>
    </row>
    <row r="1527" spans="1:8" x14ac:dyDescent="0.3">
      <c r="A1527">
        <v>1526</v>
      </c>
      <c r="B1527">
        <v>59</v>
      </c>
      <c r="C1527" t="s">
        <v>5250</v>
      </c>
      <c r="D1527" s="1">
        <v>43202</v>
      </c>
      <c r="E1527" s="1">
        <v>43202</v>
      </c>
      <c r="F1527" s="1">
        <v>43204</v>
      </c>
      <c r="G1527">
        <v>2</v>
      </c>
      <c r="H1527">
        <v>7</v>
      </c>
    </row>
    <row r="1528" spans="1:8" x14ac:dyDescent="0.3">
      <c r="A1528">
        <v>1527</v>
      </c>
      <c r="B1528">
        <v>13</v>
      </c>
      <c r="C1528" t="s">
        <v>5250</v>
      </c>
      <c r="D1528" s="1">
        <v>43202</v>
      </c>
      <c r="E1528" s="1">
        <v>43202</v>
      </c>
      <c r="F1528" s="1">
        <v>43204</v>
      </c>
      <c r="G1528">
        <v>3</v>
      </c>
      <c r="H1528">
        <v>9</v>
      </c>
    </row>
    <row r="1529" spans="1:8" x14ac:dyDescent="0.3">
      <c r="A1529">
        <v>1528</v>
      </c>
      <c r="B1529">
        <v>20</v>
      </c>
      <c r="C1529" t="s">
        <v>5251</v>
      </c>
      <c r="D1529" s="1">
        <v>43202</v>
      </c>
      <c r="E1529" s="1">
        <v>43202</v>
      </c>
      <c r="F1529" s="1"/>
      <c r="G1529">
        <v>3</v>
      </c>
      <c r="H1529">
        <v>8</v>
      </c>
    </row>
    <row r="1530" spans="1:8" x14ac:dyDescent="0.3">
      <c r="A1530">
        <v>1529</v>
      </c>
      <c r="B1530">
        <v>50</v>
      </c>
      <c r="C1530" t="s">
        <v>5251</v>
      </c>
      <c r="D1530" s="1">
        <v>43202</v>
      </c>
      <c r="E1530" s="1">
        <v>43202</v>
      </c>
      <c r="F1530" s="1"/>
      <c r="G1530">
        <v>3</v>
      </c>
      <c r="H1530">
        <v>8</v>
      </c>
    </row>
    <row r="1531" spans="1:8" x14ac:dyDescent="0.3">
      <c r="A1531">
        <v>1530</v>
      </c>
      <c r="B1531">
        <v>110</v>
      </c>
      <c r="C1531" t="s">
        <v>5251</v>
      </c>
      <c r="D1531" s="1">
        <v>43203</v>
      </c>
      <c r="E1531" s="1">
        <v>43203</v>
      </c>
      <c r="F1531" s="1"/>
      <c r="G1531">
        <v>1</v>
      </c>
      <c r="H1531">
        <v>2</v>
      </c>
    </row>
    <row r="1532" spans="1:8" x14ac:dyDescent="0.3">
      <c r="A1532">
        <v>1531</v>
      </c>
      <c r="B1532">
        <v>233</v>
      </c>
      <c r="C1532" t="s">
        <v>5251</v>
      </c>
      <c r="D1532" s="1">
        <v>43203</v>
      </c>
      <c r="E1532" s="1">
        <v>43203</v>
      </c>
      <c r="F1532" s="1"/>
      <c r="G1532">
        <v>1</v>
      </c>
      <c r="H1532">
        <v>2</v>
      </c>
    </row>
    <row r="1533" spans="1:8" x14ac:dyDescent="0.3">
      <c r="A1533">
        <v>1532</v>
      </c>
      <c r="B1533">
        <v>7</v>
      </c>
      <c r="C1533" t="s">
        <v>5250</v>
      </c>
      <c r="D1533" s="1">
        <v>43203</v>
      </c>
      <c r="E1533" s="1">
        <v>43203</v>
      </c>
      <c r="F1533" s="1">
        <v>43205</v>
      </c>
      <c r="G1533">
        <v>2</v>
      </c>
      <c r="H1533">
        <v>7</v>
      </c>
    </row>
    <row r="1534" spans="1:8" x14ac:dyDescent="0.3">
      <c r="A1534">
        <v>1533</v>
      </c>
      <c r="B1534">
        <v>28</v>
      </c>
      <c r="C1534" t="s">
        <v>5250</v>
      </c>
      <c r="D1534" s="1">
        <v>43203</v>
      </c>
      <c r="E1534" s="1">
        <v>43203</v>
      </c>
      <c r="F1534" s="1">
        <v>43205</v>
      </c>
      <c r="G1534">
        <v>2</v>
      </c>
      <c r="H1534">
        <v>6</v>
      </c>
    </row>
    <row r="1535" spans="1:8" x14ac:dyDescent="0.3">
      <c r="A1535">
        <v>1534</v>
      </c>
      <c r="B1535">
        <v>18</v>
      </c>
      <c r="C1535" t="s">
        <v>5250</v>
      </c>
      <c r="D1535" s="1">
        <v>43204</v>
      </c>
      <c r="E1535" s="1">
        <v>43204</v>
      </c>
      <c r="F1535" s="1">
        <v>43206</v>
      </c>
      <c r="G1535">
        <v>2</v>
      </c>
      <c r="H1535">
        <v>7</v>
      </c>
    </row>
    <row r="1536" spans="1:8" x14ac:dyDescent="0.3">
      <c r="A1536">
        <v>1535</v>
      </c>
      <c r="B1536">
        <v>19</v>
      </c>
      <c r="C1536" t="s">
        <v>5250</v>
      </c>
      <c r="D1536" s="1">
        <v>43204</v>
      </c>
      <c r="E1536" s="1">
        <v>43204</v>
      </c>
      <c r="F1536" s="1">
        <v>43206</v>
      </c>
      <c r="G1536">
        <v>2</v>
      </c>
      <c r="H1536">
        <v>7</v>
      </c>
    </row>
    <row r="1537" spans="1:8" x14ac:dyDescent="0.3">
      <c r="A1537">
        <v>1536</v>
      </c>
      <c r="B1537">
        <v>34</v>
      </c>
      <c r="C1537" t="s">
        <v>5250</v>
      </c>
      <c r="D1537" s="1">
        <v>43204</v>
      </c>
      <c r="E1537" s="1">
        <v>43204</v>
      </c>
      <c r="F1537" s="1">
        <v>43206</v>
      </c>
      <c r="G1537">
        <v>2</v>
      </c>
      <c r="H1537">
        <v>7</v>
      </c>
    </row>
    <row r="1538" spans="1:8" x14ac:dyDescent="0.3">
      <c r="A1538">
        <v>1537</v>
      </c>
      <c r="B1538">
        <v>36</v>
      </c>
      <c r="C1538" t="s">
        <v>5251</v>
      </c>
      <c r="D1538" s="1">
        <v>43205</v>
      </c>
      <c r="E1538" s="1">
        <v>43205</v>
      </c>
      <c r="F1538" s="1"/>
      <c r="G1538">
        <v>2</v>
      </c>
      <c r="H1538">
        <v>6</v>
      </c>
    </row>
    <row r="1539" spans="1:8" x14ac:dyDescent="0.3">
      <c r="A1539">
        <v>1538</v>
      </c>
      <c r="B1539">
        <v>79</v>
      </c>
      <c r="C1539" t="s">
        <v>5250</v>
      </c>
      <c r="D1539" s="1">
        <v>43205</v>
      </c>
      <c r="E1539" s="1">
        <v>43205</v>
      </c>
      <c r="F1539" s="1">
        <v>43207</v>
      </c>
      <c r="G1539">
        <v>2</v>
      </c>
      <c r="H1539">
        <v>6</v>
      </c>
    </row>
    <row r="1540" spans="1:8" x14ac:dyDescent="0.3">
      <c r="A1540">
        <v>1539</v>
      </c>
      <c r="B1540">
        <v>116</v>
      </c>
      <c r="C1540" t="s">
        <v>5251</v>
      </c>
      <c r="D1540" s="1">
        <v>43205</v>
      </c>
      <c r="E1540" s="1">
        <v>43205</v>
      </c>
      <c r="F1540" s="1"/>
      <c r="G1540">
        <v>3</v>
      </c>
      <c r="H1540">
        <v>9</v>
      </c>
    </row>
    <row r="1541" spans="1:8" x14ac:dyDescent="0.3">
      <c r="A1541">
        <v>1540</v>
      </c>
      <c r="B1541">
        <v>187</v>
      </c>
      <c r="C1541" t="s">
        <v>5251</v>
      </c>
      <c r="D1541" s="1">
        <v>43206</v>
      </c>
      <c r="E1541" s="1">
        <v>43206</v>
      </c>
      <c r="F1541" s="1"/>
      <c r="G1541">
        <v>1</v>
      </c>
      <c r="H1541">
        <v>2</v>
      </c>
    </row>
    <row r="1542" spans="1:8" x14ac:dyDescent="0.3">
      <c r="A1542">
        <v>1541</v>
      </c>
      <c r="B1542">
        <v>10</v>
      </c>
      <c r="C1542" t="s">
        <v>5250</v>
      </c>
      <c r="D1542" s="1">
        <v>43206</v>
      </c>
      <c r="E1542" s="1">
        <v>43206</v>
      </c>
      <c r="F1542" s="1">
        <v>43208</v>
      </c>
      <c r="G1542">
        <v>2</v>
      </c>
      <c r="H1542">
        <v>7</v>
      </c>
    </row>
    <row r="1543" spans="1:8" x14ac:dyDescent="0.3">
      <c r="A1543">
        <v>1542</v>
      </c>
      <c r="B1543">
        <v>58</v>
      </c>
      <c r="C1543" t="s">
        <v>5250</v>
      </c>
      <c r="D1543" s="1">
        <v>43206</v>
      </c>
      <c r="E1543" s="1">
        <v>43206</v>
      </c>
      <c r="F1543" s="1">
        <v>43208</v>
      </c>
      <c r="G1543">
        <v>2</v>
      </c>
      <c r="H1543">
        <v>6</v>
      </c>
    </row>
    <row r="1544" spans="1:8" x14ac:dyDescent="0.3">
      <c r="A1544">
        <v>1543</v>
      </c>
      <c r="B1544">
        <v>76</v>
      </c>
      <c r="C1544" t="s">
        <v>5251</v>
      </c>
      <c r="D1544" s="1">
        <v>43206</v>
      </c>
      <c r="E1544" s="1">
        <v>43206</v>
      </c>
      <c r="F1544" s="1"/>
      <c r="G1544">
        <v>2</v>
      </c>
      <c r="H1544">
        <v>6</v>
      </c>
    </row>
    <row r="1545" spans="1:8" x14ac:dyDescent="0.3">
      <c r="A1545">
        <v>1544</v>
      </c>
      <c r="B1545">
        <v>5</v>
      </c>
      <c r="C1545" t="s">
        <v>5251</v>
      </c>
      <c r="D1545" s="1">
        <v>43207</v>
      </c>
      <c r="E1545" s="1">
        <v>43207</v>
      </c>
      <c r="F1545" s="1"/>
      <c r="G1545">
        <v>1</v>
      </c>
      <c r="H1545">
        <v>2</v>
      </c>
    </row>
    <row r="1546" spans="1:8" x14ac:dyDescent="0.3">
      <c r="A1546">
        <v>1545</v>
      </c>
      <c r="B1546">
        <v>67</v>
      </c>
      <c r="C1546" t="s">
        <v>5251</v>
      </c>
      <c r="D1546" s="1">
        <v>43207</v>
      </c>
      <c r="E1546" s="1">
        <v>43207</v>
      </c>
      <c r="F1546" s="1"/>
      <c r="G1546">
        <v>1</v>
      </c>
      <c r="H1546">
        <v>3</v>
      </c>
    </row>
    <row r="1547" spans="1:8" x14ac:dyDescent="0.3">
      <c r="A1547">
        <v>1546</v>
      </c>
      <c r="B1547">
        <v>91</v>
      </c>
      <c r="C1547" t="s">
        <v>5250</v>
      </c>
      <c r="D1547" s="1">
        <v>43207</v>
      </c>
      <c r="E1547" s="1">
        <v>43207</v>
      </c>
      <c r="F1547" s="1">
        <v>43209</v>
      </c>
      <c r="G1547">
        <v>1</v>
      </c>
      <c r="H1547">
        <v>3</v>
      </c>
    </row>
    <row r="1548" spans="1:8" x14ac:dyDescent="0.3">
      <c r="A1548">
        <v>1547</v>
      </c>
      <c r="B1548">
        <v>169</v>
      </c>
      <c r="C1548" t="s">
        <v>5251</v>
      </c>
      <c r="D1548" s="1">
        <v>43207</v>
      </c>
      <c r="E1548" s="1">
        <v>43207</v>
      </c>
      <c r="F1548" s="1"/>
      <c r="G1548">
        <v>1</v>
      </c>
      <c r="H1548">
        <v>3</v>
      </c>
    </row>
    <row r="1549" spans="1:8" x14ac:dyDescent="0.3">
      <c r="A1549">
        <v>1548</v>
      </c>
      <c r="B1549">
        <v>170</v>
      </c>
      <c r="C1549" t="s">
        <v>5251</v>
      </c>
      <c r="D1549" s="1">
        <v>43207</v>
      </c>
      <c r="E1549" s="1">
        <v>43207</v>
      </c>
      <c r="F1549" s="1"/>
      <c r="G1549">
        <v>1</v>
      </c>
      <c r="H1549">
        <v>2</v>
      </c>
    </row>
    <row r="1550" spans="1:8" x14ac:dyDescent="0.3">
      <c r="A1550">
        <v>1549</v>
      </c>
      <c r="B1550">
        <v>17</v>
      </c>
      <c r="C1550" t="s">
        <v>5251</v>
      </c>
      <c r="D1550" s="1">
        <v>43207</v>
      </c>
      <c r="E1550" s="1">
        <v>43207</v>
      </c>
      <c r="F1550" s="1"/>
      <c r="G1550">
        <v>2</v>
      </c>
      <c r="H1550">
        <v>7</v>
      </c>
    </row>
    <row r="1551" spans="1:8" x14ac:dyDescent="0.3">
      <c r="A1551">
        <v>1550</v>
      </c>
      <c r="B1551">
        <v>39</v>
      </c>
      <c r="C1551" t="s">
        <v>5251</v>
      </c>
      <c r="D1551" s="1">
        <v>43207</v>
      </c>
      <c r="E1551" s="1">
        <v>43207</v>
      </c>
      <c r="F1551" s="1"/>
      <c r="G1551">
        <v>2</v>
      </c>
      <c r="H1551">
        <v>6</v>
      </c>
    </row>
    <row r="1552" spans="1:8" x14ac:dyDescent="0.3">
      <c r="A1552">
        <v>1551</v>
      </c>
      <c r="B1552">
        <v>70</v>
      </c>
      <c r="C1552" t="s">
        <v>5251</v>
      </c>
      <c r="D1552" s="1">
        <v>43207</v>
      </c>
      <c r="E1552" s="1">
        <v>43207</v>
      </c>
      <c r="F1552" s="1"/>
      <c r="G1552">
        <v>2</v>
      </c>
      <c r="H1552">
        <v>7</v>
      </c>
    </row>
    <row r="1553" spans="1:8" x14ac:dyDescent="0.3">
      <c r="A1553">
        <v>1552</v>
      </c>
      <c r="B1553">
        <v>73</v>
      </c>
      <c r="C1553" t="s">
        <v>5251</v>
      </c>
      <c r="D1553" s="1">
        <v>43207</v>
      </c>
      <c r="E1553" s="1">
        <v>43207</v>
      </c>
      <c r="F1553" s="1"/>
      <c r="G1553">
        <v>2</v>
      </c>
      <c r="H1553">
        <v>7</v>
      </c>
    </row>
    <row r="1554" spans="1:8" x14ac:dyDescent="0.3">
      <c r="A1554">
        <v>1553</v>
      </c>
      <c r="B1554">
        <v>30</v>
      </c>
      <c r="C1554" t="s">
        <v>5250</v>
      </c>
      <c r="D1554" s="1">
        <v>43208</v>
      </c>
      <c r="E1554" s="1">
        <v>43208</v>
      </c>
      <c r="F1554" s="1">
        <v>43210</v>
      </c>
      <c r="G1554">
        <v>1</v>
      </c>
      <c r="H1554">
        <v>3</v>
      </c>
    </row>
    <row r="1555" spans="1:8" x14ac:dyDescent="0.3">
      <c r="A1555">
        <v>1554</v>
      </c>
      <c r="B1555">
        <v>172</v>
      </c>
      <c r="C1555" t="s">
        <v>5251</v>
      </c>
      <c r="D1555" s="1">
        <v>43208</v>
      </c>
      <c r="E1555" s="1">
        <v>43208</v>
      </c>
      <c r="F1555" s="1"/>
      <c r="G1555">
        <v>1</v>
      </c>
      <c r="H1555">
        <v>3</v>
      </c>
    </row>
    <row r="1556" spans="1:8" x14ac:dyDescent="0.3">
      <c r="A1556">
        <v>1555</v>
      </c>
      <c r="B1556">
        <v>1</v>
      </c>
      <c r="C1556" t="s">
        <v>5251</v>
      </c>
      <c r="D1556" s="1">
        <v>43208</v>
      </c>
      <c r="E1556" s="1">
        <v>43208</v>
      </c>
      <c r="F1556" s="1"/>
      <c r="G1556">
        <v>2</v>
      </c>
      <c r="H1556">
        <v>7</v>
      </c>
    </row>
    <row r="1557" spans="1:8" x14ac:dyDescent="0.3">
      <c r="A1557">
        <v>1556</v>
      </c>
      <c r="B1557">
        <v>4</v>
      </c>
      <c r="C1557" t="s">
        <v>5250</v>
      </c>
      <c r="D1557" s="1">
        <v>43208</v>
      </c>
      <c r="E1557" s="1">
        <v>43208</v>
      </c>
      <c r="F1557" s="1">
        <v>43210</v>
      </c>
      <c r="G1557">
        <v>2</v>
      </c>
      <c r="H1557">
        <v>6</v>
      </c>
    </row>
    <row r="1558" spans="1:8" x14ac:dyDescent="0.3">
      <c r="A1558">
        <v>1557</v>
      </c>
      <c r="B1558">
        <v>121</v>
      </c>
      <c r="C1558" t="s">
        <v>5250</v>
      </c>
      <c r="D1558" s="1">
        <v>43209</v>
      </c>
      <c r="E1558" s="1">
        <v>43209</v>
      </c>
      <c r="F1558" s="1">
        <v>43211</v>
      </c>
      <c r="G1558">
        <v>1</v>
      </c>
      <c r="H1558">
        <v>3</v>
      </c>
    </row>
    <row r="1559" spans="1:8" x14ac:dyDescent="0.3">
      <c r="A1559">
        <v>1558</v>
      </c>
      <c r="B1559">
        <v>63</v>
      </c>
      <c r="C1559" t="s">
        <v>5251</v>
      </c>
      <c r="D1559" s="1">
        <v>43209</v>
      </c>
      <c r="E1559" s="1">
        <v>43209</v>
      </c>
      <c r="F1559" s="1"/>
      <c r="G1559">
        <v>2</v>
      </c>
      <c r="H1559">
        <v>6</v>
      </c>
    </row>
    <row r="1560" spans="1:8" x14ac:dyDescent="0.3">
      <c r="A1560">
        <v>1559</v>
      </c>
      <c r="B1560">
        <v>42</v>
      </c>
      <c r="C1560" t="s">
        <v>5250</v>
      </c>
      <c r="D1560" s="1">
        <v>43210</v>
      </c>
      <c r="E1560" s="1">
        <v>43210</v>
      </c>
      <c r="F1560" s="1">
        <v>43212</v>
      </c>
      <c r="G1560">
        <v>2</v>
      </c>
      <c r="H1560">
        <v>6</v>
      </c>
    </row>
    <row r="1561" spans="1:8" x14ac:dyDescent="0.3">
      <c r="A1561">
        <v>1560</v>
      </c>
      <c r="B1561">
        <v>57</v>
      </c>
      <c r="C1561" t="s">
        <v>5251</v>
      </c>
      <c r="D1561" s="1">
        <v>43210</v>
      </c>
      <c r="E1561" s="1">
        <v>43210</v>
      </c>
      <c r="F1561" s="1"/>
      <c r="G1561">
        <v>2</v>
      </c>
      <c r="H1561">
        <v>7</v>
      </c>
    </row>
    <row r="1562" spans="1:8" x14ac:dyDescent="0.3">
      <c r="A1562">
        <v>1561</v>
      </c>
      <c r="B1562">
        <v>65</v>
      </c>
      <c r="C1562" t="s">
        <v>5250</v>
      </c>
      <c r="D1562" s="1">
        <v>43210</v>
      </c>
      <c r="E1562" s="1">
        <v>43210</v>
      </c>
      <c r="F1562" s="1">
        <v>43212</v>
      </c>
      <c r="G1562">
        <v>2</v>
      </c>
      <c r="H1562">
        <v>7</v>
      </c>
    </row>
    <row r="1563" spans="1:8" x14ac:dyDescent="0.3">
      <c r="A1563">
        <v>1562</v>
      </c>
      <c r="B1563">
        <v>88</v>
      </c>
      <c r="C1563" t="s">
        <v>5251</v>
      </c>
      <c r="D1563" s="1">
        <v>43210</v>
      </c>
      <c r="E1563" s="1">
        <v>43210</v>
      </c>
      <c r="F1563" s="1"/>
      <c r="G1563">
        <v>2</v>
      </c>
      <c r="H1563">
        <v>7</v>
      </c>
    </row>
    <row r="1564" spans="1:8" x14ac:dyDescent="0.3">
      <c r="A1564">
        <v>1563</v>
      </c>
      <c r="B1564">
        <v>77</v>
      </c>
      <c r="C1564" t="s">
        <v>5250</v>
      </c>
      <c r="D1564" s="1">
        <v>43210</v>
      </c>
      <c r="E1564" s="1">
        <v>43210</v>
      </c>
      <c r="F1564" s="1">
        <v>43212</v>
      </c>
      <c r="G1564">
        <v>3</v>
      </c>
      <c r="H1564">
        <v>9</v>
      </c>
    </row>
    <row r="1565" spans="1:8" x14ac:dyDescent="0.3">
      <c r="A1565">
        <v>1564</v>
      </c>
      <c r="B1565">
        <v>46</v>
      </c>
      <c r="C1565" t="s">
        <v>5251</v>
      </c>
      <c r="D1565" s="1">
        <v>43211</v>
      </c>
      <c r="E1565" s="1">
        <v>43211</v>
      </c>
      <c r="F1565" s="1"/>
      <c r="G1565">
        <v>1</v>
      </c>
      <c r="H1565">
        <v>3</v>
      </c>
    </row>
    <row r="1566" spans="1:8" x14ac:dyDescent="0.3">
      <c r="A1566">
        <v>1565</v>
      </c>
      <c r="B1566">
        <v>60</v>
      </c>
      <c r="C1566" t="s">
        <v>5250</v>
      </c>
      <c r="D1566" s="1">
        <v>43211</v>
      </c>
      <c r="E1566" s="1">
        <v>43211</v>
      </c>
      <c r="F1566" s="1">
        <v>43213</v>
      </c>
      <c r="G1566">
        <v>1</v>
      </c>
      <c r="H1566">
        <v>2</v>
      </c>
    </row>
    <row r="1567" spans="1:8" x14ac:dyDescent="0.3">
      <c r="A1567">
        <v>1566</v>
      </c>
      <c r="B1567">
        <v>72</v>
      </c>
      <c r="C1567" t="s">
        <v>5251</v>
      </c>
      <c r="D1567" s="1">
        <v>43211</v>
      </c>
      <c r="E1567" s="1">
        <v>43211</v>
      </c>
      <c r="F1567" s="1"/>
      <c r="G1567">
        <v>1</v>
      </c>
      <c r="H1567">
        <v>3</v>
      </c>
    </row>
    <row r="1568" spans="1:8" x14ac:dyDescent="0.3">
      <c r="A1568">
        <v>1567</v>
      </c>
      <c r="B1568">
        <v>89</v>
      </c>
      <c r="C1568" t="s">
        <v>5250</v>
      </c>
      <c r="D1568" s="1">
        <v>43211</v>
      </c>
      <c r="E1568" s="1">
        <v>43211</v>
      </c>
      <c r="F1568" s="1">
        <v>43213</v>
      </c>
      <c r="G1568">
        <v>1</v>
      </c>
      <c r="H1568">
        <v>2</v>
      </c>
    </row>
    <row r="1569" spans="1:8" x14ac:dyDescent="0.3">
      <c r="A1569">
        <v>1568</v>
      </c>
      <c r="B1569">
        <v>192</v>
      </c>
      <c r="C1569" t="s">
        <v>5250</v>
      </c>
      <c r="D1569" s="1">
        <v>43211</v>
      </c>
      <c r="E1569" s="1">
        <v>43211</v>
      </c>
      <c r="F1569" s="1">
        <v>43213</v>
      </c>
      <c r="G1569">
        <v>1</v>
      </c>
      <c r="H1569">
        <v>3</v>
      </c>
    </row>
    <row r="1570" spans="1:8" x14ac:dyDescent="0.3">
      <c r="A1570">
        <v>1569</v>
      </c>
      <c r="B1570">
        <v>29</v>
      </c>
      <c r="C1570" t="s">
        <v>5250</v>
      </c>
      <c r="D1570" s="1">
        <v>43212</v>
      </c>
      <c r="E1570" s="1">
        <v>43212</v>
      </c>
      <c r="F1570" s="1">
        <v>43214</v>
      </c>
      <c r="G1570">
        <v>2</v>
      </c>
      <c r="H1570">
        <v>7</v>
      </c>
    </row>
    <row r="1571" spans="1:8" x14ac:dyDescent="0.3">
      <c r="A1571">
        <v>1570</v>
      </c>
      <c r="B1571">
        <v>54</v>
      </c>
      <c r="C1571" t="s">
        <v>5250</v>
      </c>
      <c r="D1571" s="1">
        <v>43212</v>
      </c>
      <c r="E1571" s="1">
        <v>43212</v>
      </c>
      <c r="F1571" s="1">
        <v>43214</v>
      </c>
      <c r="G1571">
        <v>2</v>
      </c>
      <c r="H1571">
        <v>7</v>
      </c>
    </row>
    <row r="1572" spans="1:8" x14ac:dyDescent="0.3">
      <c r="A1572">
        <v>1571</v>
      </c>
      <c r="B1572">
        <v>80</v>
      </c>
      <c r="C1572" t="s">
        <v>5251</v>
      </c>
      <c r="D1572" s="1">
        <v>43212</v>
      </c>
      <c r="E1572" s="1">
        <v>43212</v>
      </c>
      <c r="F1572" s="1"/>
      <c r="G1572">
        <v>2</v>
      </c>
      <c r="H1572">
        <v>7</v>
      </c>
    </row>
    <row r="1573" spans="1:8" x14ac:dyDescent="0.3">
      <c r="A1573">
        <v>1572</v>
      </c>
      <c r="B1573">
        <v>14</v>
      </c>
      <c r="C1573" t="s">
        <v>5251</v>
      </c>
      <c r="D1573" s="1">
        <v>43212</v>
      </c>
      <c r="E1573" s="1">
        <v>43212</v>
      </c>
      <c r="F1573" s="1"/>
      <c r="G1573">
        <v>3</v>
      </c>
      <c r="H1573">
        <v>9</v>
      </c>
    </row>
    <row r="1574" spans="1:8" x14ac:dyDescent="0.3">
      <c r="A1574">
        <v>1573</v>
      </c>
      <c r="B1574">
        <v>24</v>
      </c>
      <c r="C1574" t="s">
        <v>5250</v>
      </c>
      <c r="D1574" s="1">
        <v>43213</v>
      </c>
      <c r="E1574" s="1">
        <v>43213</v>
      </c>
      <c r="F1574" s="1">
        <v>43215</v>
      </c>
      <c r="G1574">
        <v>1</v>
      </c>
      <c r="H1574">
        <v>2</v>
      </c>
    </row>
    <row r="1575" spans="1:8" x14ac:dyDescent="0.3">
      <c r="A1575">
        <v>1574</v>
      </c>
      <c r="B1575">
        <v>124</v>
      </c>
      <c r="C1575" t="s">
        <v>5251</v>
      </c>
      <c r="D1575" s="1">
        <v>43213</v>
      </c>
      <c r="E1575" s="1">
        <v>43213</v>
      </c>
      <c r="F1575" s="1"/>
      <c r="G1575">
        <v>1</v>
      </c>
      <c r="H1575">
        <v>2</v>
      </c>
    </row>
    <row r="1576" spans="1:8" x14ac:dyDescent="0.3">
      <c r="A1576">
        <v>1575</v>
      </c>
      <c r="B1576">
        <v>224</v>
      </c>
      <c r="C1576" t="s">
        <v>5250</v>
      </c>
      <c r="D1576" s="1">
        <v>43213</v>
      </c>
      <c r="E1576" s="1">
        <v>43213</v>
      </c>
      <c r="F1576" s="1">
        <v>43215</v>
      </c>
      <c r="G1576">
        <v>1</v>
      </c>
      <c r="H1576">
        <v>3</v>
      </c>
    </row>
    <row r="1577" spans="1:8" x14ac:dyDescent="0.3">
      <c r="A1577">
        <v>1576</v>
      </c>
      <c r="B1577">
        <v>12</v>
      </c>
      <c r="C1577" t="s">
        <v>5250</v>
      </c>
      <c r="D1577" s="1">
        <v>43213</v>
      </c>
      <c r="E1577" s="1">
        <v>43213</v>
      </c>
      <c r="F1577" s="1">
        <v>43215</v>
      </c>
      <c r="G1577">
        <v>2</v>
      </c>
      <c r="H1577">
        <v>7</v>
      </c>
    </row>
    <row r="1578" spans="1:8" x14ac:dyDescent="0.3">
      <c r="A1578">
        <v>1577</v>
      </c>
      <c r="B1578">
        <v>48</v>
      </c>
      <c r="C1578" t="s">
        <v>5251</v>
      </c>
      <c r="D1578" s="1">
        <v>43213</v>
      </c>
      <c r="E1578" s="1">
        <v>43213</v>
      </c>
      <c r="F1578" s="1"/>
      <c r="G1578">
        <v>2</v>
      </c>
      <c r="H1578">
        <v>7</v>
      </c>
    </row>
    <row r="1579" spans="1:8" x14ac:dyDescent="0.3">
      <c r="A1579">
        <v>1578</v>
      </c>
      <c r="B1579">
        <v>93</v>
      </c>
      <c r="C1579" t="s">
        <v>5250</v>
      </c>
      <c r="D1579" s="1">
        <v>43213</v>
      </c>
      <c r="E1579" s="1">
        <v>43213</v>
      </c>
      <c r="F1579" s="1">
        <v>43215</v>
      </c>
      <c r="G1579">
        <v>2</v>
      </c>
      <c r="H1579">
        <v>7</v>
      </c>
    </row>
    <row r="1580" spans="1:8" x14ac:dyDescent="0.3">
      <c r="A1580">
        <v>1579</v>
      </c>
      <c r="B1580">
        <v>104</v>
      </c>
      <c r="C1580" t="s">
        <v>5250</v>
      </c>
      <c r="D1580" s="1">
        <v>43214</v>
      </c>
      <c r="E1580" s="1">
        <v>43214</v>
      </c>
      <c r="F1580" s="1">
        <v>43216</v>
      </c>
      <c r="G1580">
        <v>1</v>
      </c>
      <c r="H1580">
        <v>2</v>
      </c>
    </row>
    <row r="1581" spans="1:8" x14ac:dyDescent="0.3">
      <c r="A1581">
        <v>1580</v>
      </c>
      <c r="B1581">
        <v>191</v>
      </c>
      <c r="C1581" t="s">
        <v>5250</v>
      </c>
      <c r="D1581" s="1">
        <v>43214</v>
      </c>
      <c r="E1581" s="1">
        <v>43214</v>
      </c>
      <c r="F1581" s="1">
        <v>43216</v>
      </c>
      <c r="G1581">
        <v>1</v>
      </c>
      <c r="H1581">
        <v>2</v>
      </c>
    </row>
    <row r="1582" spans="1:8" x14ac:dyDescent="0.3">
      <c r="A1582">
        <v>1581</v>
      </c>
      <c r="B1582">
        <v>188</v>
      </c>
      <c r="C1582" t="s">
        <v>5250</v>
      </c>
      <c r="D1582" s="1">
        <v>43215</v>
      </c>
      <c r="E1582" s="1">
        <v>43215</v>
      </c>
      <c r="F1582" s="1">
        <v>43217</v>
      </c>
      <c r="G1582">
        <v>1</v>
      </c>
      <c r="H1582">
        <v>2</v>
      </c>
    </row>
    <row r="1583" spans="1:8" x14ac:dyDescent="0.3">
      <c r="A1583">
        <v>1582</v>
      </c>
      <c r="B1583">
        <v>240</v>
      </c>
      <c r="C1583" t="s">
        <v>5251</v>
      </c>
      <c r="D1583" s="1">
        <v>43215</v>
      </c>
      <c r="E1583" s="1">
        <v>43215</v>
      </c>
      <c r="F1583" s="1"/>
      <c r="G1583">
        <v>1</v>
      </c>
      <c r="H1583">
        <v>3</v>
      </c>
    </row>
    <row r="1584" spans="1:8" x14ac:dyDescent="0.3">
      <c r="A1584">
        <v>1583</v>
      </c>
      <c r="B1584">
        <v>44</v>
      </c>
      <c r="C1584" t="s">
        <v>5251</v>
      </c>
      <c r="D1584" s="1">
        <v>43215</v>
      </c>
      <c r="E1584" s="1">
        <v>43215</v>
      </c>
      <c r="F1584" s="1"/>
      <c r="G1584">
        <v>2</v>
      </c>
      <c r="H1584">
        <v>6</v>
      </c>
    </row>
    <row r="1585" spans="1:8" x14ac:dyDescent="0.3">
      <c r="A1585">
        <v>1584</v>
      </c>
      <c r="B1585">
        <v>109</v>
      </c>
      <c r="C1585" t="s">
        <v>5250</v>
      </c>
      <c r="D1585" s="1">
        <v>43216</v>
      </c>
      <c r="E1585" s="1">
        <v>43216</v>
      </c>
      <c r="F1585" s="1">
        <v>43218</v>
      </c>
      <c r="G1585">
        <v>1</v>
      </c>
      <c r="H1585">
        <v>3</v>
      </c>
    </row>
    <row r="1586" spans="1:8" x14ac:dyDescent="0.3">
      <c r="A1586">
        <v>1585</v>
      </c>
      <c r="B1586">
        <v>157</v>
      </c>
      <c r="C1586" t="s">
        <v>5251</v>
      </c>
      <c r="D1586" s="1">
        <v>43216</v>
      </c>
      <c r="E1586" s="1">
        <v>43216</v>
      </c>
      <c r="F1586" s="1"/>
      <c r="G1586">
        <v>1</v>
      </c>
      <c r="H1586">
        <v>3</v>
      </c>
    </row>
    <row r="1587" spans="1:8" x14ac:dyDescent="0.3">
      <c r="A1587">
        <v>1586</v>
      </c>
      <c r="B1587">
        <v>176</v>
      </c>
      <c r="C1587" t="s">
        <v>5251</v>
      </c>
      <c r="D1587" s="1">
        <v>43216</v>
      </c>
      <c r="E1587" s="1">
        <v>43216</v>
      </c>
      <c r="F1587" s="1"/>
      <c r="G1587">
        <v>1</v>
      </c>
      <c r="H1587">
        <v>2</v>
      </c>
    </row>
    <row r="1588" spans="1:8" x14ac:dyDescent="0.3">
      <c r="A1588">
        <v>1587</v>
      </c>
      <c r="B1588">
        <v>231</v>
      </c>
      <c r="C1588" t="s">
        <v>5250</v>
      </c>
      <c r="D1588" s="1">
        <v>43216</v>
      </c>
      <c r="E1588" s="1">
        <v>43216</v>
      </c>
      <c r="F1588" s="1">
        <v>43218</v>
      </c>
      <c r="G1588">
        <v>1</v>
      </c>
      <c r="H1588">
        <v>2</v>
      </c>
    </row>
    <row r="1589" spans="1:8" x14ac:dyDescent="0.3">
      <c r="A1589">
        <v>1588</v>
      </c>
      <c r="B1589">
        <v>11</v>
      </c>
      <c r="C1589" t="s">
        <v>5251</v>
      </c>
      <c r="D1589" s="1">
        <v>43216</v>
      </c>
      <c r="E1589" s="1">
        <v>43216</v>
      </c>
      <c r="F1589" s="1"/>
      <c r="G1589">
        <v>2</v>
      </c>
      <c r="H1589">
        <v>6</v>
      </c>
    </row>
    <row r="1590" spans="1:8" x14ac:dyDescent="0.3">
      <c r="A1590">
        <v>1589</v>
      </c>
      <c r="B1590">
        <v>40</v>
      </c>
      <c r="C1590" t="s">
        <v>5250</v>
      </c>
      <c r="D1590" s="1">
        <v>43217</v>
      </c>
      <c r="E1590" s="1">
        <v>43217</v>
      </c>
      <c r="F1590" s="1">
        <v>43219</v>
      </c>
      <c r="G1590">
        <v>1</v>
      </c>
      <c r="H1590">
        <v>3</v>
      </c>
    </row>
    <row r="1591" spans="1:8" x14ac:dyDescent="0.3">
      <c r="A1591">
        <v>1590</v>
      </c>
      <c r="B1591">
        <v>138</v>
      </c>
      <c r="C1591" t="s">
        <v>5251</v>
      </c>
      <c r="D1591" s="1">
        <v>43217</v>
      </c>
      <c r="E1591" s="1">
        <v>43217</v>
      </c>
      <c r="F1591" s="1"/>
      <c r="G1591">
        <v>1</v>
      </c>
      <c r="H1591">
        <v>3</v>
      </c>
    </row>
    <row r="1592" spans="1:8" x14ac:dyDescent="0.3">
      <c r="A1592">
        <v>1591</v>
      </c>
      <c r="B1592">
        <v>165</v>
      </c>
      <c r="C1592" t="s">
        <v>5250</v>
      </c>
      <c r="D1592" s="1">
        <v>43217</v>
      </c>
      <c r="E1592" s="1">
        <v>43217</v>
      </c>
      <c r="F1592" s="1">
        <v>43219</v>
      </c>
      <c r="G1592">
        <v>1</v>
      </c>
      <c r="H1592">
        <v>2</v>
      </c>
    </row>
    <row r="1593" spans="1:8" x14ac:dyDescent="0.3">
      <c r="A1593">
        <v>1592</v>
      </c>
      <c r="B1593">
        <v>6</v>
      </c>
      <c r="C1593" t="s">
        <v>5250</v>
      </c>
      <c r="D1593" s="1">
        <v>43217</v>
      </c>
      <c r="E1593" s="1">
        <v>43217</v>
      </c>
      <c r="F1593" s="1">
        <v>43219</v>
      </c>
      <c r="G1593">
        <v>2</v>
      </c>
      <c r="H1593">
        <v>7</v>
      </c>
    </row>
    <row r="1594" spans="1:8" x14ac:dyDescent="0.3">
      <c r="A1594">
        <v>1593</v>
      </c>
      <c r="B1594">
        <v>9</v>
      </c>
      <c r="C1594" t="s">
        <v>5251</v>
      </c>
      <c r="D1594" s="1">
        <v>43217</v>
      </c>
      <c r="E1594" s="1">
        <v>43217</v>
      </c>
      <c r="F1594" s="1"/>
      <c r="G1594">
        <v>2</v>
      </c>
      <c r="H1594">
        <v>6</v>
      </c>
    </row>
    <row r="1595" spans="1:8" x14ac:dyDescent="0.3">
      <c r="A1595">
        <v>1594</v>
      </c>
      <c r="B1595">
        <v>45</v>
      </c>
      <c r="C1595" t="s">
        <v>5251</v>
      </c>
      <c r="D1595" s="1">
        <v>43218</v>
      </c>
      <c r="E1595" s="1">
        <v>43218</v>
      </c>
      <c r="F1595" s="1"/>
      <c r="G1595">
        <v>2</v>
      </c>
      <c r="H1595">
        <v>7</v>
      </c>
    </row>
    <row r="1596" spans="1:8" x14ac:dyDescent="0.3">
      <c r="A1596">
        <v>1595</v>
      </c>
      <c r="B1596">
        <v>71</v>
      </c>
      <c r="C1596" t="s">
        <v>5250</v>
      </c>
      <c r="D1596" s="1">
        <v>43218</v>
      </c>
      <c r="E1596" s="1">
        <v>43218</v>
      </c>
      <c r="F1596" s="1">
        <v>43220</v>
      </c>
      <c r="G1596">
        <v>2</v>
      </c>
      <c r="H1596">
        <v>7</v>
      </c>
    </row>
    <row r="1597" spans="1:8" x14ac:dyDescent="0.3">
      <c r="A1597">
        <v>1596</v>
      </c>
      <c r="B1597">
        <v>21</v>
      </c>
      <c r="C1597" t="s">
        <v>5250</v>
      </c>
      <c r="D1597" s="1">
        <v>43218</v>
      </c>
      <c r="E1597" s="1">
        <v>43218</v>
      </c>
      <c r="F1597" s="1">
        <v>43220</v>
      </c>
      <c r="G1597">
        <v>3</v>
      </c>
      <c r="H1597">
        <v>8</v>
      </c>
    </row>
    <row r="1598" spans="1:8" x14ac:dyDescent="0.3">
      <c r="A1598">
        <v>1597</v>
      </c>
      <c r="B1598">
        <v>56</v>
      </c>
      <c r="C1598" t="s">
        <v>5251</v>
      </c>
      <c r="D1598" s="1">
        <v>43218</v>
      </c>
      <c r="E1598" s="1">
        <v>43218</v>
      </c>
      <c r="F1598" s="1"/>
      <c r="G1598">
        <v>3</v>
      </c>
      <c r="H1598">
        <v>9</v>
      </c>
    </row>
    <row r="1599" spans="1:8" x14ac:dyDescent="0.3">
      <c r="A1599">
        <v>1598</v>
      </c>
      <c r="B1599">
        <v>239</v>
      </c>
      <c r="C1599" t="s">
        <v>5250</v>
      </c>
      <c r="D1599" s="1">
        <v>43219</v>
      </c>
      <c r="E1599" s="1">
        <v>43219</v>
      </c>
      <c r="F1599" s="1">
        <v>43221</v>
      </c>
      <c r="G1599">
        <v>1</v>
      </c>
      <c r="H1599">
        <v>3</v>
      </c>
    </row>
    <row r="1600" spans="1:8" x14ac:dyDescent="0.3">
      <c r="A1600">
        <v>1599</v>
      </c>
      <c r="B1600">
        <v>49</v>
      </c>
      <c r="C1600" t="s">
        <v>5251</v>
      </c>
      <c r="D1600" s="1">
        <v>43219</v>
      </c>
      <c r="E1600" s="1">
        <v>43219</v>
      </c>
      <c r="F1600" s="1"/>
      <c r="G1600">
        <v>2</v>
      </c>
      <c r="H1600">
        <v>7</v>
      </c>
    </row>
    <row r="1601" spans="1:8" x14ac:dyDescent="0.3">
      <c r="A1601">
        <v>1600</v>
      </c>
      <c r="B1601">
        <v>90</v>
      </c>
      <c r="C1601" t="s">
        <v>5251</v>
      </c>
      <c r="D1601" s="1">
        <v>43219</v>
      </c>
      <c r="E1601" s="1">
        <v>43219</v>
      </c>
      <c r="F1601" s="1"/>
      <c r="G1601">
        <v>2</v>
      </c>
      <c r="H1601">
        <v>6</v>
      </c>
    </row>
    <row r="1602" spans="1:8" x14ac:dyDescent="0.3">
      <c r="A1602">
        <v>1601</v>
      </c>
      <c r="B1602">
        <v>43</v>
      </c>
      <c r="C1602" t="s">
        <v>5251</v>
      </c>
      <c r="D1602" s="1">
        <v>43219</v>
      </c>
      <c r="E1602" s="1">
        <v>43219</v>
      </c>
      <c r="F1602" s="1"/>
      <c r="G1602">
        <v>3</v>
      </c>
      <c r="H1602">
        <v>8</v>
      </c>
    </row>
    <row r="1603" spans="1:8" x14ac:dyDescent="0.3">
      <c r="A1603">
        <v>1602</v>
      </c>
      <c r="B1603">
        <v>55</v>
      </c>
      <c r="C1603" t="s">
        <v>5251</v>
      </c>
      <c r="D1603" s="1">
        <v>43220</v>
      </c>
      <c r="E1603" s="1">
        <v>43220</v>
      </c>
      <c r="F1603" s="1"/>
      <c r="G1603">
        <v>2</v>
      </c>
      <c r="H1603">
        <v>6</v>
      </c>
    </row>
    <row r="1604" spans="1:8" x14ac:dyDescent="0.3">
      <c r="A1604">
        <v>1603</v>
      </c>
      <c r="B1604">
        <v>74</v>
      </c>
      <c r="C1604" t="s">
        <v>5250</v>
      </c>
      <c r="D1604" s="1">
        <v>43220</v>
      </c>
      <c r="E1604" s="1">
        <v>43220</v>
      </c>
      <c r="F1604" s="1">
        <v>43222</v>
      </c>
      <c r="G1604">
        <v>2</v>
      </c>
      <c r="H1604">
        <v>6</v>
      </c>
    </row>
    <row r="1605" spans="1:8" x14ac:dyDescent="0.3">
      <c r="A1605">
        <v>1604</v>
      </c>
      <c r="B1605">
        <v>7</v>
      </c>
      <c r="C1605" t="s">
        <v>5249</v>
      </c>
      <c r="D1605" s="1">
        <v>43268</v>
      </c>
      <c r="E1605" s="1">
        <v>43268</v>
      </c>
      <c r="F1605" s="1"/>
      <c r="G1605">
        <v>2</v>
      </c>
      <c r="H1605">
        <v>7</v>
      </c>
    </row>
    <row r="1606" spans="1:8" x14ac:dyDescent="0.3">
      <c r="A1606">
        <v>1605</v>
      </c>
      <c r="B1606">
        <v>123</v>
      </c>
      <c r="C1606" t="s">
        <v>5249</v>
      </c>
      <c r="D1606" s="1">
        <v>43282</v>
      </c>
      <c r="E1606" s="1">
        <v>43282</v>
      </c>
      <c r="F1606" s="1"/>
      <c r="G1606">
        <v>3</v>
      </c>
      <c r="H1606">
        <v>8</v>
      </c>
    </row>
    <row r="1607" spans="1:8" x14ac:dyDescent="0.3">
      <c r="A1607">
        <v>1606</v>
      </c>
      <c r="B1607">
        <v>119</v>
      </c>
      <c r="C1607" t="s">
        <v>5249</v>
      </c>
      <c r="D1607" s="1">
        <v>43291</v>
      </c>
      <c r="E1607" s="1">
        <v>43291</v>
      </c>
      <c r="F1607" s="1"/>
      <c r="G1607">
        <v>3</v>
      </c>
      <c r="H1607">
        <v>8</v>
      </c>
    </row>
    <row r="1608" spans="1:8" x14ac:dyDescent="0.3">
      <c r="A1608">
        <v>1607</v>
      </c>
      <c r="B1608">
        <v>33</v>
      </c>
      <c r="C1608" t="s">
        <v>5249</v>
      </c>
      <c r="D1608" s="1">
        <v>43292</v>
      </c>
      <c r="E1608" s="1">
        <v>43292</v>
      </c>
      <c r="F1608" s="1"/>
      <c r="G1608">
        <v>1</v>
      </c>
      <c r="H1608">
        <v>2</v>
      </c>
    </row>
    <row r="1609" spans="1:8" x14ac:dyDescent="0.3">
      <c r="A1609">
        <v>1608</v>
      </c>
      <c r="B1609">
        <v>53</v>
      </c>
      <c r="C1609" t="s">
        <v>5249</v>
      </c>
      <c r="D1609" s="1">
        <v>43293</v>
      </c>
      <c r="E1609" s="1">
        <v>43293</v>
      </c>
      <c r="F1609" s="1"/>
      <c r="G1609">
        <v>1</v>
      </c>
      <c r="H1609">
        <v>2</v>
      </c>
    </row>
    <row r="1610" spans="1:8" x14ac:dyDescent="0.3">
      <c r="A1610">
        <v>1609</v>
      </c>
      <c r="B1610">
        <v>10</v>
      </c>
      <c r="C1610" t="s">
        <v>5249</v>
      </c>
      <c r="D1610" s="1">
        <v>43335</v>
      </c>
      <c r="E1610" s="1">
        <v>43335</v>
      </c>
      <c r="F1610" s="1"/>
      <c r="G1610">
        <v>2</v>
      </c>
      <c r="H1610">
        <v>7</v>
      </c>
    </row>
    <row r="1611" spans="1:8" x14ac:dyDescent="0.3">
      <c r="A1611">
        <v>1610</v>
      </c>
      <c r="B1611">
        <v>15</v>
      </c>
      <c r="C1611" t="s">
        <v>5249</v>
      </c>
      <c r="D1611" s="1">
        <v>43337</v>
      </c>
      <c r="E1611" s="1">
        <v>43337</v>
      </c>
      <c r="F1611" s="1"/>
      <c r="G1611">
        <v>2</v>
      </c>
      <c r="H1611">
        <v>7</v>
      </c>
    </row>
    <row r="1612" spans="1:8" x14ac:dyDescent="0.3">
      <c r="A1612">
        <v>1611</v>
      </c>
      <c r="B1612">
        <v>6</v>
      </c>
      <c r="C1612" t="s">
        <v>5249</v>
      </c>
      <c r="D1612" s="1">
        <v>43349</v>
      </c>
      <c r="E1612" s="1">
        <v>43349</v>
      </c>
      <c r="F1612" s="1"/>
      <c r="G1612">
        <v>2</v>
      </c>
      <c r="H1612">
        <v>7</v>
      </c>
    </row>
    <row r="1613" spans="1:8" x14ac:dyDescent="0.3">
      <c r="A1613">
        <v>1612</v>
      </c>
      <c r="B1613">
        <v>3</v>
      </c>
      <c r="C1613" t="s">
        <v>5249</v>
      </c>
      <c r="D1613" s="1">
        <v>43394</v>
      </c>
      <c r="E1613" s="1">
        <v>43394</v>
      </c>
      <c r="F1613" s="1"/>
      <c r="G1613">
        <v>1</v>
      </c>
      <c r="H1613">
        <v>3</v>
      </c>
    </row>
    <row r="1614" spans="1:8" x14ac:dyDescent="0.3">
      <c r="A1614">
        <v>1613</v>
      </c>
      <c r="B1614">
        <v>1</v>
      </c>
      <c r="C1614" t="s">
        <v>5249</v>
      </c>
      <c r="D1614" s="1">
        <v>43422</v>
      </c>
      <c r="E1614" s="1">
        <v>43422</v>
      </c>
      <c r="F1614" s="1"/>
      <c r="G1614">
        <v>2</v>
      </c>
      <c r="H1614">
        <v>6</v>
      </c>
    </row>
    <row r="1615" spans="1:8" x14ac:dyDescent="0.3">
      <c r="A1615">
        <v>1614</v>
      </c>
      <c r="B1615">
        <v>135</v>
      </c>
      <c r="C1615" t="s">
        <v>5249</v>
      </c>
      <c r="D1615" s="1">
        <v>43432</v>
      </c>
      <c r="E1615" s="1">
        <v>43432</v>
      </c>
      <c r="F1615" s="1"/>
      <c r="G1615">
        <v>3</v>
      </c>
      <c r="H1615">
        <v>8</v>
      </c>
    </row>
    <row r="1616" spans="1:8" x14ac:dyDescent="0.3">
      <c r="A1616">
        <v>1615</v>
      </c>
      <c r="B1616">
        <v>136</v>
      </c>
      <c r="C1616" t="s">
        <v>5249</v>
      </c>
      <c r="D1616" s="1">
        <v>43462</v>
      </c>
      <c r="E1616" s="1">
        <v>43462</v>
      </c>
      <c r="F1616" s="1"/>
      <c r="G1616">
        <v>3</v>
      </c>
      <c r="H1616">
        <v>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317DF-3D53-4088-9CB7-F51F585A96B3}">
  <dimension ref="A1:I1616"/>
  <sheetViews>
    <sheetView workbookViewId="0">
      <selection activeCell="F2" sqref="F2"/>
    </sheetView>
  </sheetViews>
  <sheetFormatPr defaultRowHeight="14.4" x14ac:dyDescent="0.3"/>
  <cols>
    <col min="1" max="1" width="11.33203125" bestFit="1" customWidth="1"/>
    <col min="2" max="2" width="10.33203125" bestFit="1" customWidth="1"/>
    <col min="3" max="3" width="13.109375" bestFit="1" customWidth="1"/>
    <col min="4" max="4" width="11" bestFit="1" customWidth="1"/>
    <col min="5" max="5" width="12" bestFit="1" customWidth="1"/>
    <col min="6" max="6" width="11.44140625" bestFit="1" customWidth="1"/>
    <col min="7" max="7" width="16.33203125" customWidth="1"/>
    <col min="8" max="8" width="47.88671875" customWidth="1"/>
    <col min="9" max="9" width="19.5546875" customWidth="1"/>
  </cols>
  <sheetData>
    <row r="1" spans="1:9" x14ac:dyDescent="0.3">
      <c r="A1" t="s">
        <v>5240</v>
      </c>
      <c r="B1" t="s">
        <v>5599</v>
      </c>
      <c r="C1" t="s">
        <v>5303</v>
      </c>
      <c r="D1" t="s">
        <v>5600</v>
      </c>
      <c r="E1" t="s">
        <v>5307</v>
      </c>
      <c r="F1" t="s">
        <v>5601</v>
      </c>
      <c r="G1" t="s">
        <v>5624</v>
      </c>
      <c r="H1" t="s">
        <v>5304</v>
      </c>
      <c r="I1" t="s">
        <v>5625</v>
      </c>
    </row>
    <row r="2" spans="1:9" x14ac:dyDescent="0.3">
      <c r="A2">
        <v>1</v>
      </c>
      <c r="B2">
        <v>1</v>
      </c>
      <c r="C2">
        <v>20</v>
      </c>
      <c r="D2">
        <v>1</v>
      </c>
      <c r="E2">
        <v>599.99</v>
      </c>
      <c r="F2">
        <v>0.2</v>
      </c>
      <c r="G2">
        <f t="shared" ref="G2:G65" si="0">(E2*D2)-F2</f>
        <v>599.79</v>
      </c>
      <c r="H2" t="str">
        <f>_xlfn.XLOOKUP(C2,products[Product_ID],products[Product_Name],"not found",0)</f>
        <v>Electra Townie Original 7D EQ - Women's - 2016</v>
      </c>
      <c r="I2" t="str">
        <f>VLOOKUP(products!D2,categories[#All],2,TRUE)</f>
        <v>Mountain Bikes</v>
      </c>
    </row>
    <row r="3" spans="1:9" x14ac:dyDescent="0.3">
      <c r="A3">
        <v>2</v>
      </c>
      <c r="B3">
        <v>1</v>
      </c>
      <c r="C3">
        <v>20</v>
      </c>
      <c r="D3">
        <v>1</v>
      </c>
      <c r="E3">
        <v>599.99</v>
      </c>
      <c r="F3">
        <v>7.0000000000000007E-2</v>
      </c>
      <c r="G3">
        <f t="shared" si="0"/>
        <v>599.91999999999996</v>
      </c>
      <c r="H3" t="str">
        <f>_xlfn.XLOOKUP(C3,products[Product_ID],products[Product_Name],"not found",0)</f>
        <v>Electra Townie Original 7D EQ - Women's - 2016</v>
      </c>
      <c r="I3" t="str">
        <f>VLOOKUP(products!D3,categories[#All],2,TRUE)</f>
        <v>Mountain Bikes</v>
      </c>
    </row>
    <row r="4" spans="1:9" x14ac:dyDescent="0.3">
      <c r="A4">
        <v>3</v>
      </c>
      <c r="B4">
        <v>1</v>
      </c>
      <c r="C4">
        <v>3</v>
      </c>
      <c r="D4">
        <v>1</v>
      </c>
      <c r="E4">
        <v>999.99</v>
      </c>
      <c r="F4">
        <v>0.05</v>
      </c>
      <c r="G4">
        <f t="shared" si="0"/>
        <v>999.94</v>
      </c>
      <c r="H4" t="str">
        <f>_xlfn.XLOOKUP(C4,products[Product_ID],products[Product_Name],"not found",0)</f>
        <v>Surly Wednesday Frameset - 2016</v>
      </c>
      <c r="I4" t="str">
        <f>VLOOKUP(products!D4,categories[#All],2,TRUE)</f>
        <v>Mountain Bikes</v>
      </c>
    </row>
    <row r="5" spans="1:9" x14ac:dyDescent="0.3">
      <c r="A5">
        <v>4</v>
      </c>
      <c r="B5">
        <v>1</v>
      </c>
      <c r="C5">
        <v>2</v>
      </c>
      <c r="D5">
        <v>2</v>
      </c>
      <c r="E5">
        <v>749.99</v>
      </c>
      <c r="F5">
        <v>0.1</v>
      </c>
      <c r="G5">
        <f t="shared" si="0"/>
        <v>1499.88</v>
      </c>
      <c r="H5" t="str">
        <f>_xlfn.XLOOKUP(C5,products[Product_ID],products[Product_Name],"not found",0)</f>
        <v>Ritchey Timberwolf Frameset - 2016</v>
      </c>
      <c r="I5" t="str">
        <f>VLOOKUP(products!D5,categories[#All],2,TRUE)</f>
        <v>Mountain Bikes</v>
      </c>
    </row>
    <row r="6" spans="1:9" x14ac:dyDescent="0.3">
      <c r="A6">
        <v>5</v>
      </c>
      <c r="B6">
        <v>1</v>
      </c>
      <c r="C6">
        <v>10</v>
      </c>
      <c r="D6">
        <v>2</v>
      </c>
      <c r="E6">
        <v>1549</v>
      </c>
      <c r="F6">
        <v>0.05</v>
      </c>
      <c r="G6">
        <f t="shared" si="0"/>
        <v>3097.95</v>
      </c>
      <c r="H6" t="str">
        <f>_xlfn.XLOOKUP(C6,products[Product_ID],products[Product_Name],"not found",0)</f>
        <v>Surly Straggler - 2016</v>
      </c>
      <c r="I6" t="str">
        <f>VLOOKUP(products!D6,categories[#All],2,TRUE)</f>
        <v>Mountain Bikes</v>
      </c>
    </row>
    <row r="7" spans="1:9" x14ac:dyDescent="0.3">
      <c r="A7">
        <v>6</v>
      </c>
      <c r="B7">
        <v>1</v>
      </c>
      <c r="C7">
        <v>18</v>
      </c>
      <c r="D7">
        <v>1</v>
      </c>
      <c r="E7">
        <v>449</v>
      </c>
      <c r="F7">
        <v>7.0000000000000007E-2</v>
      </c>
      <c r="G7">
        <f t="shared" si="0"/>
        <v>448.93</v>
      </c>
      <c r="H7" t="str">
        <f>_xlfn.XLOOKUP(C7,products[Product_ID],products[Product_Name],"not found",0)</f>
        <v>Pure Cycles Western 3-Speed - Women's - 2015/2016</v>
      </c>
      <c r="I7" t="str">
        <f>VLOOKUP(products!D7,categories[#All],2,TRUE)</f>
        <v>Mountain Bikes</v>
      </c>
    </row>
    <row r="8" spans="1:9" x14ac:dyDescent="0.3">
      <c r="A8">
        <v>7</v>
      </c>
      <c r="B8">
        <v>1</v>
      </c>
      <c r="C8">
        <v>15</v>
      </c>
      <c r="D8">
        <v>1</v>
      </c>
      <c r="E8">
        <v>529.99</v>
      </c>
      <c r="F8">
        <v>7.0000000000000007E-2</v>
      </c>
      <c r="G8">
        <f t="shared" si="0"/>
        <v>529.91999999999996</v>
      </c>
      <c r="H8" t="str">
        <f>_xlfn.XLOOKUP(C8,products[Product_ID],products[Product_Name],"not found",0)</f>
        <v>Electra Moto 1 - 2016</v>
      </c>
      <c r="I8" t="str">
        <f>VLOOKUP(products!D8,categories[#All],2,TRUE)</f>
        <v>Mountain Bikes</v>
      </c>
    </row>
    <row r="9" spans="1:9" x14ac:dyDescent="0.3">
      <c r="A9">
        <v>8</v>
      </c>
      <c r="B9">
        <v>1</v>
      </c>
      <c r="C9">
        <v>22</v>
      </c>
      <c r="D9">
        <v>1</v>
      </c>
      <c r="E9">
        <v>269.99</v>
      </c>
      <c r="F9">
        <v>0.05</v>
      </c>
      <c r="G9">
        <f t="shared" si="0"/>
        <v>269.94</v>
      </c>
      <c r="H9" t="str">
        <f>_xlfn.XLOOKUP(C9,products[Product_ID],products[Product_Name],"not found",0)</f>
        <v>Electra Girl's Hawaii 1 (16-inch) - 2015/2016</v>
      </c>
      <c r="I9" t="str">
        <f>VLOOKUP(products!D9,categories[#All],2,TRUE)</f>
        <v>Mountain Bikes</v>
      </c>
    </row>
    <row r="10" spans="1:9" x14ac:dyDescent="0.3">
      <c r="A10">
        <v>9</v>
      </c>
      <c r="B10">
        <v>1</v>
      </c>
      <c r="C10">
        <v>7</v>
      </c>
      <c r="D10">
        <v>2</v>
      </c>
      <c r="E10">
        <v>3999.99</v>
      </c>
      <c r="F10">
        <v>0.1</v>
      </c>
      <c r="G10">
        <f t="shared" si="0"/>
        <v>7999.8799999999992</v>
      </c>
      <c r="H10" t="str">
        <f>_xlfn.XLOOKUP(C10,products[Product_ID],products[Product_Name],"not found",0)</f>
        <v>Trek Slash 8 27.5 - 2016</v>
      </c>
      <c r="I10" t="str">
        <f>VLOOKUP(products!D10,categories[#All],2,TRUE)</f>
        <v>Electric Bikes</v>
      </c>
    </row>
    <row r="11" spans="1:9" x14ac:dyDescent="0.3">
      <c r="A11">
        <v>10</v>
      </c>
      <c r="B11">
        <v>1</v>
      </c>
      <c r="C11">
        <v>14</v>
      </c>
      <c r="D11">
        <v>1</v>
      </c>
      <c r="E11">
        <v>269.99</v>
      </c>
      <c r="F11">
        <v>0.1</v>
      </c>
      <c r="G11">
        <f t="shared" si="0"/>
        <v>269.89</v>
      </c>
      <c r="H11" t="str">
        <f>_xlfn.XLOOKUP(C11,products[Product_ID],products[Product_Name],"not found",0)</f>
        <v>Electra Girl's Hawaii 1 (16-inch) - 2015/2016</v>
      </c>
      <c r="I11" t="str">
        <f>VLOOKUP(products!D11,categories[#All],2,TRUE)</f>
        <v>Cyclocross Bicycles</v>
      </c>
    </row>
    <row r="12" spans="1:9" x14ac:dyDescent="0.3">
      <c r="A12">
        <v>11</v>
      </c>
      <c r="B12">
        <v>1</v>
      </c>
      <c r="C12">
        <v>8</v>
      </c>
      <c r="D12">
        <v>1</v>
      </c>
      <c r="E12">
        <v>1799.99</v>
      </c>
      <c r="F12">
        <v>0.05</v>
      </c>
      <c r="G12">
        <f t="shared" si="0"/>
        <v>1799.94</v>
      </c>
      <c r="H12" t="str">
        <f>_xlfn.XLOOKUP(C12,products[Product_ID],products[Product_Name],"not found",0)</f>
        <v>Trek Remedy 29 Carbon Frameset - 2016</v>
      </c>
      <c r="I12" t="str">
        <f>VLOOKUP(products!D12,categories[#All],2,TRUE)</f>
        <v>Cyclocross Bicycles</v>
      </c>
    </row>
    <row r="13" spans="1:9" x14ac:dyDescent="0.3">
      <c r="A13">
        <v>12</v>
      </c>
      <c r="B13">
        <v>1</v>
      </c>
      <c r="C13">
        <v>4</v>
      </c>
      <c r="D13">
        <v>2</v>
      </c>
      <c r="E13">
        <v>2899.99</v>
      </c>
      <c r="F13">
        <v>0.1</v>
      </c>
      <c r="G13">
        <f t="shared" si="0"/>
        <v>5799.8799999999992</v>
      </c>
      <c r="H13" t="str">
        <f>_xlfn.XLOOKUP(C13,products[Product_ID],products[Product_Name],"not found",0)</f>
        <v>Trek Fuel EX 8 29 - 2016</v>
      </c>
      <c r="I13" t="str">
        <f>VLOOKUP(products!D13,categories[#All],2,TRUE)</f>
        <v>Cruisers Bicycles</v>
      </c>
    </row>
    <row r="14" spans="1:9" x14ac:dyDescent="0.3">
      <c r="A14">
        <v>13</v>
      </c>
      <c r="B14">
        <v>1</v>
      </c>
      <c r="C14">
        <v>13</v>
      </c>
      <c r="D14">
        <v>1</v>
      </c>
      <c r="E14">
        <v>269.99</v>
      </c>
      <c r="F14">
        <v>0.1</v>
      </c>
      <c r="G14">
        <f t="shared" si="0"/>
        <v>269.89</v>
      </c>
      <c r="H14" t="str">
        <f>_xlfn.XLOOKUP(C14,products[Product_ID],products[Product_Name],"not found",0)</f>
        <v>Electra Cruiser 1 (24-Inch) - 2016</v>
      </c>
      <c r="I14" t="str">
        <f>VLOOKUP(products!D14,categories[#All],2,TRUE)</f>
        <v>Cruisers Bicycles</v>
      </c>
    </row>
    <row r="15" spans="1:9" x14ac:dyDescent="0.3">
      <c r="A15">
        <v>14</v>
      </c>
      <c r="B15">
        <v>1</v>
      </c>
      <c r="C15">
        <v>6</v>
      </c>
      <c r="D15">
        <v>1</v>
      </c>
      <c r="E15">
        <v>469.99</v>
      </c>
      <c r="F15">
        <v>7.0000000000000007E-2</v>
      </c>
      <c r="G15">
        <f t="shared" si="0"/>
        <v>469.92</v>
      </c>
      <c r="H15" t="str">
        <f>_xlfn.XLOOKUP(C15,products[Product_ID],products[Product_Name],"not found",0)</f>
        <v>Surly Ice Cream Truck Frameset - 2016</v>
      </c>
      <c r="I15" t="str">
        <f>VLOOKUP(products!D15,categories[#All],2,TRUE)</f>
        <v>Cruisers Bicycles</v>
      </c>
    </row>
    <row r="16" spans="1:9" x14ac:dyDescent="0.3">
      <c r="A16">
        <v>15</v>
      </c>
      <c r="B16">
        <v>1</v>
      </c>
      <c r="C16">
        <v>12</v>
      </c>
      <c r="D16">
        <v>2</v>
      </c>
      <c r="E16">
        <v>549.99</v>
      </c>
      <c r="F16">
        <v>7.0000000000000007E-2</v>
      </c>
      <c r="G16">
        <f t="shared" si="0"/>
        <v>1099.9100000000001</v>
      </c>
      <c r="H16" t="str">
        <f>_xlfn.XLOOKUP(C16,products[Product_ID],products[Product_Name],"not found",0)</f>
        <v>Electra Townie Original 21D - 2016</v>
      </c>
      <c r="I16" t="str">
        <f>VLOOKUP(products!D16,categories[#All],2,TRUE)</f>
        <v>Cruisers Bicycles</v>
      </c>
    </row>
    <row r="17" spans="1:9" x14ac:dyDescent="0.3">
      <c r="A17">
        <v>16</v>
      </c>
      <c r="B17">
        <v>1</v>
      </c>
      <c r="C17">
        <v>8</v>
      </c>
      <c r="D17">
        <v>1</v>
      </c>
      <c r="E17">
        <v>1799.99</v>
      </c>
      <c r="F17">
        <v>0.2</v>
      </c>
      <c r="G17">
        <f t="shared" si="0"/>
        <v>1799.79</v>
      </c>
      <c r="H17" t="str">
        <f>_xlfn.XLOOKUP(C17,products[Product_ID],products[Product_Name],"not found",0)</f>
        <v>Trek Remedy 29 Carbon Frameset - 2016</v>
      </c>
      <c r="I17" t="str">
        <f>VLOOKUP(products!D17,categories[#All],2,TRUE)</f>
        <v>Cruisers Bicycles</v>
      </c>
    </row>
    <row r="18" spans="1:9" x14ac:dyDescent="0.3">
      <c r="A18">
        <v>17</v>
      </c>
      <c r="B18">
        <v>1</v>
      </c>
      <c r="C18">
        <v>8</v>
      </c>
      <c r="D18">
        <v>1</v>
      </c>
      <c r="E18">
        <v>1799.99</v>
      </c>
      <c r="F18">
        <v>7.0000000000000007E-2</v>
      </c>
      <c r="G18">
        <f t="shared" si="0"/>
        <v>1799.92</v>
      </c>
      <c r="H18" t="str">
        <f>_xlfn.XLOOKUP(C18,products[Product_ID],products[Product_Name],"not found",0)</f>
        <v>Trek Remedy 29 Carbon Frameset - 2016</v>
      </c>
      <c r="I18" t="str">
        <f>VLOOKUP(products!D18,categories[#All],2,TRUE)</f>
        <v>Cruisers Bicycles</v>
      </c>
    </row>
    <row r="19" spans="1:9" x14ac:dyDescent="0.3">
      <c r="A19">
        <v>18</v>
      </c>
      <c r="B19">
        <v>1</v>
      </c>
      <c r="C19">
        <v>2</v>
      </c>
      <c r="D19">
        <v>2</v>
      </c>
      <c r="E19">
        <v>749.99</v>
      </c>
      <c r="F19">
        <v>0.2</v>
      </c>
      <c r="G19">
        <f t="shared" si="0"/>
        <v>1499.78</v>
      </c>
      <c r="H19" t="str">
        <f>_xlfn.XLOOKUP(C19,products[Product_ID],products[Product_Name],"not found",0)</f>
        <v>Ritchey Timberwolf Frameset - 2016</v>
      </c>
      <c r="I19" t="str">
        <f>VLOOKUP(products!D19,categories[#All],2,TRUE)</f>
        <v>Cruisers Bicycles</v>
      </c>
    </row>
    <row r="20" spans="1:9" x14ac:dyDescent="0.3">
      <c r="A20">
        <v>19</v>
      </c>
      <c r="B20">
        <v>1</v>
      </c>
      <c r="C20">
        <v>10</v>
      </c>
      <c r="D20">
        <v>1</v>
      </c>
      <c r="E20">
        <v>1549</v>
      </c>
      <c r="F20">
        <v>7.0000000000000007E-2</v>
      </c>
      <c r="G20">
        <f t="shared" si="0"/>
        <v>1548.93</v>
      </c>
      <c r="H20" t="str">
        <f>_xlfn.XLOOKUP(C20,products[Product_ID],products[Product_Name],"not found",0)</f>
        <v>Surly Straggler - 2016</v>
      </c>
      <c r="I20" t="str">
        <f>VLOOKUP(products!D20,categories[#All],2,TRUE)</f>
        <v>Cruisers Bicycles</v>
      </c>
    </row>
    <row r="21" spans="1:9" x14ac:dyDescent="0.3">
      <c r="A21">
        <v>20</v>
      </c>
      <c r="B21">
        <v>1</v>
      </c>
      <c r="C21">
        <v>9</v>
      </c>
      <c r="D21">
        <v>1</v>
      </c>
      <c r="E21">
        <v>2999.99</v>
      </c>
      <c r="F21">
        <v>7.0000000000000007E-2</v>
      </c>
      <c r="G21">
        <f t="shared" si="0"/>
        <v>2999.9199999999996</v>
      </c>
      <c r="H21" t="str">
        <f>_xlfn.XLOOKUP(C21,products[Product_ID],products[Product_Name],"not found",0)</f>
        <v>Trek Conduit+ - 2016</v>
      </c>
      <c r="I21" t="str">
        <f>VLOOKUP(products!D21,categories[#All],2,TRUE)</f>
        <v>Cruisers Bicycles</v>
      </c>
    </row>
    <row r="22" spans="1:9" x14ac:dyDescent="0.3">
      <c r="A22">
        <v>21</v>
      </c>
      <c r="B22">
        <v>1</v>
      </c>
      <c r="C22">
        <v>14</v>
      </c>
      <c r="D22">
        <v>1</v>
      </c>
      <c r="E22">
        <v>269.99</v>
      </c>
      <c r="F22">
        <v>0.05</v>
      </c>
      <c r="G22">
        <f t="shared" si="0"/>
        <v>269.94</v>
      </c>
      <c r="H22" t="str">
        <f>_xlfn.XLOOKUP(C22,products[Product_ID],products[Product_Name],"not found",0)</f>
        <v>Electra Girl's Hawaii 1 (16-inch) - 2015/2016</v>
      </c>
      <c r="I22" t="str">
        <f>VLOOKUP(products!D22,categories[#All],2,TRUE)</f>
        <v>Children Bicycles</v>
      </c>
    </row>
    <row r="23" spans="1:9" x14ac:dyDescent="0.3">
      <c r="A23">
        <v>22</v>
      </c>
      <c r="B23">
        <v>1</v>
      </c>
      <c r="C23">
        <v>15</v>
      </c>
      <c r="D23">
        <v>2</v>
      </c>
      <c r="E23">
        <v>529.99</v>
      </c>
      <c r="F23">
        <v>0.2</v>
      </c>
      <c r="G23">
        <f t="shared" si="0"/>
        <v>1059.78</v>
      </c>
      <c r="H23" t="str">
        <f>_xlfn.XLOOKUP(C23,products[Product_ID],products[Product_Name],"not found",0)</f>
        <v>Electra Moto 1 - 2016</v>
      </c>
      <c r="I23" t="str">
        <f>VLOOKUP(products!D23,categories[#All],2,TRUE)</f>
        <v>Children Bicycles</v>
      </c>
    </row>
    <row r="24" spans="1:9" x14ac:dyDescent="0.3">
      <c r="A24">
        <v>23</v>
      </c>
      <c r="B24">
        <v>1</v>
      </c>
      <c r="C24">
        <v>4</v>
      </c>
      <c r="D24">
        <v>2</v>
      </c>
      <c r="E24">
        <v>2899.99</v>
      </c>
      <c r="F24">
        <v>0.05</v>
      </c>
      <c r="G24">
        <f t="shared" si="0"/>
        <v>5799.9299999999994</v>
      </c>
      <c r="H24" t="str">
        <f>_xlfn.XLOOKUP(C24,products[Product_ID],products[Product_Name],"not found",0)</f>
        <v>Trek Fuel EX 8 29 - 2016</v>
      </c>
      <c r="I24" t="str">
        <f>VLOOKUP(products!D24,categories[#All],2,TRUE)</f>
        <v>Children Bicycles</v>
      </c>
    </row>
    <row r="25" spans="1:9" x14ac:dyDescent="0.3">
      <c r="A25">
        <v>24</v>
      </c>
      <c r="B25">
        <v>1</v>
      </c>
      <c r="C25">
        <v>3</v>
      </c>
      <c r="D25">
        <v>2</v>
      </c>
      <c r="E25">
        <v>999.99</v>
      </c>
      <c r="F25">
        <v>0.1</v>
      </c>
      <c r="G25">
        <f t="shared" si="0"/>
        <v>1999.88</v>
      </c>
      <c r="H25" t="str">
        <f>_xlfn.XLOOKUP(C25,products[Product_ID],products[Product_Name],"not found",0)</f>
        <v>Surly Wednesday Frameset - 2016</v>
      </c>
      <c r="I25" t="str">
        <f>VLOOKUP(products!D25,categories[#All],2,TRUE)</f>
        <v>Comfort Bicycles</v>
      </c>
    </row>
    <row r="26" spans="1:9" x14ac:dyDescent="0.3">
      <c r="A26">
        <v>25</v>
      </c>
      <c r="B26">
        <v>1</v>
      </c>
      <c r="C26">
        <v>23</v>
      </c>
      <c r="D26">
        <v>2</v>
      </c>
      <c r="E26">
        <v>299.99</v>
      </c>
      <c r="F26">
        <v>0.2</v>
      </c>
      <c r="G26">
        <f t="shared" si="0"/>
        <v>599.78</v>
      </c>
      <c r="H26" t="str">
        <f>_xlfn.XLOOKUP(C26,products[Product_ID],products[Product_Name],"not found",0)</f>
        <v>Electra Girl's Hawaii 1 (20-inch) - 2015/2016</v>
      </c>
      <c r="I26" t="str">
        <f>VLOOKUP(products!D26,categories[#All],2,TRUE)</f>
        <v>Comfort Bicycles</v>
      </c>
    </row>
    <row r="27" spans="1:9" x14ac:dyDescent="0.3">
      <c r="A27">
        <v>26</v>
      </c>
      <c r="B27">
        <v>1</v>
      </c>
      <c r="C27">
        <v>7</v>
      </c>
      <c r="D27">
        <v>1</v>
      </c>
      <c r="E27">
        <v>3999.99</v>
      </c>
      <c r="F27">
        <v>0.05</v>
      </c>
      <c r="G27">
        <f t="shared" si="0"/>
        <v>3999.9399999999996</v>
      </c>
      <c r="H27" t="str">
        <f>_xlfn.XLOOKUP(C27,products[Product_ID],products[Product_Name],"not found",0)</f>
        <v>Trek Slash 8 27.5 - 2016</v>
      </c>
      <c r="I27" t="str">
        <f>VLOOKUP(products!D27,categories[#All],2,TRUE)</f>
        <v>Comfort Bicycles</v>
      </c>
    </row>
    <row r="28" spans="1:9" x14ac:dyDescent="0.3">
      <c r="A28">
        <v>27</v>
      </c>
      <c r="B28">
        <v>1</v>
      </c>
      <c r="C28">
        <v>5</v>
      </c>
      <c r="D28">
        <v>1</v>
      </c>
      <c r="E28">
        <v>1320.99</v>
      </c>
      <c r="F28">
        <v>0.2</v>
      </c>
      <c r="G28">
        <f t="shared" si="0"/>
        <v>1320.79</v>
      </c>
      <c r="H28" t="str">
        <f>_xlfn.XLOOKUP(C28,products[Product_ID],products[Product_Name],"not found",0)</f>
        <v>Heller Shagamaw Frame - 2016</v>
      </c>
      <c r="I28" t="str">
        <f>VLOOKUP(products!D28,categories[#All],2,TRUE)</f>
        <v>Mountain Bikes</v>
      </c>
    </row>
    <row r="29" spans="1:9" x14ac:dyDescent="0.3">
      <c r="A29">
        <v>28</v>
      </c>
      <c r="B29">
        <v>1</v>
      </c>
      <c r="C29">
        <v>5</v>
      </c>
      <c r="D29">
        <v>1</v>
      </c>
      <c r="E29">
        <v>1320.99</v>
      </c>
      <c r="F29">
        <v>0.05</v>
      </c>
      <c r="G29">
        <f t="shared" si="0"/>
        <v>1320.94</v>
      </c>
      <c r="H29" t="str">
        <f>_xlfn.XLOOKUP(C29,products[Product_ID],products[Product_Name],"not found",0)</f>
        <v>Heller Shagamaw Frame - 2016</v>
      </c>
      <c r="I29" t="str">
        <f>VLOOKUP(products!D29,categories[#All],2,TRUE)</f>
        <v>Mountain Bikes</v>
      </c>
    </row>
    <row r="30" spans="1:9" x14ac:dyDescent="0.3">
      <c r="A30">
        <v>29</v>
      </c>
      <c r="B30">
        <v>1</v>
      </c>
      <c r="C30">
        <v>24</v>
      </c>
      <c r="D30">
        <v>2</v>
      </c>
      <c r="E30">
        <v>549.99</v>
      </c>
      <c r="F30">
        <v>0.05</v>
      </c>
      <c r="G30">
        <f t="shared" si="0"/>
        <v>1099.93</v>
      </c>
      <c r="H30" t="str">
        <f>_xlfn.XLOOKUP(C30,products[Product_ID],products[Product_Name],"not found",0)</f>
        <v>Electra Townie Original 21D - 2016</v>
      </c>
      <c r="I30" t="str">
        <f>VLOOKUP(products!D30,categories[#All],2,TRUE)</f>
        <v>Mountain Bikes</v>
      </c>
    </row>
    <row r="31" spans="1:9" x14ac:dyDescent="0.3">
      <c r="A31">
        <v>30</v>
      </c>
      <c r="B31">
        <v>1</v>
      </c>
      <c r="C31">
        <v>26</v>
      </c>
      <c r="D31">
        <v>1</v>
      </c>
      <c r="E31">
        <v>599.99</v>
      </c>
      <c r="F31">
        <v>0.05</v>
      </c>
      <c r="G31">
        <f t="shared" si="0"/>
        <v>599.94000000000005</v>
      </c>
      <c r="H31" t="str">
        <f>_xlfn.XLOOKUP(C31,products[Product_ID],products[Product_Name],"not found",0)</f>
        <v>Electra Townie Original 7D EQ - 2016</v>
      </c>
      <c r="I31" t="str">
        <f>VLOOKUP(products!D31,categories[#All],2,TRUE)</f>
        <v>Mountain Bikes</v>
      </c>
    </row>
    <row r="32" spans="1:9" x14ac:dyDescent="0.3">
      <c r="A32">
        <v>31</v>
      </c>
      <c r="B32">
        <v>1</v>
      </c>
      <c r="C32">
        <v>11</v>
      </c>
      <c r="D32">
        <v>2</v>
      </c>
      <c r="E32">
        <v>1680.99</v>
      </c>
      <c r="F32">
        <v>0.05</v>
      </c>
      <c r="G32">
        <f t="shared" si="0"/>
        <v>3361.93</v>
      </c>
      <c r="H32" t="str">
        <f>_xlfn.XLOOKUP(C32,products[Product_ID],products[Product_Name],"not found",0)</f>
        <v>Surly Straggler 650b - 2016</v>
      </c>
      <c r="I32" t="str">
        <f>VLOOKUP(products!D32,categories[#All],2,TRUE)</f>
        <v>Mountain Bikes</v>
      </c>
    </row>
    <row r="33" spans="1:9" x14ac:dyDescent="0.3">
      <c r="A33">
        <v>32</v>
      </c>
      <c r="B33">
        <v>1</v>
      </c>
      <c r="C33">
        <v>8</v>
      </c>
      <c r="D33">
        <v>2</v>
      </c>
      <c r="E33">
        <v>1799.99</v>
      </c>
      <c r="F33">
        <v>7.0000000000000007E-2</v>
      </c>
      <c r="G33">
        <f t="shared" si="0"/>
        <v>3599.91</v>
      </c>
      <c r="H33" t="str">
        <f>_xlfn.XLOOKUP(C33,products[Product_ID],products[Product_Name],"not found",0)</f>
        <v>Trek Remedy 29 Carbon Frameset - 2016</v>
      </c>
      <c r="I33" t="str">
        <f>VLOOKUP(products!D33,categories[#All],2,TRUE)</f>
        <v>Mountain Bikes</v>
      </c>
    </row>
    <row r="34" spans="1:9" x14ac:dyDescent="0.3">
      <c r="A34">
        <v>33</v>
      </c>
      <c r="B34">
        <v>1</v>
      </c>
      <c r="C34">
        <v>23</v>
      </c>
      <c r="D34">
        <v>2</v>
      </c>
      <c r="E34">
        <v>299.99</v>
      </c>
      <c r="F34">
        <v>7.0000000000000007E-2</v>
      </c>
      <c r="G34">
        <f t="shared" si="0"/>
        <v>599.91</v>
      </c>
      <c r="H34" t="str">
        <f>_xlfn.XLOOKUP(C34,products[Product_ID],products[Product_Name],"not found",0)</f>
        <v>Electra Girl's Hawaii 1 (20-inch) - 2015/2016</v>
      </c>
      <c r="I34" t="str">
        <f>VLOOKUP(products!D34,categories[#All],2,TRUE)</f>
        <v>Mountain Bikes</v>
      </c>
    </row>
    <row r="35" spans="1:9" x14ac:dyDescent="0.3">
      <c r="A35">
        <v>34</v>
      </c>
      <c r="B35">
        <v>1</v>
      </c>
      <c r="C35">
        <v>8</v>
      </c>
      <c r="D35">
        <v>2</v>
      </c>
      <c r="E35">
        <v>1799.99</v>
      </c>
      <c r="F35">
        <v>7.0000000000000007E-2</v>
      </c>
      <c r="G35">
        <f t="shared" si="0"/>
        <v>3599.91</v>
      </c>
      <c r="H35" t="str">
        <f>_xlfn.XLOOKUP(C35,products[Product_ID],products[Product_Name],"not found",0)</f>
        <v>Trek Remedy 29 Carbon Frameset - 2016</v>
      </c>
      <c r="I35" t="str">
        <f>VLOOKUP(products!D35,categories[#All],2,TRUE)</f>
        <v>Mountain Bikes</v>
      </c>
    </row>
    <row r="36" spans="1:9" x14ac:dyDescent="0.3">
      <c r="A36">
        <v>35</v>
      </c>
      <c r="B36">
        <v>1</v>
      </c>
      <c r="C36">
        <v>18</v>
      </c>
      <c r="D36">
        <v>1</v>
      </c>
      <c r="E36">
        <v>449</v>
      </c>
      <c r="F36">
        <v>0.05</v>
      </c>
      <c r="G36">
        <f t="shared" si="0"/>
        <v>448.95</v>
      </c>
      <c r="H36" t="str">
        <f>_xlfn.XLOOKUP(C36,products[Product_ID],products[Product_Name],"not found",0)</f>
        <v>Pure Cycles Western 3-Speed - Women's - 2015/2016</v>
      </c>
      <c r="I36" t="str">
        <f>VLOOKUP(products!D36,categories[#All],2,TRUE)</f>
        <v>Mountain Bikes</v>
      </c>
    </row>
    <row r="37" spans="1:9" x14ac:dyDescent="0.3">
      <c r="A37">
        <v>36</v>
      </c>
      <c r="B37">
        <v>1</v>
      </c>
      <c r="C37">
        <v>9</v>
      </c>
      <c r="D37">
        <v>1</v>
      </c>
      <c r="E37">
        <v>2999.99</v>
      </c>
      <c r="F37">
        <v>7.0000000000000007E-2</v>
      </c>
      <c r="G37">
        <f t="shared" si="0"/>
        <v>2999.9199999999996</v>
      </c>
      <c r="H37" t="str">
        <f>_xlfn.XLOOKUP(C37,products[Product_ID],products[Product_Name],"not found",0)</f>
        <v>Trek Conduit+ - 2016</v>
      </c>
      <c r="I37" t="str">
        <f>VLOOKUP(products!D37,categories[#All],2,TRUE)</f>
        <v>Mountain Bikes</v>
      </c>
    </row>
    <row r="38" spans="1:9" x14ac:dyDescent="0.3">
      <c r="A38">
        <v>37</v>
      </c>
      <c r="B38">
        <v>1</v>
      </c>
      <c r="C38">
        <v>16</v>
      </c>
      <c r="D38">
        <v>2</v>
      </c>
      <c r="E38">
        <v>599.99</v>
      </c>
      <c r="F38">
        <v>0.05</v>
      </c>
      <c r="G38">
        <f t="shared" si="0"/>
        <v>1199.93</v>
      </c>
      <c r="H38" t="str">
        <f>_xlfn.XLOOKUP(C38,products[Product_ID],products[Product_Name],"not found",0)</f>
        <v>Electra Townie Original 7D EQ - 2016</v>
      </c>
      <c r="I38" t="str">
        <f>VLOOKUP(products!D38,categories[#All],2,TRUE)</f>
        <v>Mountain Bikes</v>
      </c>
    </row>
    <row r="39" spans="1:9" x14ac:dyDescent="0.3">
      <c r="A39">
        <v>38</v>
      </c>
      <c r="B39">
        <v>1</v>
      </c>
      <c r="C39">
        <v>7</v>
      </c>
      <c r="D39">
        <v>2</v>
      </c>
      <c r="E39">
        <v>3999.99</v>
      </c>
      <c r="F39">
        <v>0.05</v>
      </c>
      <c r="G39">
        <f t="shared" si="0"/>
        <v>7999.9299999999994</v>
      </c>
      <c r="H39" t="str">
        <f>_xlfn.XLOOKUP(C39,products[Product_ID],products[Product_Name],"not found",0)</f>
        <v>Trek Slash 8 27.5 - 2016</v>
      </c>
      <c r="I39" t="str">
        <f>VLOOKUP(products!D39,categories[#All],2,TRUE)</f>
        <v>Mountain Bikes</v>
      </c>
    </row>
    <row r="40" spans="1:9" x14ac:dyDescent="0.3">
      <c r="A40">
        <v>39</v>
      </c>
      <c r="B40">
        <v>1</v>
      </c>
      <c r="C40">
        <v>22</v>
      </c>
      <c r="D40">
        <v>2</v>
      </c>
      <c r="E40">
        <v>269.99</v>
      </c>
      <c r="F40">
        <v>0.2</v>
      </c>
      <c r="G40">
        <f t="shared" si="0"/>
        <v>539.78</v>
      </c>
      <c r="H40" t="str">
        <f>_xlfn.XLOOKUP(C40,products[Product_ID],products[Product_Name],"not found",0)</f>
        <v>Electra Girl's Hawaii 1 (16-inch) - 2015/2016</v>
      </c>
      <c r="I40" t="str">
        <f>VLOOKUP(products!D40,categories[#All],2,TRUE)</f>
        <v>Mountain Bikes</v>
      </c>
    </row>
    <row r="41" spans="1:9" x14ac:dyDescent="0.3">
      <c r="A41">
        <v>40</v>
      </c>
      <c r="B41">
        <v>1</v>
      </c>
      <c r="C41">
        <v>17</v>
      </c>
      <c r="D41">
        <v>1</v>
      </c>
      <c r="E41">
        <v>429</v>
      </c>
      <c r="F41">
        <v>0.2</v>
      </c>
      <c r="G41">
        <f t="shared" si="0"/>
        <v>428.8</v>
      </c>
      <c r="H41" t="str">
        <f>_xlfn.XLOOKUP(C41,products[Product_ID],products[Product_Name],"not found",0)</f>
        <v>Pure Cycles Vine 8-Speed - 2016</v>
      </c>
      <c r="I41" t="str">
        <f>VLOOKUP(products!D41,categories[#All],2,TRUE)</f>
        <v>Mountain Bikes</v>
      </c>
    </row>
    <row r="42" spans="1:9" x14ac:dyDescent="0.3">
      <c r="A42">
        <v>41</v>
      </c>
      <c r="B42">
        <v>1</v>
      </c>
      <c r="C42">
        <v>5</v>
      </c>
      <c r="D42">
        <v>1</v>
      </c>
      <c r="E42">
        <v>1320.99</v>
      </c>
      <c r="F42">
        <v>0.1</v>
      </c>
      <c r="G42">
        <f t="shared" si="0"/>
        <v>1320.89</v>
      </c>
      <c r="H42" t="str">
        <f>_xlfn.XLOOKUP(C42,products[Product_ID],products[Product_Name],"not found",0)</f>
        <v>Heller Shagamaw Frame - 2016</v>
      </c>
      <c r="I42" t="str">
        <f>VLOOKUP(products!D42,categories[#All],2,TRUE)</f>
        <v>Mountain Bikes</v>
      </c>
    </row>
    <row r="43" spans="1:9" x14ac:dyDescent="0.3">
      <c r="A43">
        <v>42</v>
      </c>
      <c r="B43">
        <v>1</v>
      </c>
      <c r="C43">
        <v>19</v>
      </c>
      <c r="D43">
        <v>1</v>
      </c>
      <c r="E43">
        <v>449</v>
      </c>
      <c r="F43">
        <v>0.05</v>
      </c>
      <c r="G43">
        <f t="shared" si="0"/>
        <v>448.95</v>
      </c>
      <c r="H43" t="str">
        <f>_xlfn.XLOOKUP(C43,products[Product_ID],products[Product_Name],"not found",0)</f>
        <v>Pure Cycles William 3-Speed - 2016</v>
      </c>
      <c r="I43" t="str">
        <f>VLOOKUP(products!D43,categories[#All],2,TRUE)</f>
        <v>Mountain Bikes</v>
      </c>
    </row>
    <row r="44" spans="1:9" x14ac:dyDescent="0.3">
      <c r="A44">
        <v>43</v>
      </c>
      <c r="B44">
        <v>1</v>
      </c>
      <c r="C44">
        <v>13</v>
      </c>
      <c r="D44">
        <v>2</v>
      </c>
      <c r="E44">
        <v>269.99</v>
      </c>
      <c r="F44">
        <v>0.1</v>
      </c>
      <c r="G44">
        <f t="shared" si="0"/>
        <v>539.88</v>
      </c>
      <c r="H44" t="str">
        <f>_xlfn.XLOOKUP(C44,products[Product_ID],products[Product_Name],"not found",0)</f>
        <v>Electra Cruiser 1 (24-Inch) - 2016</v>
      </c>
      <c r="I44" t="str">
        <f>VLOOKUP(products!D44,categories[#All],2,TRUE)</f>
        <v>Mountain Bikes</v>
      </c>
    </row>
    <row r="45" spans="1:9" x14ac:dyDescent="0.3">
      <c r="A45">
        <v>44</v>
      </c>
      <c r="B45">
        <v>1</v>
      </c>
      <c r="C45">
        <v>7</v>
      </c>
      <c r="D45">
        <v>1</v>
      </c>
      <c r="E45">
        <v>3999.99</v>
      </c>
      <c r="F45">
        <v>0.1</v>
      </c>
      <c r="G45">
        <f t="shared" si="0"/>
        <v>3999.89</v>
      </c>
      <c r="H45" t="str">
        <f>_xlfn.XLOOKUP(C45,products[Product_ID],products[Product_Name],"not found",0)</f>
        <v>Trek Slash 8 27.5 - 2016</v>
      </c>
      <c r="I45" t="str">
        <f>VLOOKUP(products!D45,categories[#All],2,TRUE)</f>
        <v>Mountain Bikes</v>
      </c>
    </row>
    <row r="46" spans="1:9" x14ac:dyDescent="0.3">
      <c r="A46">
        <v>45</v>
      </c>
      <c r="B46">
        <v>1</v>
      </c>
      <c r="C46">
        <v>4</v>
      </c>
      <c r="D46">
        <v>2</v>
      </c>
      <c r="E46">
        <v>2899.99</v>
      </c>
      <c r="F46">
        <v>0.2</v>
      </c>
      <c r="G46">
        <f t="shared" si="0"/>
        <v>5799.78</v>
      </c>
      <c r="H46" t="str">
        <f>_xlfn.XLOOKUP(C46,products[Product_ID],products[Product_Name],"not found",0)</f>
        <v>Trek Fuel EX 8 29 - 2016</v>
      </c>
      <c r="I46" t="str">
        <f>VLOOKUP(products!D46,categories[#All],2,TRUE)</f>
        <v>Mountain Bikes</v>
      </c>
    </row>
    <row r="47" spans="1:9" x14ac:dyDescent="0.3">
      <c r="A47">
        <v>46</v>
      </c>
      <c r="B47">
        <v>1</v>
      </c>
      <c r="C47">
        <v>17</v>
      </c>
      <c r="D47">
        <v>1</v>
      </c>
      <c r="E47">
        <v>429</v>
      </c>
      <c r="F47">
        <v>0.1</v>
      </c>
      <c r="G47">
        <f t="shared" si="0"/>
        <v>428.9</v>
      </c>
      <c r="H47" t="str">
        <f>_xlfn.XLOOKUP(C47,products[Product_ID],products[Product_Name],"not found",0)</f>
        <v>Pure Cycles Vine 8-Speed - 2016</v>
      </c>
      <c r="I47" t="str">
        <f>VLOOKUP(products!D47,categories[#All],2,TRUE)</f>
        <v>Mountain Bikes</v>
      </c>
    </row>
    <row r="48" spans="1:9" x14ac:dyDescent="0.3">
      <c r="A48">
        <v>47</v>
      </c>
      <c r="B48">
        <v>1</v>
      </c>
      <c r="C48">
        <v>6</v>
      </c>
      <c r="D48">
        <v>1</v>
      </c>
      <c r="E48">
        <v>469.99</v>
      </c>
      <c r="F48">
        <v>0.05</v>
      </c>
      <c r="G48">
        <f t="shared" si="0"/>
        <v>469.94</v>
      </c>
      <c r="H48" t="str">
        <f>_xlfn.XLOOKUP(C48,products[Product_ID],products[Product_Name],"not found",0)</f>
        <v>Surly Ice Cream Truck Frameset - 2016</v>
      </c>
      <c r="I48" t="str">
        <f>VLOOKUP(products!D48,categories[#All],2,TRUE)</f>
        <v>Mountain Bikes</v>
      </c>
    </row>
    <row r="49" spans="1:9" x14ac:dyDescent="0.3">
      <c r="A49">
        <v>48</v>
      </c>
      <c r="B49">
        <v>1</v>
      </c>
      <c r="C49">
        <v>11</v>
      </c>
      <c r="D49">
        <v>1</v>
      </c>
      <c r="E49">
        <v>1680.99</v>
      </c>
      <c r="F49">
        <v>0.1</v>
      </c>
      <c r="G49">
        <f t="shared" si="0"/>
        <v>1680.89</v>
      </c>
      <c r="H49" t="str">
        <f>_xlfn.XLOOKUP(C49,products[Product_ID],products[Product_Name],"not found",0)</f>
        <v>Surly Straggler 650b - 2016</v>
      </c>
      <c r="I49" t="str">
        <f>VLOOKUP(products!D49,categories[#All],2,TRUE)</f>
        <v>Road Bikes</v>
      </c>
    </row>
    <row r="50" spans="1:9" x14ac:dyDescent="0.3">
      <c r="A50">
        <v>49</v>
      </c>
      <c r="B50">
        <v>1</v>
      </c>
      <c r="C50">
        <v>13</v>
      </c>
      <c r="D50">
        <v>2</v>
      </c>
      <c r="E50">
        <v>269.99</v>
      </c>
      <c r="F50">
        <v>7.0000000000000007E-2</v>
      </c>
      <c r="G50">
        <f t="shared" si="0"/>
        <v>539.91</v>
      </c>
      <c r="H50" t="str">
        <f>_xlfn.XLOOKUP(C50,products[Product_ID],products[Product_Name],"not found",0)</f>
        <v>Electra Cruiser 1 (24-Inch) - 2016</v>
      </c>
      <c r="I50" t="str">
        <f>VLOOKUP(products!D50,categories[#All],2,TRUE)</f>
        <v>Road Bikes</v>
      </c>
    </row>
    <row r="51" spans="1:9" x14ac:dyDescent="0.3">
      <c r="A51">
        <v>50</v>
      </c>
      <c r="B51">
        <v>1</v>
      </c>
      <c r="C51">
        <v>3</v>
      </c>
      <c r="D51">
        <v>1</v>
      </c>
      <c r="E51">
        <v>999.99</v>
      </c>
      <c r="F51">
        <v>0.05</v>
      </c>
      <c r="G51">
        <f t="shared" si="0"/>
        <v>999.94</v>
      </c>
      <c r="H51" t="str">
        <f>_xlfn.XLOOKUP(C51,products[Product_ID],products[Product_Name],"not found",0)</f>
        <v>Surly Wednesday Frameset - 2016</v>
      </c>
      <c r="I51" t="str">
        <f>VLOOKUP(products!D51,categories[#All],2,TRUE)</f>
        <v>Road Bikes</v>
      </c>
    </row>
    <row r="52" spans="1:9" x14ac:dyDescent="0.3">
      <c r="A52">
        <v>51</v>
      </c>
      <c r="B52">
        <v>1</v>
      </c>
      <c r="C52">
        <v>13</v>
      </c>
      <c r="D52">
        <v>1</v>
      </c>
      <c r="E52">
        <v>269.99</v>
      </c>
      <c r="F52">
        <v>0.05</v>
      </c>
      <c r="G52">
        <f t="shared" si="0"/>
        <v>269.94</v>
      </c>
      <c r="H52" t="str">
        <f>_xlfn.XLOOKUP(C52,products[Product_ID],products[Product_Name],"not found",0)</f>
        <v>Electra Cruiser 1 (24-Inch) - 2016</v>
      </c>
      <c r="I52" t="str">
        <f>VLOOKUP(products!D52,categories[#All],2,TRUE)</f>
        <v>Road Bikes</v>
      </c>
    </row>
    <row r="53" spans="1:9" x14ac:dyDescent="0.3">
      <c r="A53">
        <v>52</v>
      </c>
      <c r="B53">
        <v>1</v>
      </c>
      <c r="C53">
        <v>25</v>
      </c>
      <c r="D53">
        <v>1</v>
      </c>
      <c r="E53">
        <v>499.99</v>
      </c>
      <c r="F53">
        <v>7.0000000000000007E-2</v>
      </c>
      <c r="G53">
        <f t="shared" si="0"/>
        <v>499.92</v>
      </c>
      <c r="H53" t="str">
        <f>_xlfn.XLOOKUP(C53,products[Product_ID],products[Product_Name],"not found",0)</f>
        <v>Electra Townie Original 7D - 2015/2016</v>
      </c>
      <c r="I53" t="str">
        <f>VLOOKUP(products!D53,categories[#All],2,TRUE)</f>
        <v>Road Bikes</v>
      </c>
    </row>
    <row r="54" spans="1:9" x14ac:dyDescent="0.3">
      <c r="A54">
        <v>53</v>
      </c>
      <c r="B54">
        <v>1</v>
      </c>
      <c r="C54">
        <v>8</v>
      </c>
      <c r="D54">
        <v>2</v>
      </c>
      <c r="E54">
        <v>1799.99</v>
      </c>
      <c r="F54">
        <v>0.2</v>
      </c>
      <c r="G54">
        <f t="shared" si="0"/>
        <v>3599.78</v>
      </c>
      <c r="H54" t="str">
        <f>_xlfn.XLOOKUP(C54,products[Product_ID],products[Product_Name],"not found",0)</f>
        <v>Trek Remedy 29 Carbon Frameset - 2016</v>
      </c>
      <c r="I54" t="str">
        <f>VLOOKUP(products!D54,categories[#All],2,TRUE)</f>
        <v>Road Bikes</v>
      </c>
    </row>
    <row r="55" spans="1:9" x14ac:dyDescent="0.3">
      <c r="A55">
        <v>54</v>
      </c>
      <c r="B55">
        <v>1</v>
      </c>
      <c r="C55">
        <v>26</v>
      </c>
      <c r="D55">
        <v>2</v>
      </c>
      <c r="E55">
        <v>599.99</v>
      </c>
      <c r="F55">
        <v>0.2</v>
      </c>
      <c r="G55">
        <f t="shared" si="0"/>
        <v>1199.78</v>
      </c>
      <c r="H55" t="str">
        <f>_xlfn.XLOOKUP(C55,products[Product_ID],products[Product_Name],"not found",0)</f>
        <v>Electra Townie Original 7D EQ - 2016</v>
      </c>
      <c r="I55" t="str">
        <f>VLOOKUP(products!D55,categories[#All],2,TRUE)</f>
        <v>Road Bikes</v>
      </c>
    </row>
    <row r="56" spans="1:9" x14ac:dyDescent="0.3">
      <c r="A56">
        <v>55</v>
      </c>
      <c r="B56">
        <v>1</v>
      </c>
      <c r="C56">
        <v>21</v>
      </c>
      <c r="D56">
        <v>1</v>
      </c>
      <c r="E56">
        <v>269.99</v>
      </c>
      <c r="F56">
        <v>0.05</v>
      </c>
      <c r="G56">
        <f t="shared" si="0"/>
        <v>269.94</v>
      </c>
      <c r="H56" t="str">
        <f>_xlfn.XLOOKUP(C56,products[Product_ID],products[Product_Name],"not found",0)</f>
        <v>Electra Cruiser 1 (24-Inch) - 2016</v>
      </c>
      <c r="I56" t="str">
        <f>VLOOKUP(products!D56,categories[#All],2,TRUE)</f>
        <v>Road Bikes</v>
      </c>
    </row>
    <row r="57" spans="1:9" x14ac:dyDescent="0.3">
      <c r="A57">
        <v>56</v>
      </c>
      <c r="B57">
        <v>1</v>
      </c>
      <c r="C57">
        <v>20</v>
      </c>
      <c r="D57">
        <v>2</v>
      </c>
      <c r="E57">
        <v>599.99</v>
      </c>
      <c r="F57">
        <v>7.0000000000000007E-2</v>
      </c>
      <c r="G57">
        <f t="shared" si="0"/>
        <v>1199.9100000000001</v>
      </c>
      <c r="H57" t="str">
        <f>_xlfn.XLOOKUP(C57,products[Product_ID],products[Product_Name],"not found",0)</f>
        <v>Electra Townie Original 7D EQ - Women's - 2016</v>
      </c>
      <c r="I57" t="str">
        <f>VLOOKUP(products!D57,categories[#All],2,TRUE)</f>
        <v>Road Bikes</v>
      </c>
    </row>
    <row r="58" spans="1:9" x14ac:dyDescent="0.3">
      <c r="A58">
        <v>57</v>
      </c>
      <c r="B58">
        <v>1</v>
      </c>
      <c r="C58">
        <v>23</v>
      </c>
      <c r="D58">
        <v>2</v>
      </c>
      <c r="E58">
        <v>299.99</v>
      </c>
      <c r="F58">
        <v>0.1</v>
      </c>
      <c r="G58">
        <f t="shared" si="0"/>
        <v>599.88</v>
      </c>
      <c r="H58" t="str">
        <f>_xlfn.XLOOKUP(C58,products[Product_ID],products[Product_Name],"not found",0)</f>
        <v>Electra Girl's Hawaii 1 (20-inch) - 2015/2016</v>
      </c>
      <c r="I58" t="str">
        <f>VLOOKUP(products!D58,categories[#All],2,TRUE)</f>
        <v>Road Bikes</v>
      </c>
    </row>
    <row r="59" spans="1:9" x14ac:dyDescent="0.3">
      <c r="A59">
        <v>58</v>
      </c>
      <c r="B59">
        <v>1</v>
      </c>
      <c r="C59">
        <v>14</v>
      </c>
      <c r="D59">
        <v>2</v>
      </c>
      <c r="E59">
        <v>269.99</v>
      </c>
      <c r="F59">
        <v>0.05</v>
      </c>
      <c r="G59">
        <f t="shared" si="0"/>
        <v>539.93000000000006</v>
      </c>
      <c r="H59" t="str">
        <f>_xlfn.XLOOKUP(C59,products[Product_ID],products[Product_Name],"not found",0)</f>
        <v>Electra Girl's Hawaii 1 (16-inch) - 2015/2016</v>
      </c>
      <c r="I59" t="str">
        <f>VLOOKUP(products!D59,categories[#All],2,TRUE)</f>
        <v>Road Bikes</v>
      </c>
    </row>
    <row r="60" spans="1:9" x14ac:dyDescent="0.3">
      <c r="A60">
        <v>59</v>
      </c>
      <c r="B60">
        <v>1</v>
      </c>
      <c r="C60">
        <v>21</v>
      </c>
      <c r="D60">
        <v>1</v>
      </c>
      <c r="E60">
        <v>269.99</v>
      </c>
      <c r="F60">
        <v>0.05</v>
      </c>
      <c r="G60">
        <f t="shared" si="0"/>
        <v>269.94</v>
      </c>
      <c r="H60" t="str">
        <f>_xlfn.XLOOKUP(C60,products[Product_ID],products[Product_Name],"not found",0)</f>
        <v>Electra Cruiser 1 (24-Inch) - 2016</v>
      </c>
      <c r="I60" t="str">
        <f>VLOOKUP(products!D60,categories[#All],2,TRUE)</f>
        <v>Road Bikes</v>
      </c>
    </row>
    <row r="61" spans="1:9" x14ac:dyDescent="0.3">
      <c r="A61">
        <v>60</v>
      </c>
      <c r="B61">
        <v>1</v>
      </c>
      <c r="C61">
        <v>14</v>
      </c>
      <c r="D61">
        <v>2</v>
      </c>
      <c r="E61">
        <v>269.99</v>
      </c>
      <c r="F61">
        <v>0.05</v>
      </c>
      <c r="G61">
        <f t="shared" si="0"/>
        <v>539.93000000000006</v>
      </c>
      <c r="H61" t="str">
        <f>_xlfn.XLOOKUP(C61,products[Product_ID],products[Product_Name],"not found",0)</f>
        <v>Electra Girl's Hawaii 1 (16-inch) - 2015/2016</v>
      </c>
      <c r="I61" t="str">
        <f>VLOOKUP(products!D61,categories[#All],2,TRUE)</f>
        <v>Electric Bikes</v>
      </c>
    </row>
    <row r="62" spans="1:9" x14ac:dyDescent="0.3">
      <c r="A62">
        <v>61</v>
      </c>
      <c r="B62">
        <v>1</v>
      </c>
      <c r="C62">
        <v>25</v>
      </c>
      <c r="D62">
        <v>1</v>
      </c>
      <c r="E62">
        <v>499.99</v>
      </c>
      <c r="F62">
        <v>0.1</v>
      </c>
      <c r="G62">
        <f t="shared" si="0"/>
        <v>499.89</v>
      </c>
      <c r="H62" t="str">
        <f>_xlfn.XLOOKUP(C62,products[Product_ID],products[Product_Name],"not found",0)</f>
        <v>Electra Townie Original 7D - 2015/2016</v>
      </c>
      <c r="I62" t="str">
        <f>VLOOKUP(products!D62,categories[#All],2,TRUE)</f>
        <v>Electric Bikes</v>
      </c>
    </row>
    <row r="63" spans="1:9" x14ac:dyDescent="0.3">
      <c r="A63">
        <v>62</v>
      </c>
      <c r="B63">
        <v>1</v>
      </c>
      <c r="C63">
        <v>14</v>
      </c>
      <c r="D63">
        <v>1</v>
      </c>
      <c r="E63">
        <v>269.99</v>
      </c>
      <c r="F63">
        <v>7.0000000000000007E-2</v>
      </c>
      <c r="G63">
        <f t="shared" si="0"/>
        <v>269.92</v>
      </c>
      <c r="H63" t="str">
        <f>_xlfn.XLOOKUP(C63,products[Product_ID],products[Product_Name],"not found",0)</f>
        <v>Electra Girl's Hawaii 1 (16-inch) - 2015/2016</v>
      </c>
      <c r="I63" t="str">
        <f>VLOOKUP(products!D63,categories[#All],2,TRUE)</f>
        <v>Cyclocross Bicycles</v>
      </c>
    </row>
    <row r="64" spans="1:9" x14ac:dyDescent="0.3">
      <c r="A64">
        <v>63</v>
      </c>
      <c r="B64">
        <v>1</v>
      </c>
      <c r="C64">
        <v>25</v>
      </c>
      <c r="D64">
        <v>2</v>
      </c>
      <c r="E64">
        <v>499.99</v>
      </c>
      <c r="F64">
        <v>0.1</v>
      </c>
      <c r="G64">
        <f t="shared" si="0"/>
        <v>999.88</v>
      </c>
      <c r="H64" t="str">
        <f>_xlfn.XLOOKUP(C64,products[Product_ID],products[Product_Name],"not found",0)</f>
        <v>Electra Townie Original 7D - 2015/2016</v>
      </c>
      <c r="I64" t="str">
        <f>VLOOKUP(products!D64,categories[#All],2,TRUE)</f>
        <v>Cyclocross Bicycles</v>
      </c>
    </row>
    <row r="65" spans="1:9" x14ac:dyDescent="0.3">
      <c r="A65">
        <v>64</v>
      </c>
      <c r="B65">
        <v>1</v>
      </c>
      <c r="C65">
        <v>25</v>
      </c>
      <c r="D65">
        <v>2</v>
      </c>
      <c r="E65">
        <v>499.99</v>
      </c>
      <c r="F65">
        <v>0.1</v>
      </c>
      <c r="G65">
        <f t="shared" si="0"/>
        <v>999.88</v>
      </c>
      <c r="H65" t="str">
        <f>_xlfn.XLOOKUP(C65,products[Product_ID],products[Product_Name],"not found",0)</f>
        <v>Electra Townie Original 7D - 2015/2016</v>
      </c>
      <c r="I65" t="str">
        <f>VLOOKUP(products!D65,categories[#All],2,TRUE)</f>
        <v>Cruisers Bicycles</v>
      </c>
    </row>
    <row r="66" spans="1:9" x14ac:dyDescent="0.3">
      <c r="A66">
        <v>65</v>
      </c>
      <c r="B66">
        <v>1</v>
      </c>
      <c r="C66">
        <v>12</v>
      </c>
      <c r="D66">
        <v>1</v>
      </c>
      <c r="E66">
        <v>549.99</v>
      </c>
      <c r="F66">
        <v>0.1</v>
      </c>
      <c r="G66">
        <f t="shared" ref="G66:G129" si="1">(E66*D66)-F66</f>
        <v>549.89</v>
      </c>
      <c r="H66" t="str">
        <f>_xlfn.XLOOKUP(C66,products[Product_ID],products[Product_Name],"not found",0)</f>
        <v>Electra Townie Original 21D - 2016</v>
      </c>
      <c r="I66" t="str">
        <f>VLOOKUP(products!D66,categories[#All],2,TRUE)</f>
        <v>Cruisers Bicycles</v>
      </c>
    </row>
    <row r="67" spans="1:9" x14ac:dyDescent="0.3">
      <c r="A67">
        <v>66</v>
      </c>
      <c r="B67">
        <v>1</v>
      </c>
      <c r="C67">
        <v>2</v>
      </c>
      <c r="D67">
        <v>1</v>
      </c>
      <c r="E67">
        <v>749.99</v>
      </c>
      <c r="F67">
        <v>0.2</v>
      </c>
      <c r="G67">
        <f t="shared" si="1"/>
        <v>749.79</v>
      </c>
      <c r="H67" t="str">
        <f>_xlfn.XLOOKUP(C67,products[Product_ID],products[Product_Name],"not found",0)</f>
        <v>Ritchey Timberwolf Frameset - 2016</v>
      </c>
      <c r="I67" t="str">
        <f>VLOOKUP(products!D67,categories[#All],2,TRUE)</f>
        <v>Cruisers Bicycles</v>
      </c>
    </row>
    <row r="68" spans="1:9" x14ac:dyDescent="0.3">
      <c r="A68">
        <v>67</v>
      </c>
      <c r="B68">
        <v>1</v>
      </c>
      <c r="C68">
        <v>23</v>
      </c>
      <c r="D68">
        <v>2</v>
      </c>
      <c r="E68">
        <v>299.99</v>
      </c>
      <c r="F68">
        <v>0.2</v>
      </c>
      <c r="G68">
        <f t="shared" si="1"/>
        <v>599.78</v>
      </c>
      <c r="H68" t="str">
        <f>_xlfn.XLOOKUP(C68,products[Product_ID],products[Product_Name],"not found",0)</f>
        <v>Electra Girl's Hawaii 1 (20-inch) - 2015/2016</v>
      </c>
      <c r="I68" t="str">
        <f>VLOOKUP(products!D68,categories[#All],2,TRUE)</f>
        <v>Cruisers Bicycles</v>
      </c>
    </row>
    <row r="69" spans="1:9" x14ac:dyDescent="0.3">
      <c r="A69">
        <v>68</v>
      </c>
      <c r="B69">
        <v>1</v>
      </c>
      <c r="C69">
        <v>13</v>
      </c>
      <c r="D69">
        <v>2</v>
      </c>
      <c r="E69">
        <v>269.99</v>
      </c>
      <c r="F69">
        <v>7.0000000000000007E-2</v>
      </c>
      <c r="G69">
        <f t="shared" si="1"/>
        <v>539.91</v>
      </c>
      <c r="H69" t="str">
        <f>_xlfn.XLOOKUP(C69,products[Product_ID],products[Product_Name],"not found",0)</f>
        <v>Electra Cruiser 1 (24-Inch) - 2016</v>
      </c>
      <c r="I69" t="str">
        <f>VLOOKUP(products!D69,categories[#All],2,TRUE)</f>
        <v>Cruisers Bicycles</v>
      </c>
    </row>
    <row r="70" spans="1:9" x14ac:dyDescent="0.3">
      <c r="A70">
        <v>69</v>
      </c>
      <c r="B70">
        <v>1</v>
      </c>
      <c r="C70">
        <v>22</v>
      </c>
      <c r="D70">
        <v>2</v>
      </c>
      <c r="E70">
        <v>269.99</v>
      </c>
      <c r="F70">
        <v>0.1</v>
      </c>
      <c r="G70">
        <f t="shared" si="1"/>
        <v>539.88</v>
      </c>
      <c r="H70" t="str">
        <f>_xlfn.XLOOKUP(C70,products[Product_ID],products[Product_Name],"not found",0)</f>
        <v>Electra Girl's Hawaii 1 (16-inch) - 2015/2016</v>
      </c>
      <c r="I70" t="str">
        <f>VLOOKUP(products!D70,categories[#All],2,TRUE)</f>
        <v>Cruisers Bicycles</v>
      </c>
    </row>
    <row r="71" spans="1:9" x14ac:dyDescent="0.3">
      <c r="A71">
        <v>70</v>
      </c>
      <c r="B71">
        <v>1</v>
      </c>
      <c r="C71">
        <v>3</v>
      </c>
      <c r="D71">
        <v>2</v>
      </c>
      <c r="E71">
        <v>999.99</v>
      </c>
      <c r="F71">
        <v>0.05</v>
      </c>
      <c r="G71">
        <f t="shared" si="1"/>
        <v>1999.93</v>
      </c>
      <c r="H71" t="str">
        <f>_xlfn.XLOOKUP(C71,products[Product_ID],products[Product_Name],"not found",0)</f>
        <v>Surly Wednesday Frameset - 2016</v>
      </c>
      <c r="I71" t="str">
        <f>VLOOKUP(products!D71,categories[#All],2,TRUE)</f>
        <v>Cruisers Bicycles</v>
      </c>
    </row>
    <row r="72" spans="1:9" x14ac:dyDescent="0.3">
      <c r="A72">
        <v>71</v>
      </c>
      <c r="B72">
        <v>1</v>
      </c>
      <c r="C72">
        <v>26</v>
      </c>
      <c r="D72">
        <v>2</v>
      </c>
      <c r="E72">
        <v>599.99</v>
      </c>
      <c r="F72">
        <v>0.05</v>
      </c>
      <c r="G72">
        <f t="shared" si="1"/>
        <v>1199.93</v>
      </c>
      <c r="H72" t="str">
        <f>_xlfn.XLOOKUP(C72,products[Product_ID],products[Product_Name],"not found",0)</f>
        <v>Electra Townie Original 7D EQ - 2016</v>
      </c>
      <c r="I72" t="str">
        <f>VLOOKUP(products!D72,categories[#All],2,TRUE)</f>
        <v>Cruisers Bicycles</v>
      </c>
    </row>
    <row r="73" spans="1:9" x14ac:dyDescent="0.3">
      <c r="A73">
        <v>72</v>
      </c>
      <c r="B73">
        <v>1</v>
      </c>
      <c r="C73">
        <v>17</v>
      </c>
      <c r="D73">
        <v>2</v>
      </c>
      <c r="E73">
        <v>429</v>
      </c>
      <c r="F73">
        <v>7.0000000000000007E-2</v>
      </c>
      <c r="G73">
        <f t="shared" si="1"/>
        <v>857.93</v>
      </c>
      <c r="H73" t="str">
        <f>_xlfn.XLOOKUP(C73,products[Product_ID],products[Product_Name],"not found",0)</f>
        <v>Pure Cycles Vine 8-Speed - 2016</v>
      </c>
      <c r="I73" t="str">
        <f>VLOOKUP(products!D73,categories[#All],2,TRUE)</f>
        <v>Cruisers Bicycles</v>
      </c>
    </row>
    <row r="74" spans="1:9" x14ac:dyDescent="0.3">
      <c r="A74">
        <v>73</v>
      </c>
      <c r="B74">
        <v>1</v>
      </c>
      <c r="C74">
        <v>22</v>
      </c>
      <c r="D74">
        <v>1</v>
      </c>
      <c r="E74">
        <v>269.99</v>
      </c>
      <c r="F74">
        <v>7.0000000000000007E-2</v>
      </c>
      <c r="G74">
        <f t="shared" si="1"/>
        <v>269.92</v>
      </c>
      <c r="H74" t="str">
        <f>_xlfn.XLOOKUP(C74,products[Product_ID],products[Product_Name],"not found",0)</f>
        <v>Electra Girl's Hawaii 1 (16-inch) - 2015/2016</v>
      </c>
      <c r="I74" t="str">
        <f>VLOOKUP(products!D74,categories[#All],2,TRUE)</f>
        <v>Cruisers Bicycles</v>
      </c>
    </row>
    <row r="75" spans="1:9" x14ac:dyDescent="0.3">
      <c r="A75">
        <v>74</v>
      </c>
      <c r="B75">
        <v>1</v>
      </c>
      <c r="C75">
        <v>16</v>
      </c>
      <c r="D75">
        <v>2</v>
      </c>
      <c r="E75">
        <v>599.99</v>
      </c>
      <c r="F75">
        <v>0.05</v>
      </c>
      <c r="G75">
        <f t="shared" si="1"/>
        <v>1199.93</v>
      </c>
      <c r="H75" t="str">
        <f>_xlfn.XLOOKUP(C75,products[Product_ID],products[Product_Name],"not found",0)</f>
        <v>Electra Townie Original 7D EQ - 2016</v>
      </c>
      <c r="I75" t="str">
        <f>VLOOKUP(products!D75,categories[#All],2,TRUE)</f>
        <v>Cruisers Bicycles</v>
      </c>
    </row>
    <row r="76" spans="1:9" x14ac:dyDescent="0.3">
      <c r="A76">
        <v>75</v>
      </c>
      <c r="B76">
        <v>1</v>
      </c>
      <c r="C76">
        <v>3</v>
      </c>
      <c r="D76">
        <v>1</v>
      </c>
      <c r="E76">
        <v>999.99</v>
      </c>
      <c r="F76">
        <v>0.1</v>
      </c>
      <c r="G76">
        <f t="shared" si="1"/>
        <v>999.89</v>
      </c>
      <c r="H76" t="str">
        <f>_xlfn.XLOOKUP(C76,products[Product_ID],products[Product_Name],"not found",0)</f>
        <v>Surly Wednesday Frameset - 2016</v>
      </c>
      <c r="I76" t="str">
        <f>VLOOKUP(products!D76,categories[#All],2,TRUE)</f>
        <v>Cruisers Bicycles</v>
      </c>
    </row>
    <row r="77" spans="1:9" x14ac:dyDescent="0.3">
      <c r="A77">
        <v>76</v>
      </c>
      <c r="B77">
        <v>1</v>
      </c>
      <c r="C77">
        <v>12</v>
      </c>
      <c r="D77">
        <v>1</v>
      </c>
      <c r="E77">
        <v>549.99</v>
      </c>
      <c r="F77">
        <v>0.05</v>
      </c>
      <c r="G77">
        <f t="shared" si="1"/>
        <v>549.94000000000005</v>
      </c>
      <c r="H77" t="str">
        <f>_xlfn.XLOOKUP(C77,products[Product_ID],products[Product_Name],"not found",0)</f>
        <v>Electra Townie Original 21D - 2016</v>
      </c>
      <c r="I77" t="str">
        <f>VLOOKUP(products!D77,categories[#All],2,TRUE)</f>
        <v>Cruisers Bicycles</v>
      </c>
    </row>
    <row r="78" spans="1:9" x14ac:dyDescent="0.3">
      <c r="A78">
        <v>77</v>
      </c>
      <c r="B78">
        <v>1</v>
      </c>
      <c r="C78">
        <v>20</v>
      </c>
      <c r="D78">
        <v>1</v>
      </c>
      <c r="E78">
        <v>599.99</v>
      </c>
      <c r="F78">
        <v>7.0000000000000007E-2</v>
      </c>
      <c r="G78">
        <f t="shared" si="1"/>
        <v>599.91999999999996</v>
      </c>
      <c r="H78" t="str">
        <f>_xlfn.XLOOKUP(C78,products[Product_ID],products[Product_Name],"not found",0)</f>
        <v>Electra Townie Original 7D EQ - Women's - 2016</v>
      </c>
      <c r="I78" t="str">
        <f>VLOOKUP(products!D78,categories[#All],2,TRUE)</f>
        <v>Cruisers Bicycles</v>
      </c>
    </row>
    <row r="79" spans="1:9" x14ac:dyDescent="0.3">
      <c r="A79">
        <v>78</v>
      </c>
      <c r="B79">
        <v>1</v>
      </c>
      <c r="C79">
        <v>17</v>
      </c>
      <c r="D79">
        <v>1</v>
      </c>
      <c r="E79">
        <v>429</v>
      </c>
      <c r="F79">
        <v>7.0000000000000007E-2</v>
      </c>
      <c r="G79">
        <f t="shared" si="1"/>
        <v>428.93</v>
      </c>
      <c r="H79" t="str">
        <f>_xlfn.XLOOKUP(C79,products[Product_ID],products[Product_Name],"not found",0)</f>
        <v>Pure Cycles Vine 8-Speed - 2016</v>
      </c>
      <c r="I79" t="str">
        <f>VLOOKUP(products!D79,categories[#All],2,TRUE)</f>
        <v>Cruisers Bicycles</v>
      </c>
    </row>
    <row r="80" spans="1:9" x14ac:dyDescent="0.3">
      <c r="A80">
        <v>79</v>
      </c>
      <c r="B80">
        <v>1</v>
      </c>
      <c r="C80">
        <v>9</v>
      </c>
      <c r="D80">
        <v>2</v>
      </c>
      <c r="E80">
        <v>2999.99</v>
      </c>
      <c r="F80">
        <v>0.1</v>
      </c>
      <c r="G80">
        <f t="shared" si="1"/>
        <v>5999.8799999999992</v>
      </c>
      <c r="H80" t="str">
        <f>_xlfn.XLOOKUP(C80,products[Product_ID],products[Product_Name],"not found",0)</f>
        <v>Trek Conduit+ - 2016</v>
      </c>
      <c r="I80" t="str">
        <f>VLOOKUP(products!D80,categories[#All],2,TRUE)</f>
        <v>Cruisers Bicycles</v>
      </c>
    </row>
    <row r="81" spans="1:9" x14ac:dyDescent="0.3">
      <c r="A81">
        <v>80</v>
      </c>
      <c r="B81">
        <v>1</v>
      </c>
      <c r="C81">
        <v>26</v>
      </c>
      <c r="D81">
        <v>1</v>
      </c>
      <c r="E81">
        <v>599.99</v>
      </c>
      <c r="F81">
        <v>0.1</v>
      </c>
      <c r="G81">
        <f t="shared" si="1"/>
        <v>599.89</v>
      </c>
      <c r="H81" t="str">
        <f>_xlfn.XLOOKUP(C81,products[Product_ID],products[Product_Name],"not found",0)</f>
        <v>Electra Townie Original 7D EQ - 2016</v>
      </c>
      <c r="I81" t="str">
        <f>VLOOKUP(products!D81,categories[#All],2,TRUE)</f>
        <v>Cruisers Bicycles</v>
      </c>
    </row>
    <row r="82" spans="1:9" x14ac:dyDescent="0.3">
      <c r="A82">
        <v>81</v>
      </c>
      <c r="B82">
        <v>1</v>
      </c>
      <c r="C82">
        <v>10</v>
      </c>
      <c r="D82">
        <v>2</v>
      </c>
      <c r="E82">
        <v>1549</v>
      </c>
      <c r="F82">
        <v>0.2</v>
      </c>
      <c r="G82">
        <f t="shared" si="1"/>
        <v>3097.8</v>
      </c>
      <c r="H82" t="str">
        <f>_xlfn.XLOOKUP(C82,products[Product_ID],products[Product_Name],"not found",0)</f>
        <v>Surly Straggler - 2016</v>
      </c>
      <c r="I82" t="str">
        <f>VLOOKUP(products!D82,categories[#All],2,TRUE)</f>
        <v>Cruisers Bicycles</v>
      </c>
    </row>
    <row r="83" spans="1:9" x14ac:dyDescent="0.3">
      <c r="A83">
        <v>82</v>
      </c>
      <c r="B83">
        <v>1</v>
      </c>
      <c r="C83">
        <v>25</v>
      </c>
      <c r="D83">
        <v>2</v>
      </c>
      <c r="E83">
        <v>499.99</v>
      </c>
      <c r="F83">
        <v>0.1</v>
      </c>
      <c r="G83">
        <f t="shared" si="1"/>
        <v>999.88</v>
      </c>
      <c r="H83" t="str">
        <f>_xlfn.XLOOKUP(C83,products[Product_ID],products[Product_Name],"not found",0)</f>
        <v>Electra Townie Original 7D - 2015/2016</v>
      </c>
      <c r="I83" t="str">
        <f>VLOOKUP(products!D83,categories[#All],2,TRUE)</f>
        <v>Cruisers Bicycles</v>
      </c>
    </row>
    <row r="84" spans="1:9" x14ac:dyDescent="0.3">
      <c r="A84">
        <v>83</v>
      </c>
      <c r="B84">
        <v>1</v>
      </c>
      <c r="C84">
        <v>20</v>
      </c>
      <c r="D84">
        <v>1</v>
      </c>
      <c r="E84">
        <v>599.99</v>
      </c>
      <c r="F84">
        <v>0.2</v>
      </c>
      <c r="G84">
        <f t="shared" si="1"/>
        <v>599.79</v>
      </c>
      <c r="H84" t="str">
        <f>_xlfn.XLOOKUP(C84,products[Product_ID],products[Product_Name],"not found",0)</f>
        <v>Electra Townie Original 7D EQ - Women's - 2016</v>
      </c>
      <c r="I84" t="str">
        <f>VLOOKUP(products!D84,categories[#All],2,TRUE)</f>
        <v>Children Bicycles</v>
      </c>
    </row>
    <row r="85" spans="1:9" x14ac:dyDescent="0.3">
      <c r="A85">
        <v>84</v>
      </c>
      <c r="B85">
        <v>1</v>
      </c>
      <c r="C85">
        <v>23</v>
      </c>
      <c r="D85">
        <v>2</v>
      </c>
      <c r="E85">
        <v>299.99</v>
      </c>
      <c r="F85">
        <v>7.0000000000000007E-2</v>
      </c>
      <c r="G85">
        <f t="shared" si="1"/>
        <v>599.91</v>
      </c>
      <c r="H85" t="str">
        <f>_xlfn.XLOOKUP(C85,products[Product_ID],products[Product_Name],"not found",0)</f>
        <v>Electra Girl's Hawaii 1 (20-inch) - 2015/2016</v>
      </c>
      <c r="I85" t="str">
        <f>VLOOKUP(products!D85,categories[#All],2,TRUE)</f>
        <v>Children Bicycles</v>
      </c>
    </row>
    <row r="86" spans="1:9" x14ac:dyDescent="0.3">
      <c r="A86">
        <v>85</v>
      </c>
      <c r="B86">
        <v>1</v>
      </c>
      <c r="C86">
        <v>4</v>
      </c>
      <c r="D86">
        <v>2</v>
      </c>
      <c r="E86">
        <v>2899.99</v>
      </c>
      <c r="F86">
        <v>0.05</v>
      </c>
      <c r="G86">
        <f t="shared" si="1"/>
        <v>5799.9299999999994</v>
      </c>
      <c r="H86" t="str">
        <f>_xlfn.XLOOKUP(C86,products[Product_ID],products[Product_Name],"not found",0)</f>
        <v>Trek Fuel EX 8 29 - 2016</v>
      </c>
      <c r="I86" t="str">
        <f>VLOOKUP(products!D86,categories[#All],2,TRUE)</f>
        <v>Children Bicycles</v>
      </c>
    </row>
    <row r="87" spans="1:9" x14ac:dyDescent="0.3">
      <c r="A87">
        <v>86</v>
      </c>
      <c r="B87">
        <v>1</v>
      </c>
      <c r="C87">
        <v>9</v>
      </c>
      <c r="D87">
        <v>2</v>
      </c>
      <c r="E87">
        <v>2999.99</v>
      </c>
      <c r="F87">
        <v>0.1</v>
      </c>
      <c r="G87">
        <f t="shared" si="1"/>
        <v>5999.8799999999992</v>
      </c>
      <c r="H87" t="str">
        <f>_xlfn.XLOOKUP(C87,products[Product_ID],products[Product_Name],"not found",0)</f>
        <v>Trek Conduit+ - 2016</v>
      </c>
      <c r="I87" t="str">
        <f>VLOOKUP(products!D87,categories[#All],2,TRUE)</f>
        <v>Children Bicycles</v>
      </c>
    </row>
    <row r="88" spans="1:9" x14ac:dyDescent="0.3">
      <c r="A88">
        <v>87</v>
      </c>
      <c r="B88">
        <v>1</v>
      </c>
      <c r="C88">
        <v>20</v>
      </c>
      <c r="D88">
        <v>2</v>
      </c>
      <c r="E88">
        <v>599.99</v>
      </c>
      <c r="F88">
        <v>0.2</v>
      </c>
      <c r="G88">
        <f t="shared" si="1"/>
        <v>1199.78</v>
      </c>
      <c r="H88" t="str">
        <f>_xlfn.XLOOKUP(C88,products[Product_ID],products[Product_Name],"not found",0)</f>
        <v>Electra Townie Original 7D EQ - Women's - 2016</v>
      </c>
      <c r="I88" t="str">
        <f>VLOOKUP(products!D88,categories[#All],2,TRUE)</f>
        <v>Children Bicycles</v>
      </c>
    </row>
    <row r="89" spans="1:9" x14ac:dyDescent="0.3">
      <c r="A89">
        <v>88</v>
      </c>
      <c r="B89">
        <v>1</v>
      </c>
      <c r="C89">
        <v>10</v>
      </c>
      <c r="D89">
        <v>1</v>
      </c>
      <c r="E89">
        <v>1549</v>
      </c>
      <c r="F89">
        <v>7.0000000000000007E-2</v>
      </c>
      <c r="G89">
        <f t="shared" si="1"/>
        <v>1548.93</v>
      </c>
      <c r="H89" t="str">
        <f>_xlfn.XLOOKUP(C89,products[Product_ID],products[Product_Name],"not found",0)</f>
        <v>Surly Straggler - 2016</v>
      </c>
      <c r="I89" t="str">
        <f>VLOOKUP(products!D89,categories[#All],2,TRUE)</f>
        <v>Children Bicycles</v>
      </c>
    </row>
    <row r="90" spans="1:9" x14ac:dyDescent="0.3">
      <c r="A90">
        <v>89</v>
      </c>
      <c r="B90">
        <v>1</v>
      </c>
      <c r="C90">
        <v>5</v>
      </c>
      <c r="D90">
        <v>1</v>
      </c>
      <c r="E90">
        <v>1320.99</v>
      </c>
      <c r="F90">
        <v>0.05</v>
      </c>
      <c r="G90">
        <f t="shared" si="1"/>
        <v>1320.94</v>
      </c>
      <c r="H90" t="str">
        <f>_xlfn.XLOOKUP(C90,products[Product_ID],products[Product_Name],"not found",0)</f>
        <v>Heller Shagamaw Frame - 2016</v>
      </c>
      <c r="I90" t="str">
        <f>VLOOKUP(products!D90,categories[#All],2,TRUE)</f>
        <v>Children Bicycles</v>
      </c>
    </row>
    <row r="91" spans="1:9" x14ac:dyDescent="0.3">
      <c r="A91">
        <v>90</v>
      </c>
      <c r="B91">
        <v>1</v>
      </c>
      <c r="C91">
        <v>3</v>
      </c>
      <c r="D91">
        <v>1</v>
      </c>
      <c r="E91">
        <v>999.99</v>
      </c>
      <c r="F91">
        <v>0.1</v>
      </c>
      <c r="G91">
        <f t="shared" si="1"/>
        <v>999.89</v>
      </c>
      <c r="H91" t="str">
        <f>_xlfn.XLOOKUP(C91,products[Product_ID],products[Product_Name],"not found",0)</f>
        <v>Surly Wednesday Frameset - 2016</v>
      </c>
      <c r="I91" t="str">
        <f>VLOOKUP(products!D91,categories[#All],2,TRUE)</f>
        <v>Children Bicycles</v>
      </c>
    </row>
    <row r="92" spans="1:9" x14ac:dyDescent="0.3">
      <c r="A92">
        <v>91</v>
      </c>
      <c r="B92">
        <v>1</v>
      </c>
      <c r="C92">
        <v>11</v>
      </c>
      <c r="D92">
        <v>1</v>
      </c>
      <c r="E92">
        <v>1680.99</v>
      </c>
      <c r="F92">
        <v>0.1</v>
      </c>
      <c r="G92">
        <f t="shared" si="1"/>
        <v>1680.89</v>
      </c>
      <c r="H92" t="str">
        <f>_xlfn.XLOOKUP(C92,products[Product_ID],products[Product_Name],"not found",0)</f>
        <v>Surly Straggler 650b - 2016</v>
      </c>
      <c r="I92" t="str">
        <f>VLOOKUP(products!D92,categories[#All],2,TRUE)</f>
        <v>Children Bicycles</v>
      </c>
    </row>
    <row r="93" spans="1:9" x14ac:dyDescent="0.3">
      <c r="A93">
        <v>92</v>
      </c>
      <c r="B93">
        <v>1</v>
      </c>
      <c r="C93">
        <v>8</v>
      </c>
      <c r="D93">
        <v>1</v>
      </c>
      <c r="E93">
        <v>1799.99</v>
      </c>
      <c r="F93">
        <v>0.1</v>
      </c>
      <c r="G93">
        <f t="shared" si="1"/>
        <v>1799.89</v>
      </c>
      <c r="H93" t="str">
        <f>_xlfn.XLOOKUP(C93,products[Product_ID],products[Product_Name],"not found",0)</f>
        <v>Trek Remedy 29 Carbon Frameset - 2016</v>
      </c>
      <c r="I93" t="str">
        <f>VLOOKUP(products!D93,categories[#All],2,TRUE)</f>
        <v>Children Bicycles</v>
      </c>
    </row>
    <row r="94" spans="1:9" x14ac:dyDescent="0.3">
      <c r="A94">
        <v>93</v>
      </c>
      <c r="B94">
        <v>1</v>
      </c>
      <c r="C94">
        <v>22</v>
      </c>
      <c r="D94">
        <v>2</v>
      </c>
      <c r="E94">
        <v>269.99</v>
      </c>
      <c r="F94">
        <v>7.0000000000000007E-2</v>
      </c>
      <c r="G94">
        <f t="shared" si="1"/>
        <v>539.91</v>
      </c>
      <c r="H94" t="str">
        <f>_xlfn.XLOOKUP(C94,products[Product_ID],products[Product_Name],"not found",0)</f>
        <v>Electra Girl's Hawaii 1 (16-inch) - 2015/2016</v>
      </c>
      <c r="I94" t="str">
        <f>VLOOKUP(products!D94,categories[#All],2,TRUE)</f>
        <v>Children Bicycles</v>
      </c>
    </row>
    <row r="95" spans="1:9" x14ac:dyDescent="0.3">
      <c r="A95">
        <v>94</v>
      </c>
      <c r="B95">
        <v>1</v>
      </c>
      <c r="C95">
        <v>12</v>
      </c>
      <c r="D95">
        <v>1</v>
      </c>
      <c r="E95">
        <v>549.99</v>
      </c>
      <c r="F95">
        <v>0.05</v>
      </c>
      <c r="G95">
        <f t="shared" si="1"/>
        <v>549.94000000000005</v>
      </c>
      <c r="H95" t="str">
        <f>_xlfn.XLOOKUP(C95,products[Product_ID],products[Product_Name],"not found",0)</f>
        <v>Electra Townie Original 21D - 2016</v>
      </c>
      <c r="I95" t="str">
        <f>VLOOKUP(products!D95,categories[#All],2,TRUE)</f>
        <v>Children Bicycles</v>
      </c>
    </row>
    <row r="96" spans="1:9" x14ac:dyDescent="0.3">
      <c r="A96">
        <v>95</v>
      </c>
      <c r="B96">
        <v>1</v>
      </c>
      <c r="C96">
        <v>10</v>
      </c>
      <c r="D96">
        <v>2</v>
      </c>
      <c r="E96">
        <v>1549</v>
      </c>
      <c r="F96">
        <v>0.2</v>
      </c>
      <c r="G96">
        <f t="shared" si="1"/>
        <v>3097.8</v>
      </c>
      <c r="H96" t="str">
        <f>_xlfn.XLOOKUP(C96,products[Product_ID],products[Product_Name],"not found",0)</f>
        <v>Surly Straggler - 2016</v>
      </c>
      <c r="I96" t="str">
        <f>VLOOKUP(products!D96,categories[#All],2,TRUE)</f>
        <v>Children Bicycles</v>
      </c>
    </row>
    <row r="97" spans="1:9" x14ac:dyDescent="0.3">
      <c r="A97">
        <v>96</v>
      </c>
      <c r="B97">
        <v>1</v>
      </c>
      <c r="C97">
        <v>26</v>
      </c>
      <c r="D97">
        <v>1</v>
      </c>
      <c r="E97">
        <v>599.99</v>
      </c>
      <c r="F97">
        <v>0.1</v>
      </c>
      <c r="G97">
        <f t="shared" si="1"/>
        <v>599.89</v>
      </c>
      <c r="H97" t="str">
        <f>_xlfn.XLOOKUP(C97,products[Product_ID],products[Product_Name],"not found",0)</f>
        <v>Electra Townie Original 7D EQ - 2016</v>
      </c>
      <c r="I97" t="str">
        <f>VLOOKUP(products!D97,categories[#All],2,TRUE)</f>
        <v>Children Bicycles</v>
      </c>
    </row>
    <row r="98" spans="1:9" x14ac:dyDescent="0.3">
      <c r="A98">
        <v>97</v>
      </c>
      <c r="B98">
        <v>1</v>
      </c>
      <c r="C98">
        <v>20</v>
      </c>
      <c r="D98">
        <v>2</v>
      </c>
      <c r="E98">
        <v>599.99</v>
      </c>
      <c r="F98">
        <v>0.2</v>
      </c>
      <c r="G98">
        <f t="shared" si="1"/>
        <v>1199.78</v>
      </c>
      <c r="H98" t="str">
        <f>_xlfn.XLOOKUP(C98,products[Product_ID],products[Product_Name],"not found",0)</f>
        <v>Electra Townie Original 7D EQ - Women's - 2016</v>
      </c>
      <c r="I98" t="str">
        <f>VLOOKUP(products!D98,categories[#All],2,TRUE)</f>
        <v>Children Bicycles</v>
      </c>
    </row>
    <row r="99" spans="1:9" x14ac:dyDescent="0.3">
      <c r="A99">
        <v>98</v>
      </c>
      <c r="B99">
        <v>1</v>
      </c>
      <c r="C99">
        <v>19</v>
      </c>
      <c r="D99">
        <v>1</v>
      </c>
      <c r="E99">
        <v>449</v>
      </c>
      <c r="F99">
        <v>7.0000000000000007E-2</v>
      </c>
      <c r="G99">
        <f t="shared" si="1"/>
        <v>448.93</v>
      </c>
      <c r="H99" t="str">
        <f>_xlfn.XLOOKUP(C99,products[Product_ID],products[Product_Name],"not found",0)</f>
        <v>Pure Cycles William 3-Speed - 2016</v>
      </c>
      <c r="I99" t="str">
        <f>VLOOKUP(products!D99,categories[#All],2,TRUE)</f>
        <v>Children Bicycles</v>
      </c>
    </row>
    <row r="100" spans="1:9" x14ac:dyDescent="0.3">
      <c r="A100">
        <v>99</v>
      </c>
      <c r="B100">
        <v>1</v>
      </c>
      <c r="C100">
        <v>13</v>
      </c>
      <c r="D100">
        <v>1</v>
      </c>
      <c r="E100">
        <v>269.99</v>
      </c>
      <c r="F100">
        <v>0.2</v>
      </c>
      <c r="G100">
        <f t="shared" si="1"/>
        <v>269.79000000000002</v>
      </c>
      <c r="H100" t="str">
        <f>_xlfn.XLOOKUP(C100,products[Product_ID],products[Product_Name],"not found",0)</f>
        <v>Electra Cruiser 1 (24-Inch) - 2016</v>
      </c>
      <c r="I100" t="str">
        <f>VLOOKUP(products!D100,categories[#All],2,TRUE)</f>
        <v>Children Bicycles</v>
      </c>
    </row>
    <row r="101" spans="1:9" x14ac:dyDescent="0.3">
      <c r="A101">
        <v>100</v>
      </c>
      <c r="B101">
        <v>1</v>
      </c>
      <c r="C101">
        <v>12</v>
      </c>
      <c r="D101">
        <v>2</v>
      </c>
      <c r="E101">
        <v>549.99</v>
      </c>
      <c r="F101">
        <v>0.05</v>
      </c>
      <c r="G101">
        <f t="shared" si="1"/>
        <v>1099.93</v>
      </c>
      <c r="H101" t="str">
        <f>_xlfn.XLOOKUP(C101,products[Product_ID],products[Product_Name],"not found",0)</f>
        <v>Electra Townie Original 21D - 2016</v>
      </c>
      <c r="I101" t="str">
        <f>VLOOKUP(products!D101,categories[#All],2,TRUE)</f>
        <v>Children Bicycles</v>
      </c>
    </row>
    <row r="102" spans="1:9" x14ac:dyDescent="0.3">
      <c r="A102">
        <v>101</v>
      </c>
      <c r="B102">
        <v>1</v>
      </c>
      <c r="C102">
        <v>12</v>
      </c>
      <c r="D102">
        <v>2</v>
      </c>
      <c r="E102">
        <v>549.99</v>
      </c>
      <c r="F102">
        <v>0.2</v>
      </c>
      <c r="G102">
        <f t="shared" si="1"/>
        <v>1099.78</v>
      </c>
      <c r="H102" t="str">
        <f>_xlfn.XLOOKUP(C102,products[Product_ID],products[Product_Name],"not found",0)</f>
        <v>Electra Townie Original 21D - 2016</v>
      </c>
      <c r="I102" t="str">
        <f>VLOOKUP(products!D102,categories[#All],2,TRUE)</f>
        <v>Children Bicycles</v>
      </c>
    </row>
    <row r="103" spans="1:9" x14ac:dyDescent="0.3">
      <c r="A103">
        <v>102</v>
      </c>
      <c r="B103">
        <v>1</v>
      </c>
      <c r="C103">
        <v>15</v>
      </c>
      <c r="D103">
        <v>1</v>
      </c>
      <c r="E103">
        <v>529.99</v>
      </c>
      <c r="F103">
        <v>0.05</v>
      </c>
      <c r="G103">
        <f t="shared" si="1"/>
        <v>529.94000000000005</v>
      </c>
      <c r="H103" t="str">
        <f>_xlfn.XLOOKUP(C103,products[Product_ID],products[Product_Name],"not found",0)</f>
        <v>Electra Moto 1 - 2016</v>
      </c>
      <c r="I103" t="str">
        <f>VLOOKUP(products!D103,categories[#All],2,TRUE)</f>
        <v>Comfort Bicycles</v>
      </c>
    </row>
    <row r="104" spans="1:9" x14ac:dyDescent="0.3">
      <c r="A104">
        <v>103</v>
      </c>
      <c r="B104">
        <v>1</v>
      </c>
      <c r="C104">
        <v>17</v>
      </c>
      <c r="D104">
        <v>1</v>
      </c>
      <c r="E104">
        <v>429</v>
      </c>
      <c r="F104">
        <v>7.0000000000000007E-2</v>
      </c>
      <c r="G104">
        <f t="shared" si="1"/>
        <v>428.93</v>
      </c>
      <c r="H104" t="str">
        <f>_xlfn.XLOOKUP(C104,products[Product_ID],products[Product_Name],"not found",0)</f>
        <v>Pure Cycles Vine 8-Speed - 2016</v>
      </c>
      <c r="I104" t="str">
        <f>VLOOKUP(products!D104,categories[#All],2,TRUE)</f>
        <v>Comfort Bicycles</v>
      </c>
    </row>
    <row r="105" spans="1:9" x14ac:dyDescent="0.3">
      <c r="A105">
        <v>104</v>
      </c>
      <c r="B105">
        <v>1</v>
      </c>
      <c r="C105">
        <v>19</v>
      </c>
      <c r="D105">
        <v>2</v>
      </c>
      <c r="E105">
        <v>449</v>
      </c>
      <c r="F105">
        <v>0.1</v>
      </c>
      <c r="G105">
        <f t="shared" si="1"/>
        <v>897.9</v>
      </c>
      <c r="H105" t="str">
        <f>_xlfn.XLOOKUP(C105,products[Product_ID],products[Product_Name],"not found",0)</f>
        <v>Pure Cycles William 3-Speed - 2016</v>
      </c>
      <c r="I105" t="str">
        <f>VLOOKUP(products!D105,categories[#All],2,TRUE)</f>
        <v>Comfort Bicycles</v>
      </c>
    </row>
    <row r="106" spans="1:9" x14ac:dyDescent="0.3">
      <c r="A106">
        <v>105</v>
      </c>
      <c r="B106">
        <v>1</v>
      </c>
      <c r="C106">
        <v>11</v>
      </c>
      <c r="D106">
        <v>2</v>
      </c>
      <c r="E106">
        <v>1680.99</v>
      </c>
      <c r="F106">
        <v>0.2</v>
      </c>
      <c r="G106">
        <f t="shared" si="1"/>
        <v>3361.78</v>
      </c>
      <c r="H106" t="str">
        <f>_xlfn.XLOOKUP(C106,products[Product_ID],products[Product_Name],"not found",0)</f>
        <v>Surly Straggler 650b - 2016</v>
      </c>
      <c r="I106" t="str">
        <f>VLOOKUP(products!D106,categories[#All],2,TRUE)</f>
        <v>Comfort Bicycles</v>
      </c>
    </row>
    <row r="107" spans="1:9" x14ac:dyDescent="0.3">
      <c r="A107">
        <v>106</v>
      </c>
      <c r="B107">
        <v>1</v>
      </c>
      <c r="C107">
        <v>17</v>
      </c>
      <c r="D107">
        <v>1</v>
      </c>
      <c r="E107">
        <v>429</v>
      </c>
      <c r="F107">
        <v>0.1</v>
      </c>
      <c r="G107">
        <f t="shared" si="1"/>
        <v>428.9</v>
      </c>
      <c r="H107" t="str">
        <f>_xlfn.XLOOKUP(C107,products[Product_ID],products[Product_Name],"not found",0)</f>
        <v>Pure Cycles Vine 8-Speed - 2016</v>
      </c>
      <c r="I107" t="str">
        <f>VLOOKUP(products!D107,categories[#All],2,TRUE)</f>
        <v>Comfort Bicycles</v>
      </c>
    </row>
    <row r="108" spans="1:9" x14ac:dyDescent="0.3">
      <c r="A108">
        <v>107</v>
      </c>
      <c r="B108">
        <v>1</v>
      </c>
      <c r="C108">
        <v>19</v>
      </c>
      <c r="D108">
        <v>1</v>
      </c>
      <c r="E108">
        <v>449</v>
      </c>
      <c r="F108">
        <v>0.2</v>
      </c>
      <c r="G108">
        <f t="shared" si="1"/>
        <v>448.8</v>
      </c>
      <c r="H108" t="str">
        <f>_xlfn.XLOOKUP(C108,products[Product_ID],products[Product_Name],"not found",0)</f>
        <v>Pure Cycles William 3-Speed - 2016</v>
      </c>
      <c r="I108" t="str">
        <f>VLOOKUP(products!D108,categories[#All],2,TRUE)</f>
        <v>Comfort Bicycles</v>
      </c>
    </row>
    <row r="109" spans="1:9" x14ac:dyDescent="0.3">
      <c r="A109">
        <v>108</v>
      </c>
      <c r="B109">
        <v>1</v>
      </c>
      <c r="C109">
        <v>11</v>
      </c>
      <c r="D109">
        <v>1</v>
      </c>
      <c r="E109">
        <v>1680.99</v>
      </c>
      <c r="F109">
        <v>0.1</v>
      </c>
      <c r="G109">
        <f t="shared" si="1"/>
        <v>1680.89</v>
      </c>
      <c r="H109" t="str">
        <f>_xlfn.XLOOKUP(C109,products[Product_ID],products[Product_Name],"not found",0)</f>
        <v>Surly Straggler 650b - 2016</v>
      </c>
      <c r="I109" t="str">
        <f>VLOOKUP(products!D109,categories[#All],2,TRUE)</f>
        <v>Comfort Bicycles</v>
      </c>
    </row>
    <row r="110" spans="1:9" x14ac:dyDescent="0.3">
      <c r="A110">
        <v>109</v>
      </c>
      <c r="B110">
        <v>1</v>
      </c>
      <c r="C110">
        <v>22</v>
      </c>
      <c r="D110">
        <v>2</v>
      </c>
      <c r="E110">
        <v>269.99</v>
      </c>
      <c r="F110">
        <v>0.1</v>
      </c>
      <c r="G110">
        <f t="shared" si="1"/>
        <v>539.88</v>
      </c>
      <c r="H110" t="str">
        <f>_xlfn.XLOOKUP(C110,products[Product_ID],products[Product_Name],"not found",0)</f>
        <v>Electra Girl's Hawaii 1 (16-inch) - 2015/2016</v>
      </c>
      <c r="I110" t="str">
        <f>VLOOKUP(products!D110,categories[#All],2,TRUE)</f>
        <v>Comfort Bicycles</v>
      </c>
    </row>
    <row r="111" spans="1:9" x14ac:dyDescent="0.3">
      <c r="A111">
        <v>110</v>
      </c>
      <c r="B111">
        <v>1</v>
      </c>
      <c r="C111">
        <v>14</v>
      </c>
      <c r="D111">
        <v>1</v>
      </c>
      <c r="E111">
        <v>269.99</v>
      </c>
      <c r="F111">
        <v>0.1</v>
      </c>
      <c r="G111">
        <f t="shared" si="1"/>
        <v>269.89</v>
      </c>
      <c r="H111" t="str">
        <f>_xlfn.XLOOKUP(C111,products[Product_ID],products[Product_Name],"not found",0)</f>
        <v>Electra Girl's Hawaii 1 (16-inch) - 2015/2016</v>
      </c>
      <c r="I111" t="str">
        <f>VLOOKUP(products!D111,categories[#All],2,TRUE)</f>
        <v>Comfort Bicycles</v>
      </c>
    </row>
    <row r="112" spans="1:9" x14ac:dyDescent="0.3">
      <c r="A112">
        <v>111</v>
      </c>
      <c r="B112">
        <v>1</v>
      </c>
      <c r="C112">
        <v>14</v>
      </c>
      <c r="D112">
        <v>1</v>
      </c>
      <c r="E112">
        <v>269.99</v>
      </c>
      <c r="F112">
        <v>0.1</v>
      </c>
      <c r="G112">
        <f t="shared" si="1"/>
        <v>269.89</v>
      </c>
      <c r="H112" t="str">
        <f>_xlfn.XLOOKUP(C112,products[Product_ID],products[Product_Name],"not found",0)</f>
        <v>Electra Girl's Hawaii 1 (16-inch) - 2015/2016</v>
      </c>
      <c r="I112" t="str">
        <f>VLOOKUP(products!D112,categories[#All],2,TRUE)</f>
        <v>Comfort Bicycles</v>
      </c>
    </row>
    <row r="113" spans="1:9" x14ac:dyDescent="0.3">
      <c r="A113">
        <v>112</v>
      </c>
      <c r="B113">
        <v>1</v>
      </c>
      <c r="C113">
        <v>23</v>
      </c>
      <c r="D113">
        <v>2</v>
      </c>
      <c r="E113">
        <v>299.99</v>
      </c>
      <c r="F113">
        <v>0.2</v>
      </c>
      <c r="G113">
        <f t="shared" si="1"/>
        <v>599.78</v>
      </c>
      <c r="H113" t="str">
        <f>_xlfn.XLOOKUP(C113,products[Product_ID],products[Product_Name],"not found",0)</f>
        <v>Electra Girl's Hawaii 1 (20-inch) - 2015/2016</v>
      </c>
      <c r="I113" t="str">
        <f>VLOOKUP(products!D113,categories[#All],2,TRUE)</f>
        <v>Mountain Bikes</v>
      </c>
    </row>
    <row r="114" spans="1:9" x14ac:dyDescent="0.3">
      <c r="A114">
        <v>113</v>
      </c>
      <c r="B114">
        <v>1</v>
      </c>
      <c r="C114">
        <v>12</v>
      </c>
      <c r="D114">
        <v>2</v>
      </c>
      <c r="E114">
        <v>549.99</v>
      </c>
      <c r="F114">
        <v>7.0000000000000007E-2</v>
      </c>
      <c r="G114">
        <f t="shared" si="1"/>
        <v>1099.9100000000001</v>
      </c>
      <c r="H114" t="str">
        <f>_xlfn.XLOOKUP(C114,products[Product_ID],products[Product_Name],"not found",0)</f>
        <v>Electra Townie Original 21D - 2016</v>
      </c>
      <c r="I114" t="str">
        <f>VLOOKUP(products!D114,categories[#All],2,TRUE)</f>
        <v>Mountain Bikes</v>
      </c>
    </row>
    <row r="115" spans="1:9" x14ac:dyDescent="0.3">
      <c r="A115">
        <v>114</v>
      </c>
      <c r="B115">
        <v>1</v>
      </c>
      <c r="C115">
        <v>12</v>
      </c>
      <c r="D115">
        <v>1</v>
      </c>
      <c r="E115">
        <v>549.99</v>
      </c>
      <c r="F115">
        <v>0.05</v>
      </c>
      <c r="G115">
        <f t="shared" si="1"/>
        <v>549.94000000000005</v>
      </c>
      <c r="H115" t="str">
        <f>_xlfn.XLOOKUP(C115,products[Product_ID],products[Product_Name],"not found",0)</f>
        <v>Electra Townie Original 21D - 2016</v>
      </c>
      <c r="I115" t="str">
        <f>VLOOKUP(products!D115,categories[#All],2,TRUE)</f>
        <v>Mountain Bikes</v>
      </c>
    </row>
    <row r="116" spans="1:9" x14ac:dyDescent="0.3">
      <c r="A116">
        <v>115</v>
      </c>
      <c r="B116">
        <v>1</v>
      </c>
      <c r="C116">
        <v>22</v>
      </c>
      <c r="D116">
        <v>1</v>
      </c>
      <c r="E116">
        <v>269.99</v>
      </c>
      <c r="F116">
        <v>0.2</v>
      </c>
      <c r="G116">
        <f t="shared" si="1"/>
        <v>269.79000000000002</v>
      </c>
      <c r="H116" t="str">
        <f>_xlfn.XLOOKUP(C116,products[Product_ID],products[Product_Name],"not found",0)</f>
        <v>Electra Girl's Hawaii 1 (16-inch) - 2015/2016</v>
      </c>
      <c r="I116" t="str">
        <f>VLOOKUP(products!D116,categories[#All],2,TRUE)</f>
        <v>Mountain Bikes</v>
      </c>
    </row>
    <row r="117" spans="1:9" x14ac:dyDescent="0.3">
      <c r="A117">
        <v>116</v>
      </c>
      <c r="B117">
        <v>1</v>
      </c>
      <c r="C117">
        <v>26</v>
      </c>
      <c r="D117">
        <v>1</v>
      </c>
      <c r="E117">
        <v>599.99</v>
      </c>
      <c r="F117">
        <v>0.05</v>
      </c>
      <c r="G117">
        <f t="shared" si="1"/>
        <v>599.94000000000005</v>
      </c>
      <c r="H117" t="str">
        <f>_xlfn.XLOOKUP(C117,products[Product_ID],products[Product_Name],"not found",0)</f>
        <v>Electra Townie Original 7D EQ - 2016</v>
      </c>
      <c r="I117" t="str">
        <f>VLOOKUP(products!D117,categories[#All],2,TRUE)</f>
        <v>Mountain Bikes</v>
      </c>
    </row>
    <row r="118" spans="1:9" x14ac:dyDescent="0.3">
      <c r="A118">
        <v>117</v>
      </c>
      <c r="B118">
        <v>1</v>
      </c>
      <c r="C118">
        <v>22</v>
      </c>
      <c r="D118">
        <v>2</v>
      </c>
      <c r="E118">
        <v>269.99</v>
      </c>
      <c r="F118">
        <v>0.2</v>
      </c>
      <c r="G118">
        <f t="shared" si="1"/>
        <v>539.78</v>
      </c>
      <c r="H118" t="str">
        <f>_xlfn.XLOOKUP(C118,products[Product_ID],products[Product_Name],"not found",0)</f>
        <v>Electra Girl's Hawaii 1 (16-inch) - 2015/2016</v>
      </c>
      <c r="I118" t="str">
        <f>VLOOKUP(products!D118,categories[#All],2,TRUE)</f>
        <v>Mountain Bikes</v>
      </c>
    </row>
    <row r="119" spans="1:9" x14ac:dyDescent="0.3">
      <c r="A119">
        <v>118</v>
      </c>
      <c r="B119">
        <v>1</v>
      </c>
      <c r="C119">
        <v>18</v>
      </c>
      <c r="D119">
        <v>1</v>
      </c>
      <c r="E119">
        <v>449</v>
      </c>
      <c r="F119">
        <v>7.0000000000000007E-2</v>
      </c>
      <c r="G119">
        <f t="shared" si="1"/>
        <v>448.93</v>
      </c>
      <c r="H119" t="str">
        <f>_xlfn.XLOOKUP(C119,products[Product_ID],products[Product_Name],"not found",0)</f>
        <v>Pure Cycles Western 3-Speed - Women's - 2015/2016</v>
      </c>
      <c r="I119" t="str">
        <f>VLOOKUP(products!D119,categories[#All],2,TRUE)</f>
        <v>Mountain Bikes</v>
      </c>
    </row>
    <row r="120" spans="1:9" x14ac:dyDescent="0.3">
      <c r="A120">
        <v>119</v>
      </c>
      <c r="B120">
        <v>1</v>
      </c>
      <c r="C120">
        <v>25</v>
      </c>
      <c r="D120">
        <v>1</v>
      </c>
      <c r="E120">
        <v>499.99</v>
      </c>
      <c r="F120">
        <v>0.05</v>
      </c>
      <c r="G120">
        <f t="shared" si="1"/>
        <v>499.94</v>
      </c>
      <c r="H120" t="str">
        <f>_xlfn.XLOOKUP(C120,products[Product_ID],products[Product_Name],"not found",0)</f>
        <v>Electra Townie Original 7D - 2015/2016</v>
      </c>
      <c r="I120" t="str">
        <f>VLOOKUP(products!D120,categories[#All],2,TRUE)</f>
        <v>Mountain Bikes</v>
      </c>
    </row>
    <row r="121" spans="1:9" x14ac:dyDescent="0.3">
      <c r="A121">
        <v>120</v>
      </c>
      <c r="B121">
        <v>1</v>
      </c>
      <c r="C121">
        <v>13</v>
      </c>
      <c r="D121">
        <v>2</v>
      </c>
      <c r="E121">
        <v>269.99</v>
      </c>
      <c r="F121">
        <v>0.05</v>
      </c>
      <c r="G121">
        <f t="shared" si="1"/>
        <v>539.93000000000006</v>
      </c>
      <c r="H121" t="str">
        <f>_xlfn.XLOOKUP(C121,products[Product_ID],products[Product_Name],"not found",0)</f>
        <v>Electra Cruiser 1 (24-Inch) - 2016</v>
      </c>
      <c r="I121" t="str">
        <f>VLOOKUP(products!D121,categories[#All],2,TRUE)</f>
        <v>Mountain Bikes</v>
      </c>
    </row>
    <row r="122" spans="1:9" x14ac:dyDescent="0.3">
      <c r="A122">
        <v>121</v>
      </c>
      <c r="B122">
        <v>1</v>
      </c>
      <c r="C122">
        <v>5</v>
      </c>
      <c r="D122">
        <v>1</v>
      </c>
      <c r="E122">
        <v>1320.99</v>
      </c>
      <c r="F122">
        <v>0.2</v>
      </c>
      <c r="G122">
        <f t="shared" si="1"/>
        <v>1320.79</v>
      </c>
      <c r="H122" t="str">
        <f>_xlfn.XLOOKUP(C122,products[Product_ID],products[Product_Name],"not found",0)</f>
        <v>Heller Shagamaw Frame - 2016</v>
      </c>
      <c r="I122" t="str">
        <f>VLOOKUP(products!D122,categories[#All],2,TRUE)</f>
        <v>Mountain Bikes</v>
      </c>
    </row>
    <row r="123" spans="1:9" x14ac:dyDescent="0.3">
      <c r="A123">
        <v>122</v>
      </c>
      <c r="B123">
        <v>1</v>
      </c>
      <c r="C123">
        <v>16</v>
      </c>
      <c r="D123">
        <v>1</v>
      </c>
      <c r="E123">
        <v>599.99</v>
      </c>
      <c r="F123">
        <v>0.1</v>
      </c>
      <c r="G123">
        <f t="shared" si="1"/>
        <v>599.89</v>
      </c>
      <c r="H123" t="str">
        <f>_xlfn.XLOOKUP(C123,products[Product_ID],products[Product_Name],"not found",0)</f>
        <v>Electra Townie Original 7D EQ - 2016</v>
      </c>
      <c r="I123" t="str">
        <f>VLOOKUP(products!D123,categories[#All],2,TRUE)</f>
        <v>Mountain Bikes</v>
      </c>
    </row>
    <row r="124" spans="1:9" x14ac:dyDescent="0.3">
      <c r="A124">
        <v>123</v>
      </c>
      <c r="B124">
        <v>1</v>
      </c>
      <c r="C124">
        <v>12</v>
      </c>
      <c r="D124">
        <v>2</v>
      </c>
      <c r="E124">
        <v>549.99</v>
      </c>
      <c r="F124">
        <v>0.1</v>
      </c>
      <c r="G124">
        <f t="shared" si="1"/>
        <v>1099.8800000000001</v>
      </c>
      <c r="H124" t="str">
        <f>_xlfn.XLOOKUP(C124,products[Product_ID],products[Product_Name],"not found",0)</f>
        <v>Electra Townie Original 21D - 2016</v>
      </c>
      <c r="I124" t="str">
        <f>VLOOKUP(products!D124,categories[#All],2,TRUE)</f>
        <v>Mountain Bikes</v>
      </c>
    </row>
    <row r="125" spans="1:9" x14ac:dyDescent="0.3">
      <c r="A125">
        <v>124</v>
      </c>
      <c r="B125">
        <v>1</v>
      </c>
      <c r="C125">
        <v>16</v>
      </c>
      <c r="D125">
        <v>1</v>
      </c>
      <c r="E125">
        <v>599.99</v>
      </c>
      <c r="F125">
        <v>0.05</v>
      </c>
      <c r="G125">
        <f t="shared" si="1"/>
        <v>599.94000000000005</v>
      </c>
      <c r="H125" t="str">
        <f>_xlfn.XLOOKUP(C125,products[Product_ID],products[Product_Name],"not found",0)</f>
        <v>Electra Townie Original 7D EQ - 2016</v>
      </c>
      <c r="I125" t="str">
        <f>VLOOKUP(products!D125,categories[#All],2,TRUE)</f>
        <v>Mountain Bikes</v>
      </c>
    </row>
    <row r="126" spans="1:9" x14ac:dyDescent="0.3">
      <c r="A126">
        <v>125</v>
      </c>
      <c r="B126">
        <v>1</v>
      </c>
      <c r="C126">
        <v>17</v>
      </c>
      <c r="D126">
        <v>1</v>
      </c>
      <c r="E126">
        <v>429</v>
      </c>
      <c r="F126">
        <v>0.1</v>
      </c>
      <c r="G126">
        <f t="shared" si="1"/>
        <v>428.9</v>
      </c>
      <c r="H126" t="str">
        <f>_xlfn.XLOOKUP(C126,products[Product_ID],products[Product_Name],"not found",0)</f>
        <v>Pure Cycles Vine 8-Speed - 2016</v>
      </c>
      <c r="I126" t="str">
        <f>VLOOKUP(products!D126,categories[#All],2,TRUE)</f>
        <v>Mountain Bikes</v>
      </c>
    </row>
    <row r="127" spans="1:9" x14ac:dyDescent="0.3">
      <c r="A127">
        <v>126</v>
      </c>
      <c r="B127">
        <v>1</v>
      </c>
      <c r="C127">
        <v>9</v>
      </c>
      <c r="D127">
        <v>2</v>
      </c>
      <c r="E127">
        <v>2999.99</v>
      </c>
      <c r="F127">
        <v>0.05</v>
      </c>
      <c r="G127">
        <f t="shared" si="1"/>
        <v>5999.9299999999994</v>
      </c>
      <c r="H127" t="str">
        <f>_xlfn.XLOOKUP(C127,products[Product_ID],products[Product_Name],"not found",0)</f>
        <v>Trek Conduit+ - 2016</v>
      </c>
      <c r="I127" t="str">
        <f>VLOOKUP(products!D127,categories[#All],2,TRUE)</f>
        <v>Mountain Bikes</v>
      </c>
    </row>
    <row r="128" spans="1:9" x14ac:dyDescent="0.3">
      <c r="A128">
        <v>127</v>
      </c>
      <c r="B128">
        <v>1</v>
      </c>
      <c r="C128">
        <v>17</v>
      </c>
      <c r="D128">
        <v>1</v>
      </c>
      <c r="E128">
        <v>429</v>
      </c>
      <c r="F128">
        <v>7.0000000000000007E-2</v>
      </c>
      <c r="G128">
        <f t="shared" si="1"/>
        <v>428.93</v>
      </c>
      <c r="H128" t="str">
        <f>_xlfn.XLOOKUP(C128,products[Product_ID],products[Product_Name],"not found",0)</f>
        <v>Pure Cycles Vine 8-Speed - 2016</v>
      </c>
      <c r="I128" t="str">
        <f>VLOOKUP(products!D128,categories[#All],2,TRUE)</f>
        <v>Mountain Bikes</v>
      </c>
    </row>
    <row r="129" spans="1:9" x14ac:dyDescent="0.3">
      <c r="A129">
        <v>128</v>
      </c>
      <c r="B129">
        <v>1</v>
      </c>
      <c r="C129">
        <v>24</v>
      </c>
      <c r="D129">
        <v>2</v>
      </c>
      <c r="E129">
        <v>549.99</v>
      </c>
      <c r="F129">
        <v>0.1</v>
      </c>
      <c r="G129">
        <f t="shared" si="1"/>
        <v>1099.8800000000001</v>
      </c>
      <c r="H129" t="str">
        <f>_xlfn.XLOOKUP(C129,products[Product_ID],products[Product_Name],"not found",0)</f>
        <v>Electra Townie Original 21D - 2016</v>
      </c>
      <c r="I129" t="str">
        <f>VLOOKUP(products!D129,categories[#All],2,TRUE)</f>
        <v>Mountain Bikes</v>
      </c>
    </row>
    <row r="130" spans="1:9" x14ac:dyDescent="0.3">
      <c r="A130">
        <v>129</v>
      </c>
      <c r="B130">
        <v>1</v>
      </c>
      <c r="C130">
        <v>18</v>
      </c>
      <c r="D130">
        <v>1</v>
      </c>
      <c r="E130">
        <v>449</v>
      </c>
      <c r="F130">
        <v>0.1</v>
      </c>
      <c r="G130">
        <f t="shared" ref="G130:G193" si="2">(E130*D130)-F130</f>
        <v>448.9</v>
      </c>
      <c r="H130" t="str">
        <f>_xlfn.XLOOKUP(C130,products[Product_ID],products[Product_Name],"not found",0)</f>
        <v>Pure Cycles Western 3-Speed - Women's - 2015/2016</v>
      </c>
      <c r="I130" t="str">
        <f>VLOOKUP(products!D130,categories[#All],2,TRUE)</f>
        <v>Mountain Bikes</v>
      </c>
    </row>
    <row r="131" spans="1:9" x14ac:dyDescent="0.3">
      <c r="A131">
        <v>130</v>
      </c>
      <c r="B131">
        <v>1</v>
      </c>
      <c r="C131">
        <v>26</v>
      </c>
      <c r="D131">
        <v>1</v>
      </c>
      <c r="E131">
        <v>599.99</v>
      </c>
      <c r="F131">
        <v>0.05</v>
      </c>
      <c r="G131">
        <f t="shared" si="2"/>
        <v>599.94000000000005</v>
      </c>
      <c r="H131" t="str">
        <f>_xlfn.XLOOKUP(C131,products[Product_ID],products[Product_Name],"not found",0)</f>
        <v>Electra Townie Original 7D EQ - 2016</v>
      </c>
      <c r="I131" t="str">
        <f>VLOOKUP(products!D131,categories[#All],2,TRUE)</f>
        <v>Mountain Bikes</v>
      </c>
    </row>
    <row r="132" spans="1:9" x14ac:dyDescent="0.3">
      <c r="A132">
        <v>131</v>
      </c>
      <c r="B132">
        <v>1</v>
      </c>
      <c r="C132">
        <v>22</v>
      </c>
      <c r="D132">
        <v>2</v>
      </c>
      <c r="E132">
        <v>269.99</v>
      </c>
      <c r="F132">
        <v>0.2</v>
      </c>
      <c r="G132">
        <f t="shared" si="2"/>
        <v>539.78</v>
      </c>
      <c r="H132" t="str">
        <f>_xlfn.XLOOKUP(C132,products[Product_ID],products[Product_Name],"not found",0)</f>
        <v>Electra Girl's Hawaii 1 (16-inch) - 2015/2016</v>
      </c>
      <c r="I132" t="str">
        <f>VLOOKUP(products!D132,categories[#All],2,TRUE)</f>
        <v>Mountain Bikes</v>
      </c>
    </row>
    <row r="133" spans="1:9" x14ac:dyDescent="0.3">
      <c r="A133">
        <v>132</v>
      </c>
      <c r="B133">
        <v>1</v>
      </c>
      <c r="C133">
        <v>2</v>
      </c>
      <c r="D133">
        <v>2</v>
      </c>
      <c r="E133">
        <v>749.99</v>
      </c>
      <c r="F133">
        <v>0.05</v>
      </c>
      <c r="G133">
        <f t="shared" si="2"/>
        <v>1499.93</v>
      </c>
      <c r="H133" t="str">
        <f>_xlfn.XLOOKUP(C133,products[Product_ID],products[Product_Name],"not found",0)</f>
        <v>Ritchey Timberwolf Frameset - 2016</v>
      </c>
      <c r="I133" t="str">
        <f>VLOOKUP(products!D133,categories[#All],2,TRUE)</f>
        <v>Mountain Bikes</v>
      </c>
    </row>
    <row r="134" spans="1:9" x14ac:dyDescent="0.3">
      <c r="A134">
        <v>133</v>
      </c>
      <c r="B134">
        <v>1</v>
      </c>
      <c r="C134">
        <v>13</v>
      </c>
      <c r="D134">
        <v>2</v>
      </c>
      <c r="E134">
        <v>269.99</v>
      </c>
      <c r="F134">
        <v>0.05</v>
      </c>
      <c r="G134">
        <f t="shared" si="2"/>
        <v>539.93000000000006</v>
      </c>
      <c r="H134" t="str">
        <f>_xlfn.XLOOKUP(C134,products[Product_ID],products[Product_Name],"not found",0)</f>
        <v>Electra Cruiser 1 (24-Inch) - 2016</v>
      </c>
      <c r="I134" t="str">
        <f>VLOOKUP(products!D134,categories[#All],2,TRUE)</f>
        <v>Mountain Bikes</v>
      </c>
    </row>
    <row r="135" spans="1:9" x14ac:dyDescent="0.3">
      <c r="A135">
        <v>134</v>
      </c>
      <c r="B135">
        <v>1</v>
      </c>
      <c r="C135">
        <v>19</v>
      </c>
      <c r="D135">
        <v>2</v>
      </c>
      <c r="E135">
        <v>449</v>
      </c>
      <c r="F135">
        <v>0.1</v>
      </c>
      <c r="G135">
        <f t="shared" si="2"/>
        <v>897.9</v>
      </c>
      <c r="H135" t="str">
        <f>_xlfn.XLOOKUP(C135,products[Product_ID],products[Product_Name],"not found",0)</f>
        <v>Pure Cycles William 3-Speed - 2016</v>
      </c>
      <c r="I135" t="str">
        <f>VLOOKUP(products!D135,categories[#All],2,TRUE)</f>
        <v>Mountain Bikes</v>
      </c>
    </row>
    <row r="136" spans="1:9" x14ac:dyDescent="0.3">
      <c r="A136">
        <v>135</v>
      </c>
      <c r="B136">
        <v>1</v>
      </c>
      <c r="C136">
        <v>5</v>
      </c>
      <c r="D136">
        <v>2</v>
      </c>
      <c r="E136">
        <v>1320.99</v>
      </c>
      <c r="F136">
        <v>0.05</v>
      </c>
      <c r="G136">
        <f t="shared" si="2"/>
        <v>2641.93</v>
      </c>
      <c r="H136" t="str">
        <f>_xlfn.XLOOKUP(C136,products[Product_ID],products[Product_Name],"not found",0)</f>
        <v>Heller Shagamaw Frame - 2016</v>
      </c>
      <c r="I136" t="str">
        <f>VLOOKUP(products!D136,categories[#All],2,TRUE)</f>
        <v>Mountain Bikes</v>
      </c>
    </row>
    <row r="137" spans="1:9" x14ac:dyDescent="0.3">
      <c r="A137">
        <v>136</v>
      </c>
      <c r="B137">
        <v>1</v>
      </c>
      <c r="C137">
        <v>7</v>
      </c>
      <c r="D137">
        <v>2</v>
      </c>
      <c r="E137">
        <v>3999.99</v>
      </c>
      <c r="F137">
        <v>0.2</v>
      </c>
      <c r="G137">
        <f t="shared" si="2"/>
        <v>7999.78</v>
      </c>
      <c r="H137" t="str">
        <f>_xlfn.XLOOKUP(C137,products[Product_ID],products[Product_Name],"not found",0)</f>
        <v>Trek Slash 8 27.5 - 2016</v>
      </c>
      <c r="I137" t="str">
        <f>VLOOKUP(products!D137,categories[#All],2,TRUE)</f>
        <v>Mountain Bikes</v>
      </c>
    </row>
    <row r="138" spans="1:9" x14ac:dyDescent="0.3">
      <c r="A138">
        <v>137</v>
      </c>
      <c r="B138">
        <v>1</v>
      </c>
      <c r="C138">
        <v>23</v>
      </c>
      <c r="D138">
        <v>1</v>
      </c>
      <c r="E138">
        <v>299.99</v>
      </c>
      <c r="F138">
        <v>7.0000000000000007E-2</v>
      </c>
      <c r="G138">
        <f t="shared" si="2"/>
        <v>299.92</v>
      </c>
      <c r="H138" t="str">
        <f>_xlfn.XLOOKUP(C138,products[Product_ID],products[Product_Name],"not found",0)</f>
        <v>Electra Girl's Hawaii 1 (20-inch) - 2015/2016</v>
      </c>
      <c r="I138" t="str">
        <f>VLOOKUP(products!D138,categories[#All],2,TRUE)</f>
        <v>Mountain Bikes</v>
      </c>
    </row>
    <row r="139" spans="1:9" x14ac:dyDescent="0.3">
      <c r="A139">
        <v>138</v>
      </c>
      <c r="B139">
        <v>1</v>
      </c>
      <c r="C139">
        <v>16</v>
      </c>
      <c r="D139">
        <v>2</v>
      </c>
      <c r="E139">
        <v>599.99</v>
      </c>
      <c r="F139">
        <v>0.1</v>
      </c>
      <c r="G139">
        <f t="shared" si="2"/>
        <v>1199.8800000000001</v>
      </c>
      <c r="H139" t="str">
        <f>_xlfn.XLOOKUP(C139,products[Product_ID],products[Product_Name],"not found",0)</f>
        <v>Electra Townie Original 7D EQ - 2016</v>
      </c>
      <c r="I139" t="str">
        <f>VLOOKUP(products!D139,categories[#All],2,TRUE)</f>
        <v>Mountain Bikes</v>
      </c>
    </row>
    <row r="140" spans="1:9" x14ac:dyDescent="0.3">
      <c r="A140">
        <v>139</v>
      </c>
      <c r="B140">
        <v>1</v>
      </c>
      <c r="C140">
        <v>19</v>
      </c>
      <c r="D140">
        <v>2</v>
      </c>
      <c r="E140">
        <v>449</v>
      </c>
      <c r="F140">
        <v>7.0000000000000007E-2</v>
      </c>
      <c r="G140">
        <f t="shared" si="2"/>
        <v>897.93</v>
      </c>
      <c r="H140" t="str">
        <f>_xlfn.XLOOKUP(C140,products[Product_ID],products[Product_Name],"not found",0)</f>
        <v>Pure Cycles William 3-Speed - 2016</v>
      </c>
      <c r="I140" t="str">
        <f>VLOOKUP(products!D140,categories[#All],2,TRUE)</f>
        <v>Mountain Bikes</v>
      </c>
    </row>
    <row r="141" spans="1:9" x14ac:dyDescent="0.3">
      <c r="A141">
        <v>140</v>
      </c>
      <c r="B141">
        <v>1</v>
      </c>
      <c r="C141">
        <v>15</v>
      </c>
      <c r="D141">
        <v>1</v>
      </c>
      <c r="E141">
        <v>529.99</v>
      </c>
      <c r="F141">
        <v>0.2</v>
      </c>
      <c r="G141">
        <f t="shared" si="2"/>
        <v>529.79</v>
      </c>
      <c r="H141" t="str">
        <f>_xlfn.XLOOKUP(C141,products[Product_ID],products[Product_Name],"not found",0)</f>
        <v>Electra Moto 1 - 2016</v>
      </c>
      <c r="I141" t="str">
        <f>VLOOKUP(products!D141,categories[#All],2,TRUE)</f>
        <v>Mountain Bikes</v>
      </c>
    </row>
    <row r="142" spans="1:9" x14ac:dyDescent="0.3">
      <c r="A142">
        <v>141</v>
      </c>
      <c r="B142">
        <v>1</v>
      </c>
      <c r="C142">
        <v>18</v>
      </c>
      <c r="D142">
        <v>1</v>
      </c>
      <c r="E142">
        <v>449</v>
      </c>
      <c r="F142">
        <v>0.2</v>
      </c>
      <c r="G142">
        <f t="shared" si="2"/>
        <v>448.8</v>
      </c>
      <c r="H142" t="str">
        <f>_xlfn.XLOOKUP(C142,products[Product_ID],products[Product_Name],"not found",0)</f>
        <v>Pure Cycles Western 3-Speed - Women's - 2015/2016</v>
      </c>
      <c r="I142" t="str">
        <f>VLOOKUP(products!D142,categories[#All],2,TRUE)</f>
        <v>Mountain Bikes</v>
      </c>
    </row>
    <row r="143" spans="1:9" x14ac:dyDescent="0.3">
      <c r="A143">
        <v>142</v>
      </c>
      <c r="B143">
        <v>1</v>
      </c>
      <c r="C143">
        <v>16</v>
      </c>
      <c r="D143">
        <v>2</v>
      </c>
      <c r="E143">
        <v>599.99</v>
      </c>
      <c r="F143">
        <v>0.1</v>
      </c>
      <c r="G143">
        <f t="shared" si="2"/>
        <v>1199.8800000000001</v>
      </c>
      <c r="H143" t="str">
        <f>_xlfn.XLOOKUP(C143,products[Product_ID],products[Product_Name],"not found",0)</f>
        <v>Electra Townie Original 7D EQ - 2016</v>
      </c>
      <c r="I143" t="str">
        <f>VLOOKUP(products!D143,categories[#All],2,TRUE)</f>
        <v>Mountain Bikes</v>
      </c>
    </row>
    <row r="144" spans="1:9" x14ac:dyDescent="0.3">
      <c r="A144">
        <v>143</v>
      </c>
      <c r="B144">
        <v>1</v>
      </c>
      <c r="C144">
        <v>6</v>
      </c>
      <c r="D144">
        <v>1</v>
      </c>
      <c r="E144">
        <v>469.99</v>
      </c>
      <c r="F144">
        <v>0.2</v>
      </c>
      <c r="G144">
        <f t="shared" si="2"/>
        <v>469.79</v>
      </c>
      <c r="H144" t="str">
        <f>_xlfn.XLOOKUP(C144,products[Product_ID],products[Product_Name],"not found",0)</f>
        <v>Surly Ice Cream Truck Frameset - 2016</v>
      </c>
      <c r="I144" t="str">
        <f>VLOOKUP(products!D144,categories[#All],2,TRUE)</f>
        <v>Road Bikes</v>
      </c>
    </row>
    <row r="145" spans="1:9" x14ac:dyDescent="0.3">
      <c r="A145">
        <v>144</v>
      </c>
      <c r="B145">
        <v>1</v>
      </c>
      <c r="C145">
        <v>8</v>
      </c>
      <c r="D145">
        <v>2</v>
      </c>
      <c r="E145">
        <v>1799.99</v>
      </c>
      <c r="F145">
        <v>0.05</v>
      </c>
      <c r="G145">
        <f t="shared" si="2"/>
        <v>3599.93</v>
      </c>
      <c r="H145" t="str">
        <f>_xlfn.XLOOKUP(C145,products[Product_ID],products[Product_Name],"not found",0)</f>
        <v>Trek Remedy 29 Carbon Frameset - 2016</v>
      </c>
      <c r="I145" t="str">
        <f>VLOOKUP(products!D145,categories[#All],2,TRUE)</f>
        <v>Road Bikes</v>
      </c>
    </row>
    <row r="146" spans="1:9" x14ac:dyDescent="0.3">
      <c r="A146">
        <v>145</v>
      </c>
      <c r="B146">
        <v>1</v>
      </c>
      <c r="C146">
        <v>11</v>
      </c>
      <c r="D146">
        <v>1</v>
      </c>
      <c r="E146">
        <v>1680.99</v>
      </c>
      <c r="F146">
        <v>0.2</v>
      </c>
      <c r="G146">
        <f t="shared" si="2"/>
        <v>1680.79</v>
      </c>
      <c r="H146" t="str">
        <f>_xlfn.XLOOKUP(C146,products[Product_ID],products[Product_Name],"not found",0)</f>
        <v>Surly Straggler 650b - 2016</v>
      </c>
      <c r="I146" t="str">
        <f>VLOOKUP(products!D146,categories[#All],2,TRUE)</f>
        <v>Road Bikes</v>
      </c>
    </row>
    <row r="147" spans="1:9" x14ac:dyDescent="0.3">
      <c r="A147">
        <v>146</v>
      </c>
      <c r="B147">
        <v>1</v>
      </c>
      <c r="C147">
        <v>3</v>
      </c>
      <c r="D147">
        <v>2</v>
      </c>
      <c r="E147">
        <v>999.99</v>
      </c>
      <c r="F147">
        <v>0.2</v>
      </c>
      <c r="G147">
        <f t="shared" si="2"/>
        <v>1999.78</v>
      </c>
      <c r="H147" t="str">
        <f>_xlfn.XLOOKUP(C147,products[Product_ID],products[Product_Name],"not found",0)</f>
        <v>Surly Wednesday Frameset - 2016</v>
      </c>
      <c r="I147" t="str">
        <f>VLOOKUP(products!D147,categories[#All],2,TRUE)</f>
        <v>Road Bikes</v>
      </c>
    </row>
    <row r="148" spans="1:9" x14ac:dyDescent="0.3">
      <c r="A148">
        <v>147</v>
      </c>
      <c r="B148">
        <v>1</v>
      </c>
      <c r="C148">
        <v>26</v>
      </c>
      <c r="D148">
        <v>2</v>
      </c>
      <c r="E148">
        <v>599.99</v>
      </c>
      <c r="F148">
        <v>0.2</v>
      </c>
      <c r="G148">
        <f t="shared" si="2"/>
        <v>1199.78</v>
      </c>
      <c r="H148" t="str">
        <f>_xlfn.XLOOKUP(C148,products[Product_ID],products[Product_Name],"not found",0)</f>
        <v>Electra Townie Original 7D EQ - 2016</v>
      </c>
      <c r="I148" t="str">
        <f>VLOOKUP(products!D148,categories[#All],2,TRUE)</f>
        <v>Road Bikes</v>
      </c>
    </row>
    <row r="149" spans="1:9" x14ac:dyDescent="0.3">
      <c r="A149">
        <v>148</v>
      </c>
      <c r="B149">
        <v>1</v>
      </c>
      <c r="C149">
        <v>14</v>
      </c>
      <c r="D149">
        <v>1</v>
      </c>
      <c r="E149">
        <v>269.99</v>
      </c>
      <c r="F149">
        <v>0.05</v>
      </c>
      <c r="G149">
        <f t="shared" si="2"/>
        <v>269.94</v>
      </c>
      <c r="H149" t="str">
        <f>_xlfn.XLOOKUP(C149,products[Product_ID],products[Product_Name],"not found",0)</f>
        <v>Electra Girl's Hawaii 1 (16-inch) - 2015/2016</v>
      </c>
      <c r="I149" t="str">
        <f>VLOOKUP(products!D149,categories[#All],2,TRUE)</f>
        <v>Road Bikes</v>
      </c>
    </row>
    <row r="150" spans="1:9" x14ac:dyDescent="0.3">
      <c r="A150">
        <v>149</v>
      </c>
      <c r="B150">
        <v>1</v>
      </c>
      <c r="C150">
        <v>12</v>
      </c>
      <c r="D150">
        <v>2</v>
      </c>
      <c r="E150">
        <v>549.99</v>
      </c>
      <c r="F150">
        <v>7.0000000000000007E-2</v>
      </c>
      <c r="G150">
        <f t="shared" si="2"/>
        <v>1099.9100000000001</v>
      </c>
      <c r="H150" t="str">
        <f>_xlfn.XLOOKUP(C150,products[Product_ID],products[Product_Name],"not found",0)</f>
        <v>Electra Townie Original 21D - 2016</v>
      </c>
      <c r="I150" t="str">
        <f>VLOOKUP(products!D150,categories[#All],2,TRUE)</f>
        <v>Road Bikes</v>
      </c>
    </row>
    <row r="151" spans="1:9" x14ac:dyDescent="0.3">
      <c r="A151">
        <v>150</v>
      </c>
      <c r="B151">
        <v>1</v>
      </c>
      <c r="C151">
        <v>7</v>
      </c>
      <c r="D151">
        <v>1</v>
      </c>
      <c r="E151">
        <v>3999.99</v>
      </c>
      <c r="F151">
        <v>0.1</v>
      </c>
      <c r="G151">
        <f t="shared" si="2"/>
        <v>3999.89</v>
      </c>
      <c r="H151" t="str">
        <f>_xlfn.XLOOKUP(C151,products[Product_ID],products[Product_Name],"not found",0)</f>
        <v>Trek Slash 8 27.5 - 2016</v>
      </c>
      <c r="I151" t="str">
        <f>VLOOKUP(products!D151,categories[#All],2,TRUE)</f>
        <v>Road Bikes</v>
      </c>
    </row>
    <row r="152" spans="1:9" x14ac:dyDescent="0.3">
      <c r="A152">
        <v>151</v>
      </c>
      <c r="B152">
        <v>1</v>
      </c>
      <c r="C152">
        <v>17</v>
      </c>
      <c r="D152">
        <v>1</v>
      </c>
      <c r="E152">
        <v>429</v>
      </c>
      <c r="F152">
        <v>0.1</v>
      </c>
      <c r="G152">
        <f t="shared" si="2"/>
        <v>428.9</v>
      </c>
      <c r="H152" t="str">
        <f>_xlfn.XLOOKUP(C152,products[Product_ID],products[Product_Name],"not found",0)</f>
        <v>Pure Cycles Vine 8-Speed - 2016</v>
      </c>
      <c r="I152" t="str">
        <f>VLOOKUP(products!D152,categories[#All],2,TRUE)</f>
        <v>Road Bikes</v>
      </c>
    </row>
    <row r="153" spans="1:9" x14ac:dyDescent="0.3">
      <c r="A153">
        <v>152</v>
      </c>
      <c r="B153">
        <v>1</v>
      </c>
      <c r="C153">
        <v>6</v>
      </c>
      <c r="D153">
        <v>2</v>
      </c>
      <c r="E153">
        <v>469.99</v>
      </c>
      <c r="F153">
        <v>0.2</v>
      </c>
      <c r="G153">
        <f t="shared" si="2"/>
        <v>939.78</v>
      </c>
      <c r="H153" t="str">
        <f>_xlfn.XLOOKUP(C153,products[Product_ID],products[Product_Name],"not found",0)</f>
        <v>Surly Ice Cream Truck Frameset - 2016</v>
      </c>
      <c r="I153" t="str">
        <f>VLOOKUP(products!D153,categories[#All],2,TRUE)</f>
        <v>Road Bikes</v>
      </c>
    </row>
    <row r="154" spans="1:9" x14ac:dyDescent="0.3">
      <c r="A154">
        <v>153</v>
      </c>
      <c r="B154">
        <v>1</v>
      </c>
      <c r="C154">
        <v>16</v>
      </c>
      <c r="D154">
        <v>1</v>
      </c>
      <c r="E154">
        <v>599.99</v>
      </c>
      <c r="F154">
        <v>7.0000000000000007E-2</v>
      </c>
      <c r="G154">
        <f t="shared" si="2"/>
        <v>599.91999999999996</v>
      </c>
      <c r="H154" t="str">
        <f>_xlfn.XLOOKUP(C154,products[Product_ID],products[Product_Name],"not found",0)</f>
        <v>Electra Townie Original 7D EQ - 2016</v>
      </c>
      <c r="I154" t="str">
        <f>VLOOKUP(products!D154,categories[#All],2,TRUE)</f>
        <v>Road Bikes</v>
      </c>
    </row>
    <row r="155" spans="1:9" x14ac:dyDescent="0.3">
      <c r="A155">
        <v>154</v>
      </c>
      <c r="B155">
        <v>1</v>
      </c>
      <c r="C155">
        <v>12</v>
      </c>
      <c r="D155">
        <v>1</v>
      </c>
      <c r="E155">
        <v>549.99</v>
      </c>
      <c r="F155">
        <v>0.1</v>
      </c>
      <c r="G155">
        <f t="shared" si="2"/>
        <v>549.89</v>
      </c>
      <c r="H155" t="str">
        <f>_xlfn.XLOOKUP(C155,products[Product_ID],products[Product_Name],"not found",0)</f>
        <v>Electra Townie Original 21D - 2016</v>
      </c>
      <c r="I155" t="str">
        <f>VLOOKUP(products!D155,categories[#All],2,TRUE)</f>
        <v>Road Bikes</v>
      </c>
    </row>
    <row r="156" spans="1:9" x14ac:dyDescent="0.3">
      <c r="A156">
        <v>155</v>
      </c>
      <c r="B156">
        <v>1</v>
      </c>
      <c r="C156">
        <v>8</v>
      </c>
      <c r="D156">
        <v>1</v>
      </c>
      <c r="E156">
        <v>1799.99</v>
      </c>
      <c r="F156">
        <v>0.1</v>
      </c>
      <c r="G156">
        <f t="shared" si="2"/>
        <v>1799.89</v>
      </c>
      <c r="H156" t="str">
        <f>_xlfn.XLOOKUP(C156,products[Product_ID],products[Product_Name],"not found",0)</f>
        <v>Trek Remedy 29 Carbon Frameset - 2016</v>
      </c>
      <c r="I156" t="str">
        <f>VLOOKUP(products!D156,categories[#All],2,TRUE)</f>
        <v>Road Bikes</v>
      </c>
    </row>
    <row r="157" spans="1:9" x14ac:dyDescent="0.3">
      <c r="A157">
        <v>156</v>
      </c>
      <c r="B157">
        <v>1</v>
      </c>
      <c r="C157">
        <v>18</v>
      </c>
      <c r="D157">
        <v>2</v>
      </c>
      <c r="E157">
        <v>449</v>
      </c>
      <c r="F157">
        <v>0.2</v>
      </c>
      <c r="G157">
        <f t="shared" si="2"/>
        <v>897.8</v>
      </c>
      <c r="H157" t="str">
        <f>_xlfn.XLOOKUP(C157,products[Product_ID],products[Product_Name],"not found",0)</f>
        <v>Pure Cycles Western 3-Speed - Women's - 2015/2016</v>
      </c>
      <c r="I157" t="str">
        <f>VLOOKUP(products!D157,categories[#All],2,TRUE)</f>
        <v>Road Bikes</v>
      </c>
    </row>
    <row r="158" spans="1:9" x14ac:dyDescent="0.3">
      <c r="A158">
        <v>157</v>
      </c>
      <c r="B158">
        <v>1</v>
      </c>
      <c r="C158">
        <v>4</v>
      </c>
      <c r="D158">
        <v>1</v>
      </c>
      <c r="E158">
        <v>2899.99</v>
      </c>
      <c r="F158">
        <v>0.1</v>
      </c>
      <c r="G158">
        <f t="shared" si="2"/>
        <v>2899.89</v>
      </c>
      <c r="H158" t="str">
        <f>_xlfn.XLOOKUP(C158,products[Product_ID],products[Product_Name],"not found",0)</f>
        <v>Trek Fuel EX 8 29 - 2016</v>
      </c>
      <c r="I158" t="str">
        <f>VLOOKUP(products!D158,categories[#All],2,TRUE)</f>
        <v>Road Bikes</v>
      </c>
    </row>
    <row r="159" spans="1:9" x14ac:dyDescent="0.3">
      <c r="A159">
        <v>158</v>
      </c>
      <c r="B159">
        <v>1</v>
      </c>
      <c r="C159">
        <v>24</v>
      </c>
      <c r="D159">
        <v>1</v>
      </c>
      <c r="E159">
        <v>549.99</v>
      </c>
      <c r="F159">
        <v>0.1</v>
      </c>
      <c r="G159">
        <f t="shared" si="2"/>
        <v>549.89</v>
      </c>
      <c r="H159" t="str">
        <f>_xlfn.XLOOKUP(C159,products[Product_ID],products[Product_Name],"not found",0)</f>
        <v>Electra Townie Original 21D - 2016</v>
      </c>
      <c r="I159" t="str">
        <f>VLOOKUP(products!D159,categories[#All],2,TRUE)</f>
        <v>Road Bikes</v>
      </c>
    </row>
    <row r="160" spans="1:9" x14ac:dyDescent="0.3">
      <c r="A160">
        <v>159</v>
      </c>
      <c r="B160">
        <v>1</v>
      </c>
      <c r="C160">
        <v>13</v>
      </c>
      <c r="D160">
        <v>1</v>
      </c>
      <c r="E160">
        <v>269.99</v>
      </c>
      <c r="F160">
        <v>0.2</v>
      </c>
      <c r="G160">
        <f t="shared" si="2"/>
        <v>269.79000000000002</v>
      </c>
      <c r="H160" t="str">
        <f>_xlfn.XLOOKUP(C160,products[Product_ID],products[Product_Name],"not found",0)</f>
        <v>Electra Cruiser 1 (24-Inch) - 2016</v>
      </c>
      <c r="I160" t="str">
        <f>VLOOKUP(products!D160,categories[#All],2,TRUE)</f>
        <v>Road Bikes</v>
      </c>
    </row>
    <row r="161" spans="1:9" x14ac:dyDescent="0.3">
      <c r="A161">
        <v>160</v>
      </c>
      <c r="B161">
        <v>1</v>
      </c>
      <c r="C161">
        <v>21</v>
      </c>
      <c r="D161">
        <v>1</v>
      </c>
      <c r="E161">
        <v>269.99</v>
      </c>
      <c r="F161">
        <v>7.0000000000000007E-2</v>
      </c>
      <c r="G161">
        <f t="shared" si="2"/>
        <v>269.92</v>
      </c>
      <c r="H161" t="str">
        <f>_xlfn.XLOOKUP(C161,products[Product_ID],products[Product_Name],"not found",0)</f>
        <v>Electra Cruiser 1 (24-Inch) - 2016</v>
      </c>
      <c r="I161" t="str">
        <f>VLOOKUP(products!D161,categories[#All],2,TRUE)</f>
        <v>Road Bikes</v>
      </c>
    </row>
    <row r="162" spans="1:9" x14ac:dyDescent="0.3">
      <c r="A162">
        <v>161</v>
      </c>
      <c r="B162">
        <v>1</v>
      </c>
      <c r="C162">
        <v>24</v>
      </c>
      <c r="D162">
        <v>2</v>
      </c>
      <c r="E162">
        <v>549.99</v>
      </c>
      <c r="F162">
        <v>7.0000000000000007E-2</v>
      </c>
      <c r="G162">
        <f t="shared" si="2"/>
        <v>1099.9100000000001</v>
      </c>
      <c r="H162" t="str">
        <f>_xlfn.XLOOKUP(C162,products[Product_ID],products[Product_Name],"not found",0)</f>
        <v>Electra Townie Original 21D - 2016</v>
      </c>
      <c r="I162" t="str">
        <f>VLOOKUP(products!D162,categories[#All],2,TRUE)</f>
        <v>Road Bikes</v>
      </c>
    </row>
    <row r="163" spans="1:9" x14ac:dyDescent="0.3">
      <c r="A163">
        <v>162</v>
      </c>
      <c r="B163">
        <v>1</v>
      </c>
      <c r="C163">
        <v>18</v>
      </c>
      <c r="D163">
        <v>1</v>
      </c>
      <c r="E163">
        <v>449</v>
      </c>
      <c r="F163">
        <v>7.0000000000000007E-2</v>
      </c>
      <c r="G163">
        <f t="shared" si="2"/>
        <v>448.93</v>
      </c>
      <c r="H163" t="str">
        <f>_xlfn.XLOOKUP(C163,products[Product_ID],products[Product_Name],"not found",0)</f>
        <v>Pure Cycles Western 3-Speed - Women's - 2015/2016</v>
      </c>
      <c r="I163" t="str">
        <f>VLOOKUP(products!D163,categories[#All],2,TRUE)</f>
        <v>Road Bikes</v>
      </c>
    </row>
    <row r="164" spans="1:9" x14ac:dyDescent="0.3">
      <c r="A164">
        <v>163</v>
      </c>
      <c r="B164">
        <v>1</v>
      </c>
      <c r="C164">
        <v>12</v>
      </c>
      <c r="D164">
        <v>1</v>
      </c>
      <c r="E164">
        <v>549.99</v>
      </c>
      <c r="F164">
        <v>0.1</v>
      </c>
      <c r="G164">
        <f t="shared" si="2"/>
        <v>549.89</v>
      </c>
      <c r="H164" t="str">
        <f>_xlfn.XLOOKUP(C164,products[Product_ID],products[Product_Name],"not found",0)</f>
        <v>Electra Townie Original 21D - 2016</v>
      </c>
      <c r="I164" t="str">
        <f>VLOOKUP(products!D164,categories[#All],2,TRUE)</f>
        <v>Road Bikes</v>
      </c>
    </row>
    <row r="165" spans="1:9" x14ac:dyDescent="0.3">
      <c r="A165">
        <v>164</v>
      </c>
      <c r="B165">
        <v>1</v>
      </c>
      <c r="C165">
        <v>4</v>
      </c>
      <c r="D165">
        <v>2</v>
      </c>
      <c r="E165">
        <v>2899.99</v>
      </c>
      <c r="F165">
        <v>0.05</v>
      </c>
      <c r="G165">
        <f t="shared" si="2"/>
        <v>5799.9299999999994</v>
      </c>
      <c r="H165" t="str">
        <f>_xlfn.XLOOKUP(C165,products[Product_ID],products[Product_Name],"not found",0)</f>
        <v>Trek Fuel EX 8 29 - 2016</v>
      </c>
      <c r="I165" t="str">
        <f>VLOOKUP(products!D165,categories[#All],2,TRUE)</f>
        <v>Road Bikes</v>
      </c>
    </row>
    <row r="166" spans="1:9" x14ac:dyDescent="0.3">
      <c r="A166">
        <v>165</v>
      </c>
      <c r="B166">
        <v>1</v>
      </c>
      <c r="C166">
        <v>4</v>
      </c>
      <c r="D166">
        <v>2</v>
      </c>
      <c r="E166">
        <v>2899.99</v>
      </c>
      <c r="F166">
        <v>0.05</v>
      </c>
      <c r="G166">
        <f t="shared" si="2"/>
        <v>5799.9299999999994</v>
      </c>
      <c r="H166" t="str">
        <f>_xlfn.XLOOKUP(C166,products[Product_ID],products[Product_Name],"not found",0)</f>
        <v>Trek Fuel EX 8 29 - 2016</v>
      </c>
      <c r="I166" t="str">
        <f>VLOOKUP(products!D166,categories[#All],2,TRUE)</f>
        <v>Road Bikes</v>
      </c>
    </row>
    <row r="167" spans="1:9" x14ac:dyDescent="0.3">
      <c r="A167">
        <v>166</v>
      </c>
      <c r="B167">
        <v>1</v>
      </c>
      <c r="C167">
        <v>10</v>
      </c>
      <c r="D167">
        <v>2</v>
      </c>
      <c r="E167">
        <v>1549</v>
      </c>
      <c r="F167">
        <v>0.1</v>
      </c>
      <c r="G167">
        <f t="shared" si="2"/>
        <v>3097.9</v>
      </c>
      <c r="H167" t="str">
        <f>_xlfn.XLOOKUP(C167,products[Product_ID],products[Product_Name],"not found",0)</f>
        <v>Surly Straggler - 2016</v>
      </c>
      <c r="I167" t="str">
        <f>VLOOKUP(products!D167,categories[#All],2,TRUE)</f>
        <v>Road Bikes</v>
      </c>
    </row>
    <row r="168" spans="1:9" x14ac:dyDescent="0.3">
      <c r="A168">
        <v>167</v>
      </c>
      <c r="B168">
        <v>1</v>
      </c>
      <c r="C168">
        <v>12</v>
      </c>
      <c r="D168">
        <v>1</v>
      </c>
      <c r="E168">
        <v>549.99</v>
      </c>
      <c r="F168">
        <v>0.05</v>
      </c>
      <c r="G168">
        <f t="shared" si="2"/>
        <v>549.94000000000005</v>
      </c>
      <c r="H168" t="str">
        <f>_xlfn.XLOOKUP(C168,products[Product_ID],products[Product_Name],"not found",0)</f>
        <v>Electra Townie Original 21D - 2016</v>
      </c>
      <c r="I168" t="str">
        <f>VLOOKUP(products!D168,categories[#All],2,TRUE)</f>
        <v>Road Bikes</v>
      </c>
    </row>
    <row r="169" spans="1:9" x14ac:dyDescent="0.3">
      <c r="A169">
        <v>168</v>
      </c>
      <c r="B169">
        <v>1</v>
      </c>
      <c r="C169">
        <v>6</v>
      </c>
      <c r="D169">
        <v>1</v>
      </c>
      <c r="E169">
        <v>469.99</v>
      </c>
      <c r="F169">
        <v>0.1</v>
      </c>
      <c r="G169">
        <f t="shared" si="2"/>
        <v>469.89</v>
      </c>
      <c r="H169" t="str">
        <f>_xlfn.XLOOKUP(C169,products[Product_ID],products[Product_Name],"not found",0)</f>
        <v>Surly Ice Cream Truck Frameset - 2016</v>
      </c>
      <c r="I169" t="str">
        <f>VLOOKUP(products!D169,categories[#All],2,TRUE)</f>
        <v>Road Bikes</v>
      </c>
    </row>
    <row r="170" spans="1:9" x14ac:dyDescent="0.3">
      <c r="A170">
        <v>169</v>
      </c>
      <c r="B170">
        <v>1</v>
      </c>
      <c r="C170">
        <v>20</v>
      </c>
      <c r="D170">
        <v>2</v>
      </c>
      <c r="E170">
        <v>599.99</v>
      </c>
      <c r="F170">
        <v>0.1</v>
      </c>
      <c r="G170">
        <f t="shared" si="2"/>
        <v>1199.8800000000001</v>
      </c>
      <c r="H170" t="str">
        <f>_xlfn.XLOOKUP(C170,products[Product_ID],products[Product_Name],"not found",0)</f>
        <v>Electra Townie Original 7D EQ - Women's - 2016</v>
      </c>
      <c r="I170" t="str">
        <f>VLOOKUP(products!D170,categories[#All],2,TRUE)</f>
        <v>Road Bikes</v>
      </c>
    </row>
    <row r="171" spans="1:9" x14ac:dyDescent="0.3">
      <c r="A171">
        <v>170</v>
      </c>
      <c r="B171">
        <v>1</v>
      </c>
      <c r="C171">
        <v>12</v>
      </c>
      <c r="D171">
        <v>2</v>
      </c>
      <c r="E171">
        <v>549.99</v>
      </c>
      <c r="F171">
        <v>0.1</v>
      </c>
      <c r="G171">
        <f t="shared" si="2"/>
        <v>1099.8800000000001</v>
      </c>
      <c r="H171" t="str">
        <f>_xlfn.XLOOKUP(C171,products[Product_ID],products[Product_Name],"not found",0)</f>
        <v>Electra Townie Original 21D - 2016</v>
      </c>
      <c r="I171" t="str">
        <f>VLOOKUP(products!D171,categories[#All],2,TRUE)</f>
        <v>Road Bikes</v>
      </c>
    </row>
    <row r="172" spans="1:9" x14ac:dyDescent="0.3">
      <c r="A172">
        <v>171</v>
      </c>
      <c r="B172">
        <v>1</v>
      </c>
      <c r="C172">
        <v>8</v>
      </c>
      <c r="D172">
        <v>1</v>
      </c>
      <c r="E172">
        <v>1799.99</v>
      </c>
      <c r="F172">
        <v>0.05</v>
      </c>
      <c r="G172">
        <f t="shared" si="2"/>
        <v>1799.94</v>
      </c>
      <c r="H172" t="str">
        <f>_xlfn.XLOOKUP(C172,products[Product_ID],products[Product_Name],"not found",0)</f>
        <v>Trek Remedy 29 Carbon Frameset - 2016</v>
      </c>
      <c r="I172" t="str">
        <f>VLOOKUP(products!D172,categories[#All],2,TRUE)</f>
        <v>Road Bikes</v>
      </c>
    </row>
    <row r="173" spans="1:9" x14ac:dyDescent="0.3">
      <c r="A173">
        <v>172</v>
      </c>
      <c r="B173">
        <v>1</v>
      </c>
      <c r="C173">
        <v>23</v>
      </c>
      <c r="D173">
        <v>1</v>
      </c>
      <c r="E173">
        <v>299.99</v>
      </c>
      <c r="F173">
        <v>7.0000000000000007E-2</v>
      </c>
      <c r="G173">
        <f t="shared" si="2"/>
        <v>299.92</v>
      </c>
      <c r="H173" t="str">
        <f>_xlfn.XLOOKUP(C173,products[Product_ID],products[Product_Name],"not found",0)</f>
        <v>Electra Girl's Hawaii 1 (20-inch) - 2015/2016</v>
      </c>
      <c r="I173" t="str">
        <f>VLOOKUP(products!D173,categories[#All],2,TRUE)</f>
        <v>Road Bikes</v>
      </c>
    </row>
    <row r="174" spans="1:9" x14ac:dyDescent="0.3">
      <c r="A174">
        <v>173</v>
      </c>
      <c r="B174">
        <v>1</v>
      </c>
      <c r="C174">
        <v>14</v>
      </c>
      <c r="D174">
        <v>1</v>
      </c>
      <c r="E174">
        <v>269.99</v>
      </c>
      <c r="F174">
        <v>0.05</v>
      </c>
      <c r="G174">
        <f t="shared" si="2"/>
        <v>269.94</v>
      </c>
      <c r="H174" t="str">
        <f>_xlfn.XLOOKUP(C174,products[Product_ID],products[Product_Name],"not found",0)</f>
        <v>Electra Girl's Hawaii 1 (16-inch) - 2015/2016</v>
      </c>
      <c r="I174" t="str">
        <f>VLOOKUP(products!D174,categories[#All],2,TRUE)</f>
        <v>Road Bikes</v>
      </c>
    </row>
    <row r="175" spans="1:9" x14ac:dyDescent="0.3">
      <c r="A175">
        <v>174</v>
      </c>
      <c r="B175">
        <v>1</v>
      </c>
      <c r="C175">
        <v>22</v>
      </c>
      <c r="D175">
        <v>2</v>
      </c>
      <c r="E175">
        <v>269.99</v>
      </c>
      <c r="F175">
        <v>0.2</v>
      </c>
      <c r="G175">
        <f t="shared" si="2"/>
        <v>539.78</v>
      </c>
      <c r="H175" t="str">
        <f>_xlfn.XLOOKUP(C175,products[Product_ID],products[Product_Name],"not found",0)</f>
        <v>Electra Girl's Hawaii 1 (16-inch) - 2015/2016</v>
      </c>
      <c r="I175" t="str">
        <f>VLOOKUP(products!D175,categories[#All],2,TRUE)</f>
        <v>Road Bikes</v>
      </c>
    </row>
    <row r="176" spans="1:9" x14ac:dyDescent="0.3">
      <c r="A176">
        <v>175</v>
      </c>
      <c r="B176">
        <v>1</v>
      </c>
      <c r="C176">
        <v>5</v>
      </c>
      <c r="D176">
        <v>1</v>
      </c>
      <c r="E176">
        <v>1320.99</v>
      </c>
      <c r="F176">
        <v>0.1</v>
      </c>
      <c r="G176">
        <f t="shared" si="2"/>
        <v>1320.89</v>
      </c>
      <c r="H176" t="str">
        <f>_xlfn.XLOOKUP(C176,products[Product_ID],products[Product_Name],"not found",0)</f>
        <v>Heller Shagamaw Frame - 2016</v>
      </c>
      <c r="I176" t="str">
        <f>VLOOKUP(products!D176,categories[#All],2,TRUE)</f>
        <v>Road Bikes</v>
      </c>
    </row>
    <row r="177" spans="1:9" x14ac:dyDescent="0.3">
      <c r="A177">
        <v>176</v>
      </c>
      <c r="B177">
        <v>1</v>
      </c>
      <c r="C177">
        <v>2</v>
      </c>
      <c r="D177">
        <v>2</v>
      </c>
      <c r="E177">
        <v>749.99</v>
      </c>
      <c r="F177">
        <v>7.0000000000000007E-2</v>
      </c>
      <c r="G177">
        <f t="shared" si="2"/>
        <v>1499.91</v>
      </c>
      <c r="H177" t="str">
        <f>_xlfn.XLOOKUP(C177,products[Product_ID],products[Product_Name],"not found",0)</f>
        <v>Ritchey Timberwolf Frameset - 2016</v>
      </c>
      <c r="I177" t="str">
        <f>VLOOKUP(products!D177,categories[#All],2,TRUE)</f>
        <v>Road Bikes</v>
      </c>
    </row>
    <row r="178" spans="1:9" x14ac:dyDescent="0.3">
      <c r="A178">
        <v>177</v>
      </c>
      <c r="B178">
        <v>1</v>
      </c>
      <c r="C178">
        <v>20</v>
      </c>
      <c r="D178">
        <v>2</v>
      </c>
      <c r="E178">
        <v>599.99</v>
      </c>
      <c r="F178">
        <v>0.1</v>
      </c>
      <c r="G178">
        <f t="shared" si="2"/>
        <v>1199.8800000000001</v>
      </c>
      <c r="H178" t="str">
        <f>_xlfn.XLOOKUP(C178,products[Product_ID],products[Product_Name],"not found",0)</f>
        <v>Electra Townie Original 7D EQ - Women's - 2016</v>
      </c>
      <c r="I178" t="str">
        <f>VLOOKUP(products!D178,categories[#All],2,TRUE)</f>
        <v>Road Bikes</v>
      </c>
    </row>
    <row r="179" spans="1:9" x14ac:dyDescent="0.3">
      <c r="A179">
        <v>178</v>
      </c>
      <c r="B179">
        <v>1</v>
      </c>
      <c r="C179">
        <v>10</v>
      </c>
      <c r="D179">
        <v>2</v>
      </c>
      <c r="E179">
        <v>1549</v>
      </c>
      <c r="F179">
        <v>0.2</v>
      </c>
      <c r="G179">
        <f t="shared" si="2"/>
        <v>3097.8</v>
      </c>
      <c r="H179" t="str">
        <f>_xlfn.XLOOKUP(C179,products[Product_ID],products[Product_Name],"not found",0)</f>
        <v>Surly Straggler - 2016</v>
      </c>
      <c r="I179" t="str">
        <f>VLOOKUP(products!D179,categories[#All],2,TRUE)</f>
        <v>Road Bikes</v>
      </c>
    </row>
    <row r="180" spans="1:9" x14ac:dyDescent="0.3">
      <c r="A180">
        <v>179</v>
      </c>
      <c r="B180">
        <v>1</v>
      </c>
      <c r="C180">
        <v>13</v>
      </c>
      <c r="D180">
        <v>2</v>
      </c>
      <c r="E180">
        <v>269.99</v>
      </c>
      <c r="F180">
        <v>0.05</v>
      </c>
      <c r="G180">
        <f t="shared" si="2"/>
        <v>539.93000000000006</v>
      </c>
      <c r="H180" t="str">
        <f>_xlfn.XLOOKUP(C180,products[Product_ID],products[Product_Name],"not found",0)</f>
        <v>Electra Cruiser 1 (24-Inch) - 2016</v>
      </c>
      <c r="I180" t="str">
        <f>VLOOKUP(products!D180,categories[#All],2,TRUE)</f>
        <v>Road Bikes</v>
      </c>
    </row>
    <row r="181" spans="1:9" x14ac:dyDescent="0.3">
      <c r="A181">
        <v>180</v>
      </c>
      <c r="B181">
        <v>1</v>
      </c>
      <c r="C181">
        <v>16</v>
      </c>
      <c r="D181">
        <v>1</v>
      </c>
      <c r="E181">
        <v>599.99</v>
      </c>
      <c r="F181">
        <v>7.0000000000000007E-2</v>
      </c>
      <c r="G181">
        <f t="shared" si="2"/>
        <v>599.91999999999996</v>
      </c>
      <c r="H181" t="str">
        <f>_xlfn.XLOOKUP(C181,products[Product_ID],products[Product_Name],"not found",0)</f>
        <v>Electra Townie Original 7D EQ - 2016</v>
      </c>
      <c r="I181" t="str">
        <f>VLOOKUP(products!D181,categories[#All],2,TRUE)</f>
        <v>Road Bikes</v>
      </c>
    </row>
    <row r="182" spans="1:9" x14ac:dyDescent="0.3">
      <c r="A182">
        <v>181</v>
      </c>
      <c r="B182">
        <v>1</v>
      </c>
      <c r="C182">
        <v>10</v>
      </c>
      <c r="D182">
        <v>1</v>
      </c>
      <c r="E182">
        <v>1549</v>
      </c>
      <c r="F182">
        <v>0.05</v>
      </c>
      <c r="G182">
        <f t="shared" si="2"/>
        <v>1548.95</v>
      </c>
      <c r="H182" t="str">
        <f>_xlfn.XLOOKUP(C182,products[Product_ID],products[Product_Name],"not found",0)</f>
        <v>Surly Straggler - 2016</v>
      </c>
      <c r="I182" t="str">
        <f>VLOOKUP(products!D182,categories[#All],2,TRUE)</f>
        <v>Road Bikes</v>
      </c>
    </row>
    <row r="183" spans="1:9" x14ac:dyDescent="0.3">
      <c r="A183">
        <v>182</v>
      </c>
      <c r="B183">
        <v>1</v>
      </c>
      <c r="C183">
        <v>25</v>
      </c>
      <c r="D183">
        <v>2</v>
      </c>
      <c r="E183">
        <v>499.99</v>
      </c>
      <c r="F183">
        <v>0.05</v>
      </c>
      <c r="G183">
        <f t="shared" si="2"/>
        <v>999.93000000000006</v>
      </c>
      <c r="H183" t="str">
        <f>_xlfn.XLOOKUP(C183,products[Product_ID],products[Product_Name],"not found",0)</f>
        <v>Electra Townie Original 7D - 2015/2016</v>
      </c>
      <c r="I183" t="str">
        <f>VLOOKUP(products!D183,categories[#All],2,TRUE)</f>
        <v>Road Bikes</v>
      </c>
    </row>
    <row r="184" spans="1:9" x14ac:dyDescent="0.3">
      <c r="A184">
        <v>183</v>
      </c>
      <c r="B184">
        <v>1</v>
      </c>
      <c r="C184">
        <v>11</v>
      </c>
      <c r="D184">
        <v>2</v>
      </c>
      <c r="E184">
        <v>1680.99</v>
      </c>
      <c r="F184">
        <v>0.2</v>
      </c>
      <c r="G184">
        <f t="shared" si="2"/>
        <v>3361.78</v>
      </c>
      <c r="H184" t="str">
        <f>_xlfn.XLOOKUP(C184,products[Product_ID],products[Product_Name],"not found",0)</f>
        <v>Surly Straggler 650b - 2016</v>
      </c>
      <c r="I184" t="str">
        <f>VLOOKUP(products!D184,categories[#All],2,TRUE)</f>
        <v>Road Bikes</v>
      </c>
    </row>
    <row r="185" spans="1:9" x14ac:dyDescent="0.3">
      <c r="A185">
        <v>184</v>
      </c>
      <c r="B185">
        <v>1</v>
      </c>
      <c r="C185">
        <v>4</v>
      </c>
      <c r="D185">
        <v>1</v>
      </c>
      <c r="E185">
        <v>2899.99</v>
      </c>
      <c r="F185">
        <v>0.2</v>
      </c>
      <c r="G185">
        <f t="shared" si="2"/>
        <v>2899.79</v>
      </c>
      <c r="H185" t="str">
        <f>_xlfn.XLOOKUP(C185,products[Product_ID],products[Product_Name],"not found",0)</f>
        <v>Trek Fuel EX 8 29 - 2016</v>
      </c>
      <c r="I185" t="str">
        <f>VLOOKUP(products!D185,categories[#All],2,TRUE)</f>
        <v>Road Bikes</v>
      </c>
    </row>
    <row r="186" spans="1:9" x14ac:dyDescent="0.3">
      <c r="A186">
        <v>185</v>
      </c>
      <c r="B186">
        <v>1</v>
      </c>
      <c r="C186">
        <v>20</v>
      </c>
      <c r="D186">
        <v>1</v>
      </c>
      <c r="E186">
        <v>599.99</v>
      </c>
      <c r="F186">
        <v>0.1</v>
      </c>
      <c r="G186">
        <f t="shared" si="2"/>
        <v>599.89</v>
      </c>
      <c r="H186" t="str">
        <f>_xlfn.XLOOKUP(C186,products[Product_ID],products[Product_Name],"not found",0)</f>
        <v>Electra Townie Original 7D EQ - Women's - 2016</v>
      </c>
      <c r="I186" t="str">
        <f>VLOOKUP(products!D186,categories[#All],2,TRUE)</f>
        <v>Electric Bikes</v>
      </c>
    </row>
    <row r="187" spans="1:9" x14ac:dyDescent="0.3">
      <c r="A187">
        <v>186</v>
      </c>
      <c r="B187">
        <v>1</v>
      </c>
      <c r="C187">
        <v>4</v>
      </c>
      <c r="D187">
        <v>1</v>
      </c>
      <c r="E187">
        <v>2899.99</v>
      </c>
      <c r="F187">
        <v>0.1</v>
      </c>
      <c r="G187">
        <f t="shared" si="2"/>
        <v>2899.89</v>
      </c>
      <c r="H187" t="str">
        <f>_xlfn.XLOOKUP(C187,products[Product_ID],products[Product_Name],"not found",0)</f>
        <v>Trek Fuel EX 8 29 - 2016</v>
      </c>
      <c r="I187" t="str">
        <f>VLOOKUP(products!D187,categories[#All],2,TRUE)</f>
        <v>Electric Bikes</v>
      </c>
    </row>
    <row r="188" spans="1:9" x14ac:dyDescent="0.3">
      <c r="A188">
        <v>187</v>
      </c>
      <c r="B188">
        <v>1</v>
      </c>
      <c r="C188">
        <v>5</v>
      </c>
      <c r="D188">
        <v>1</v>
      </c>
      <c r="E188">
        <v>1320.99</v>
      </c>
      <c r="F188">
        <v>0.05</v>
      </c>
      <c r="G188">
        <f t="shared" si="2"/>
        <v>1320.94</v>
      </c>
      <c r="H188" t="str">
        <f>_xlfn.XLOOKUP(C188,products[Product_ID],products[Product_Name],"not found",0)</f>
        <v>Heller Shagamaw Frame - 2016</v>
      </c>
      <c r="I188" t="str">
        <f>VLOOKUP(products!D188,categories[#All],2,TRUE)</f>
        <v>Electric Bikes</v>
      </c>
    </row>
    <row r="189" spans="1:9" x14ac:dyDescent="0.3">
      <c r="A189">
        <v>188</v>
      </c>
      <c r="B189">
        <v>1</v>
      </c>
      <c r="C189">
        <v>7</v>
      </c>
      <c r="D189">
        <v>2</v>
      </c>
      <c r="E189">
        <v>3999.99</v>
      </c>
      <c r="F189">
        <v>7.0000000000000007E-2</v>
      </c>
      <c r="G189">
        <f t="shared" si="2"/>
        <v>7999.91</v>
      </c>
      <c r="H189" t="str">
        <f>_xlfn.XLOOKUP(C189,products[Product_ID],products[Product_Name],"not found",0)</f>
        <v>Trek Slash 8 27.5 - 2016</v>
      </c>
      <c r="I189" t="str">
        <f>VLOOKUP(products!D189,categories[#All],2,TRUE)</f>
        <v>Electric Bikes</v>
      </c>
    </row>
    <row r="190" spans="1:9" x14ac:dyDescent="0.3">
      <c r="A190">
        <v>189</v>
      </c>
      <c r="B190">
        <v>1</v>
      </c>
      <c r="C190">
        <v>16</v>
      </c>
      <c r="D190">
        <v>2</v>
      </c>
      <c r="E190">
        <v>599.99</v>
      </c>
      <c r="F190">
        <v>0.2</v>
      </c>
      <c r="G190">
        <f t="shared" si="2"/>
        <v>1199.78</v>
      </c>
      <c r="H190" t="str">
        <f>_xlfn.XLOOKUP(C190,products[Product_ID],products[Product_Name],"not found",0)</f>
        <v>Electra Townie Original 7D EQ - 2016</v>
      </c>
      <c r="I190" t="str">
        <f>VLOOKUP(products!D190,categories[#All],2,TRUE)</f>
        <v>Electric Bikes</v>
      </c>
    </row>
    <row r="191" spans="1:9" x14ac:dyDescent="0.3">
      <c r="A191">
        <v>190</v>
      </c>
      <c r="B191">
        <v>1</v>
      </c>
      <c r="C191">
        <v>24</v>
      </c>
      <c r="D191">
        <v>1</v>
      </c>
      <c r="E191">
        <v>549.99</v>
      </c>
      <c r="F191">
        <v>0.05</v>
      </c>
      <c r="G191">
        <f t="shared" si="2"/>
        <v>549.94000000000005</v>
      </c>
      <c r="H191" t="str">
        <f>_xlfn.XLOOKUP(C191,products[Product_ID],products[Product_Name],"not found",0)</f>
        <v>Electra Townie Original 21D - 2016</v>
      </c>
      <c r="I191" t="str">
        <f>VLOOKUP(products!D191,categories[#All],2,TRUE)</f>
        <v>Electric Bikes</v>
      </c>
    </row>
    <row r="192" spans="1:9" x14ac:dyDescent="0.3">
      <c r="A192">
        <v>191</v>
      </c>
      <c r="B192">
        <v>1</v>
      </c>
      <c r="C192">
        <v>25</v>
      </c>
      <c r="D192">
        <v>1</v>
      </c>
      <c r="E192">
        <v>499.99</v>
      </c>
      <c r="F192">
        <v>0.05</v>
      </c>
      <c r="G192">
        <f t="shared" si="2"/>
        <v>499.94</v>
      </c>
      <c r="H192" t="str">
        <f>_xlfn.XLOOKUP(C192,products[Product_ID],products[Product_Name],"not found",0)</f>
        <v>Electra Townie Original 7D - 2015/2016</v>
      </c>
      <c r="I192" t="str">
        <f>VLOOKUP(products!D192,categories[#All],2,TRUE)</f>
        <v>Electric Bikes</v>
      </c>
    </row>
    <row r="193" spans="1:9" x14ac:dyDescent="0.3">
      <c r="A193">
        <v>192</v>
      </c>
      <c r="B193">
        <v>1</v>
      </c>
      <c r="C193">
        <v>8</v>
      </c>
      <c r="D193">
        <v>2</v>
      </c>
      <c r="E193">
        <v>1799.99</v>
      </c>
      <c r="F193">
        <v>0.1</v>
      </c>
      <c r="G193">
        <f t="shared" si="2"/>
        <v>3599.88</v>
      </c>
      <c r="H193" t="str">
        <f>_xlfn.XLOOKUP(C193,products[Product_ID],products[Product_Name],"not found",0)</f>
        <v>Trek Remedy 29 Carbon Frameset - 2016</v>
      </c>
      <c r="I193" t="str">
        <f>VLOOKUP(products!D193,categories[#All],2,TRUE)</f>
        <v>Electric Bikes</v>
      </c>
    </row>
    <row r="194" spans="1:9" x14ac:dyDescent="0.3">
      <c r="A194">
        <v>193</v>
      </c>
      <c r="B194">
        <v>1</v>
      </c>
      <c r="C194">
        <v>12</v>
      </c>
      <c r="D194">
        <v>2</v>
      </c>
      <c r="E194">
        <v>549.99</v>
      </c>
      <c r="F194">
        <v>0.1</v>
      </c>
      <c r="G194">
        <f t="shared" ref="G194:G257" si="3">(E194*D194)-F194</f>
        <v>1099.8800000000001</v>
      </c>
      <c r="H194" t="str">
        <f>_xlfn.XLOOKUP(C194,products[Product_ID],products[Product_Name],"not found",0)</f>
        <v>Electra Townie Original 21D - 2016</v>
      </c>
      <c r="I194" t="str">
        <f>VLOOKUP(products!D194,categories[#All],2,TRUE)</f>
        <v>Electric Bikes</v>
      </c>
    </row>
    <row r="195" spans="1:9" x14ac:dyDescent="0.3">
      <c r="A195">
        <v>194</v>
      </c>
      <c r="B195">
        <v>1</v>
      </c>
      <c r="C195">
        <v>21</v>
      </c>
      <c r="D195">
        <v>2</v>
      </c>
      <c r="E195">
        <v>269.99</v>
      </c>
      <c r="F195">
        <v>0.2</v>
      </c>
      <c r="G195">
        <f t="shared" si="3"/>
        <v>539.78</v>
      </c>
      <c r="H195" t="str">
        <f>_xlfn.XLOOKUP(C195,products[Product_ID],products[Product_Name],"not found",0)</f>
        <v>Electra Cruiser 1 (24-Inch) - 2016</v>
      </c>
      <c r="I195" t="str">
        <f>VLOOKUP(products!D195,categories[#All],2,TRUE)</f>
        <v>Electric Bikes</v>
      </c>
    </row>
    <row r="196" spans="1:9" x14ac:dyDescent="0.3">
      <c r="A196">
        <v>195</v>
      </c>
      <c r="B196">
        <v>1</v>
      </c>
      <c r="C196">
        <v>18</v>
      </c>
      <c r="D196">
        <v>1</v>
      </c>
      <c r="E196">
        <v>449</v>
      </c>
      <c r="F196">
        <v>0.2</v>
      </c>
      <c r="G196">
        <f t="shared" si="3"/>
        <v>448.8</v>
      </c>
      <c r="H196" t="str">
        <f>_xlfn.XLOOKUP(C196,products[Product_ID],products[Product_Name],"not found",0)</f>
        <v>Pure Cycles Western 3-Speed - Women's - 2015/2016</v>
      </c>
      <c r="I196" t="str">
        <f>VLOOKUP(products!D196,categories[#All],2,TRUE)</f>
        <v>Electric Bikes</v>
      </c>
    </row>
    <row r="197" spans="1:9" x14ac:dyDescent="0.3">
      <c r="A197">
        <v>196</v>
      </c>
      <c r="B197">
        <v>1</v>
      </c>
      <c r="C197">
        <v>6</v>
      </c>
      <c r="D197">
        <v>1</v>
      </c>
      <c r="E197">
        <v>469.99</v>
      </c>
      <c r="F197">
        <v>0.05</v>
      </c>
      <c r="G197">
        <f t="shared" si="3"/>
        <v>469.94</v>
      </c>
      <c r="H197" t="str">
        <f>_xlfn.XLOOKUP(C197,products[Product_ID],products[Product_Name],"not found",0)</f>
        <v>Surly Ice Cream Truck Frameset - 2016</v>
      </c>
      <c r="I197" t="str">
        <f>VLOOKUP(products!D197,categories[#All],2,TRUE)</f>
        <v>Electric Bikes</v>
      </c>
    </row>
    <row r="198" spans="1:9" x14ac:dyDescent="0.3">
      <c r="A198">
        <v>197</v>
      </c>
      <c r="B198">
        <v>1</v>
      </c>
      <c r="C198">
        <v>4</v>
      </c>
      <c r="D198">
        <v>2</v>
      </c>
      <c r="E198">
        <v>2899.99</v>
      </c>
      <c r="F198">
        <v>0.2</v>
      </c>
      <c r="G198">
        <f t="shared" si="3"/>
        <v>5799.78</v>
      </c>
      <c r="H198" t="str">
        <f>_xlfn.XLOOKUP(C198,products[Product_ID],products[Product_Name],"not found",0)</f>
        <v>Trek Fuel EX 8 29 - 2016</v>
      </c>
      <c r="I198" t="str">
        <f>VLOOKUP(products!D198,categories[#All],2,TRUE)</f>
        <v>Electric Bikes</v>
      </c>
    </row>
    <row r="199" spans="1:9" x14ac:dyDescent="0.3">
      <c r="A199">
        <v>198</v>
      </c>
      <c r="B199">
        <v>1</v>
      </c>
      <c r="C199">
        <v>6</v>
      </c>
      <c r="D199">
        <v>2</v>
      </c>
      <c r="E199">
        <v>469.99</v>
      </c>
      <c r="F199">
        <v>0.05</v>
      </c>
      <c r="G199">
        <f t="shared" si="3"/>
        <v>939.93000000000006</v>
      </c>
      <c r="H199" t="str">
        <f>_xlfn.XLOOKUP(C199,products[Product_ID],products[Product_Name],"not found",0)</f>
        <v>Surly Ice Cream Truck Frameset - 2016</v>
      </c>
      <c r="I199" t="str">
        <f>VLOOKUP(products!D199,categories[#All],2,TRUE)</f>
        <v>Electric Bikes</v>
      </c>
    </row>
    <row r="200" spans="1:9" x14ac:dyDescent="0.3">
      <c r="A200">
        <v>199</v>
      </c>
      <c r="B200">
        <v>1</v>
      </c>
      <c r="C200">
        <v>25</v>
      </c>
      <c r="D200">
        <v>2</v>
      </c>
      <c r="E200">
        <v>499.99</v>
      </c>
      <c r="F200">
        <v>0.05</v>
      </c>
      <c r="G200">
        <f t="shared" si="3"/>
        <v>999.93000000000006</v>
      </c>
      <c r="H200" t="str">
        <f>_xlfn.XLOOKUP(C200,products[Product_ID],products[Product_Name],"not found",0)</f>
        <v>Electra Townie Original 7D - 2015/2016</v>
      </c>
      <c r="I200" t="str">
        <f>VLOOKUP(products!D200,categories[#All],2,TRUE)</f>
        <v>Electric Bikes</v>
      </c>
    </row>
    <row r="201" spans="1:9" x14ac:dyDescent="0.3">
      <c r="A201">
        <v>200</v>
      </c>
      <c r="B201">
        <v>1</v>
      </c>
      <c r="C201">
        <v>23</v>
      </c>
      <c r="D201">
        <v>2</v>
      </c>
      <c r="E201">
        <v>299.99</v>
      </c>
      <c r="F201">
        <v>0.05</v>
      </c>
      <c r="G201">
        <f t="shared" si="3"/>
        <v>599.93000000000006</v>
      </c>
      <c r="H201" t="str">
        <f>_xlfn.XLOOKUP(C201,products[Product_ID],products[Product_Name],"not found",0)</f>
        <v>Electra Girl's Hawaii 1 (20-inch) - 2015/2016</v>
      </c>
      <c r="I201" t="str">
        <f>VLOOKUP(products!D201,categories[#All],2,TRUE)</f>
        <v>Electric Bikes</v>
      </c>
    </row>
    <row r="202" spans="1:9" x14ac:dyDescent="0.3">
      <c r="A202">
        <v>201</v>
      </c>
      <c r="B202">
        <v>1</v>
      </c>
      <c r="C202">
        <v>24</v>
      </c>
      <c r="D202">
        <v>1</v>
      </c>
      <c r="E202">
        <v>549.99</v>
      </c>
      <c r="F202">
        <v>0.05</v>
      </c>
      <c r="G202">
        <f t="shared" si="3"/>
        <v>549.94000000000005</v>
      </c>
      <c r="H202" t="str">
        <f>_xlfn.XLOOKUP(C202,products[Product_ID],products[Product_Name],"not found",0)</f>
        <v>Electra Townie Original 21D - 2016</v>
      </c>
      <c r="I202" t="str">
        <f>VLOOKUP(products!D202,categories[#All],2,TRUE)</f>
        <v>Electric Bikes</v>
      </c>
    </row>
    <row r="203" spans="1:9" x14ac:dyDescent="0.3">
      <c r="A203">
        <v>202</v>
      </c>
      <c r="B203">
        <v>1</v>
      </c>
      <c r="C203">
        <v>8</v>
      </c>
      <c r="D203">
        <v>1</v>
      </c>
      <c r="E203">
        <v>1799.99</v>
      </c>
      <c r="F203">
        <v>7.0000000000000007E-2</v>
      </c>
      <c r="G203">
        <f t="shared" si="3"/>
        <v>1799.92</v>
      </c>
      <c r="H203" t="str">
        <f>_xlfn.XLOOKUP(C203,products[Product_ID],products[Product_Name],"not found",0)</f>
        <v>Trek Remedy 29 Carbon Frameset - 2016</v>
      </c>
      <c r="I203" t="str">
        <f>VLOOKUP(products!D203,categories[#All],2,TRUE)</f>
        <v>Electric Bikes</v>
      </c>
    </row>
    <row r="204" spans="1:9" x14ac:dyDescent="0.3">
      <c r="A204">
        <v>203</v>
      </c>
      <c r="B204">
        <v>1</v>
      </c>
      <c r="C204">
        <v>26</v>
      </c>
      <c r="D204">
        <v>1</v>
      </c>
      <c r="E204">
        <v>599.99</v>
      </c>
      <c r="F204">
        <v>0.05</v>
      </c>
      <c r="G204">
        <f t="shared" si="3"/>
        <v>599.94000000000005</v>
      </c>
      <c r="H204" t="str">
        <f>_xlfn.XLOOKUP(C204,products[Product_ID],products[Product_Name],"not found",0)</f>
        <v>Electra Townie Original 7D EQ - 2016</v>
      </c>
      <c r="I204" t="str">
        <f>VLOOKUP(products!D204,categories[#All],2,TRUE)</f>
        <v>Electric Bikes</v>
      </c>
    </row>
    <row r="205" spans="1:9" x14ac:dyDescent="0.3">
      <c r="A205">
        <v>204</v>
      </c>
      <c r="B205">
        <v>1</v>
      </c>
      <c r="C205">
        <v>6</v>
      </c>
      <c r="D205">
        <v>2</v>
      </c>
      <c r="E205">
        <v>469.99</v>
      </c>
      <c r="F205">
        <v>7.0000000000000007E-2</v>
      </c>
      <c r="G205">
        <f t="shared" si="3"/>
        <v>939.91</v>
      </c>
      <c r="H205" t="str">
        <f>_xlfn.XLOOKUP(C205,products[Product_ID],products[Product_Name],"not found",0)</f>
        <v>Surly Ice Cream Truck Frameset - 2016</v>
      </c>
      <c r="I205" t="str">
        <f>VLOOKUP(products!D205,categories[#All],2,TRUE)</f>
        <v>Electric Bikes</v>
      </c>
    </row>
    <row r="206" spans="1:9" x14ac:dyDescent="0.3">
      <c r="A206">
        <v>205</v>
      </c>
      <c r="B206">
        <v>1</v>
      </c>
      <c r="C206">
        <v>22</v>
      </c>
      <c r="D206">
        <v>2</v>
      </c>
      <c r="E206">
        <v>269.99</v>
      </c>
      <c r="F206">
        <v>0.05</v>
      </c>
      <c r="G206">
        <f t="shared" si="3"/>
        <v>539.93000000000006</v>
      </c>
      <c r="H206" t="str">
        <f>_xlfn.XLOOKUP(C206,products[Product_ID],products[Product_Name],"not found",0)</f>
        <v>Electra Girl's Hawaii 1 (16-inch) - 2015/2016</v>
      </c>
      <c r="I206" t="str">
        <f>VLOOKUP(products!D206,categories[#All],2,TRUE)</f>
        <v>Electric Bikes</v>
      </c>
    </row>
    <row r="207" spans="1:9" x14ac:dyDescent="0.3">
      <c r="A207">
        <v>206</v>
      </c>
      <c r="B207">
        <v>1</v>
      </c>
      <c r="C207">
        <v>25</v>
      </c>
      <c r="D207">
        <v>1</v>
      </c>
      <c r="E207">
        <v>499.99</v>
      </c>
      <c r="F207">
        <v>0.05</v>
      </c>
      <c r="G207">
        <f t="shared" si="3"/>
        <v>499.94</v>
      </c>
      <c r="H207" t="str">
        <f>_xlfn.XLOOKUP(C207,products[Product_ID],products[Product_Name],"not found",0)</f>
        <v>Electra Townie Original 7D - 2015/2016</v>
      </c>
      <c r="I207" t="str">
        <f>VLOOKUP(products!D207,categories[#All],2,TRUE)</f>
        <v>Cyclocross Bicycles</v>
      </c>
    </row>
    <row r="208" spans="1:9" x14ac:dyDescent="0.3">
      <c r="A208">
        <v>207</v>
      </c>
      <c r="B208">
        <v>1</v>
      </c>
      <c r="C208">
        <v>12</v>
      </c>
      <c r="D208">
        <v>2</v>
      </c>
      <c r="E208">
        <v>549.99</v>
      </c>
      <c r="F208">
        <v>0.2</v>
      </c>
      <c r="G208">
        <f t="shared" si="3"/>
        <v>1099.78</v>
      </c>
      <c r="H208" t="str">
        <f>_xlfn.XLOOKUP(C208,products[Product_ID],products[Product_Name],"not found",0)</f>
        <v>Electra Townie Original 21D - 2016</v>
      </c>
      <c r="I208" t="str">
        <f>VLOOKUP(products!D208,categories[#All],2,TRUE)</f>
        <v>Cyclocross Bicycles</v>
      </c>
    </row>
    <row r="209" spans="1:9" x14ac:dyDescent="0.3">
      <c r="A209">
        <v>208</v>
      </c>
      <c r="B209">
        <v>1</v>
      </c>
      <c r="C209">
        <v>6</v>
      </c>
      <c r="D209">
        <v>2</v>
      </c>
      <c r="E209">
        <v>469.99</v>
      </c>
      <c r="F209">
        <v>0.05</v>
      </c>
      <c r="G209">
        <f t="shared" si="3"/>
        <v>939.93000000000006</v>
      </c>
      <c r="H209" t="str">
        <f>_xlfn.XLOOKUP(C209,products[Product_ID],products[Product_Name],"not found",0)</f>
        <v>Surly Ice Cream Truck Frameset - 2016</v>
      </c>
      <c r="I209" t="str">
        <f>VLOOKUP(products!D209,categories[#All],2,TRUE)</f>
        <v>Cyclocross Bicycles</v>
      </c>
    </row>
    <row r="210" spans="1:9" x14ac:dyDescent="0.3">
      <c r="A210">
        <v>209</v>
      </c>
      <c r="B210">
        <v>1</v>
      </c>
      <c r="C210">
        <v>13</v>
      </c>
      <c r="D210">
        <v>1</v>
      </c>
      <c r="E210">
        <v>269.99</v>
      </c>
      <c r="F210">
        <v>0.1</v>
      </c>
      <c r="G210">
        <f t="shared" si="3"/>
        <v>269.89</v>
      </c>
      <c r="H210" t="str">
        <f>_xlfn.XLOOKUP(C210,products[Product_ID],products[Product_Name],"not found",0)</f>
        <v>Electra Cruiser 1 (24-Inch) - 2016</v>
      </c>
      <c r="I210" t="str">
        <f>VLOOKUP(products!D210,categories[#All],2,TRUE)</f>
        <v>Cyclocross Bicycles</v>
      </c>
    </row>
    <row r="211" spans="1:9" x14ac:dyDescent="0.3">
      <c r="A211">
        <v>210</v>
      </c>
      <c r="B211">
        <v>1</v>
      </c>
      <c r="C211">
        <v>14</v>
      </c>
      <c r="D211">
        <v>1</v>
      </c>
      <c r="E211">
        <v>269.99</v>
      </c>
      <c r="F211">
        <v>7.0000000000000007E-2</v>
      </c>
      <c r="G211">
        <f t="shared" si="3"/>
        <v>269.92</v>
      </c>
      <c r="H211" t="str">
        <f>_xlfn.XLOOKUP(C211,products[Product_ID],products[Product_Name],"not found",0)</f>
        <v>Electra Girl's Hawaii 1 (16-inch) - 2015/2016</v>
      </c>
      <c r="I211" t="str">
        <f>VLOOKUP(products!D211,categories[#All],2,TRUE)</f>
        <v>Cyclocross Bicycles</v>
      </c>
    </row>
    <row r="212" spans="1:9" x14ac:dyDescent="0.3">
      <c r="A212">
        <v>211</v>
      </c>
      <c r="B212">
        <v>1</v>
      </c>
      <c r="C212">
        <v>10</v>
      </c>
      <c r="D212">
        <v>1</v>
      </c>
      <c r="E212">
        <v>1549</v>
      </c>
      <c r="F212">
        <v>7.0000000000000007E-2</v>
      </c>
      <c r="G212">
        <f t="shared" si="3"/>
        <v>1548.93</v>
      </c>
      <c r="H212" t="str">
        <f>_xlfn.XLOOKUP(C212,products[Product_ID],products[Product_Name],"not found",0)</f>
        <v>Surly Straggler - 2016</v>
      </c>
      <c r="I212" t="str">
        <f>VLOOKUP(products!D212,categories[#All],2,TRUE)</f>
        <v>Cyclocross Bicycles</v>
      </c>
    </row>
    <row r="213" spans="1:9" x14ac:dyDescent="0.3">
      <c r="A213">
        <v>212</v>
      </c>
      <c r="B213">
        <v>1</v>
      </c>
      <c r="C213">
        <v>16</v>
      </c>
      <c r="D213">
        <v>2</v>
      </c>
      <c r="E213">
        <v>599.99</v>
      </c>
      <c r="F213">
        <v>7.0000000000000007E-2</v>
      </c>
      <c r="G213">
        <f t="shared" si="3"/>
        <v>1199.9100000000001</v>
      </c>
      <c r="H213" t="str">
        <f>_xlfn.XLOOKUP(C213,products[Product_ID],products[Product_Name],"not found",0)</f>
        <v>Electra Townie Original 7D EQ - 2016</v>
      </c>
      <c r="I213" t="str">
        <f>VLOOKUP(products!D213,categories[#All],2,TRUE)</f>
        <v>Cruisers Bicycles</v>
      </c>
    </row>
    <row r="214" spans="1:9" x14ac:dyDescent="0.3">
      <c r="A214">
        <v>213</v>
      </c>
      <c r="B214">
        <v>1</v>
      </c>
      <c r="C214">
        <v>13</v>
      </c>
      <c r="D214">
        <v>1</v>
      </c>
      <c r="E214">
        <v>269.99</v>
      </c>
      <c r="F214">
        <v>0.1</v>
      </c>
      <c r="G214">
        <f t="shared" si="3"/>
        <v>269.89</v>
      </c>
      <c r="H214" t="str">
        <f>_xlfn.XLOOKUP(C214,products[Product_ID],products[Product_Name],"not found",0)</f>
        <v>Electra Cruiser 1 (24-Inch) - 2016</v>
      </c>
      <c r="I214" t="str">
        <f>VLOOKUP(products!D214,categories[#All],2,TRUE)</f>
        <v>Cruisers Bicycles</v>
      </c>
    </row>
    <row r="215" spans="1:9" x14ac:dyDescent="0.3">
      <c r="A215">
        <v>214</v>
      </c>
      <c r="B215">
        <v>1</v>
      </c>
      <c r="C215">
        <v>21</v>
      </c>
      <c r="D215">
        <v>1</v>
      </c>
      <c r="E215">
        <v>269.99</v>
      </c>
      <c r="F215">
        <v>0.1</v>
      </c>
      <c r="G215">
        <f t="shared" si="3"/>
        <v>269.89</v>
      </c>
      <c r="H215" t="str">
        <f>_xlfn.XLOOKUP(C215,products[Product_ID],products[Product_Name],"not found",0)</f>
        <v>Electra Cruiser 1 (24-Inch) - 2016</v>
      </c>
      <c r="I215" t="str">
        <f>VLOOKUP(products!D215,categories[#All],2,TRUE)</f>
        <v>Cruisers Bicycles</v>
      </c>
    </row>
    <row r="216" spans="1:9" x14ac:dyDescent="0.3">
      <c r="A216">
        <v>215</v>
      </c>
      <c r="B216">
        <v>1</v>
      </c>
      <c r="C216">
        <v>19</v>
      </c>
      <c r="D216">
        <v>1</v>
      </c>
      <c r="E216">
        <v>449</v>
      </c>
      <c r="F216">
        <v>7.0000000000000007E-2</v>
      </c>
      <c r="G216">
        <f t="shared" si="3"/>
        <v>448.93</v>
      </c>
      <c r="H216" t="str">
        <f>_xlfn.XLOOKUP(C216,products[Product_ID],products[Product_Name],"not found",0)</f>
        <v>Pure Cycles William 3-Speed - 2016</v>
      </c>
      <c r="I216" t="str">
        <f>VLOOKUP(products!D216,categories[#All],2,TRUE)</f>
        <v>Cruisers Bicycles</v>
      </c>
    </row>
    <row r="217" spans="1:9" x14ac:dyDescent="0.3">
      <c r="A217">
        <v>216</v>
      </c>
      <c r="B217">
        <v>1</v>
      </c>
      <c r="C217">
        <v>22</v>
      </c>
      <c r="D217">
        <v>2</v>
      </c>
      <c r="E217">
        <v>269.99</v>
      </c>
      <c r="F217">
        <v>0.1</v>
      </c>
      <c r="G217">
        <f t="shared" si="3"/>
        <v>539.88</v>
      </c>
      <c r="H217" t="str">
        <f>_xlfn.XLOOKUP(C217,products[Product_ID],products[Product_Name],"not found",0)</f>
        <v>Electra Girl's Hawaii 1 (16-inch) - 2015/2016</v>
      </c>
      <c r="I217" t="str">
        <f>VLOOKUP(products!D217,categories[#All],2,TRUE)</f>
        <v>Cruisers Bicycles</v>
      </c>
    </row>
    <row r="218" spans="1:9" x14ac:dyDescent="0.3">
      <c r="A218">
        <v>217</v>
      </c>
      <c r="B218">
        <v>1</v>
      </c>
      <c r="C218">
        <v>18</v>
      </c>
      <c r="D218">
        <v>1</v>
      </c>
      <c r="E218">
        <v>449</v>
      </c>
      <c r="F218">
        <v>0.1</v>
      </c>
      <c r="G218">
        <f t="shared" si="3"/>
        <v>448.9</v>
      </c>
      <c r="H218" t="str">
        <f>_xlfn.XLOOKUP(C218,products[Product_ID],products[Product_Name],"not found",0)</f>
        <v>Pure Cycles Western 3-Speed - Women's - 2015/2016</v>
      </c>
      <c r="I218" t="str">
        <f>VLOOKUP(products!D218,categories[#All],2,TRUE)</f>
        <v>Cruisers Bicycles</v>
      </c>
    </row>
    <row r="219" spans="1:9" x14ac:dyDescent="0.3">
      <c r="A219">
        <v>218</v>
      </c>
      <c r="B219">
        <v>1</v>
      </c>
      <c r="C219">
        <v>2</v>
      </c>
      <c r="D219">
        <v>2</v>
      </c>
      <c r="E219">
        <v>749.99</v>
      </c>
      <c r="F219">
        <v>0.1</v>
      </c>
      <c r="G219">
        <f t="shared" si="3"/>
        <v>1499.88</v>
      </c>
      <c r="H219" t="str">
        <f>_xlfn.XLOOKUP(C219,products[Product_ID],products[Product_Name],"not found",0)</f>
        <v>Ritchey Timberwolf Frameset - 2016</v>
      </c>
      <c r="I219" t="str">
        <f>VLOOKUP(products!D219,categories[#All],2,TRUE)</f>
        <v>Cruisers Bicycles</v>
      </c>
    </row>
    <row r="220" spans="1:9" x14ac:dyDescent="0.3">
      <c r="A220">
        <v>219</v>
      </c>
      <c r="B220">
        <v>1</v>
      </c>
      <c r="C220">
        <v>26</v>
      </c>
      <c r="D220">
        <v>1</v>
      </c>
      <c r="E220">
        <v>599.99</v>
      </c>
      <c r="F220">
        <v>0.05</v>
      </c>
      <c r="G220">
        <f t="shared" si="3"/>
        <v>599.94000000000005</v>
      </c>
      <c r="H220" t="str">
        <f>_xlfn.XLOOKUP(C220,products[Product_ID],products[Product_Name],"not found",0)</f>
        <v>Electra Townie Original 7D EQ - 2016</v>
      </c>
      <c r="I220" t="str">
        <f>VLOOKUP(products!D220,categories[#All],2,TRUE)</f>
        <v>Cruisers Bicycles</v>
      </c>
    </row>
    <row r="221" spans="1:9" x14ac:dyDescent="0.3">
      <c r="A221">
        <v>220</v>
      </c>
      <c r="B221">
        <v>1</v>
      </c>
      <c r="C221">
        <v>6</v>
      </c>
      <c r="D221">
        <v>2</v>
      </c>
      <c r="E221">
        <v>469.99</v>
      </c>
      <c r="F221">
        <v>0.05</v>
      </c>
      <c r="G221">
        <f t="shared" si="3"/>
        <v>939.93000000000006</v>
      </c>
      <c r="H221" t="str">
        <f>_xlfn.XLOOKUP(C221,products[Product_ID],products[Product_Name],"not found",0)</f>
        <v>Surly Ice Cream Truck Frameset - 2016</v>
      </c>
      <c r="I221" t="str">
        <f>VLOOKUP(products!D221,categories[#All],2,TRUE)</f>
        <v>Cruisers Bicycles</v>
      </c>
    </row>
    <row r="222" spans="1:9" x14ac:dyDescent="0.3">
      <c r="A222">
        <v>221</v>
      </c>
      <c r="B222">
        <v>1</v>
      </c>
      <c r="C222">
        <v>11</v>
      </c>
      <c r="D222">
        <v>2</v>
      </c>
      <c r="E222">
        <v>1680.99</v>
      </c>
      <c r="F222">
        <v>7.0000000000000007E-2</v>
      </c>
      <c r="G222">
        <f t="shared" si="3"/>
        <v>3361.91</v>
      </c>
      <c r="H222" t="str">
        <f>_xlfn.XLOOKUP(C222,products[Product_ID],products[Product_Name],"not found",0)</f>
        <v>Surly Straggler 650b - 2016</v>
      </c>
      <c r="I222" t="str">
        <f>VLOOKUP(products!D222,categories[#All],2,TRUE)</f>
        <v>Cruisers Bicycles</v>
      </c>
    </row>
    <row r="223" spans="1:9" x14ac:dyDescent="0.3">
      <c r="A223">
        <v>222</v>
      </c>
      <c r="B223">
        <v>1</v>
      </c>
      <c r="C223">
        <v>10</v>
      </c>
      <c r="D223">
        <v>1</v>
      </c>
      <c r="E223">
        <v>1549</v>
      </c>
      <c r="F223">
        <v>0.1</v>
      </c>
      <c r="G223">
        <f t="shared" si="3"/>
        <v>1548.9</v>
      </c>
      <c r="H223" t="str">
        <f>_xlfn.XLOOKUP(C223,products[Product_ID],products[Product_Name],"not found",0)</f>
        <v>Surly Straggler - 2016</v>
      </c>
      <c r="I223" t="str">
        <f>VLOOKUP(products!D223,categories[#All],2,TRUE)</f>
        <v>Cruisers Bicycles</v>
      </c>
    </row>
    <row r="224" spans="1:9" x14ac:dyDescent="0.3">
      <c r="A224">
        <v>223</v>
      </c>
      <c r="B224">
        <v>1</v>
      </c>
      <c r="C224">
        <v>7</v>
      </c>
      <c r="D224">
        <v>2</v>
      </c>
      <c r="E224">
        <v>3999.99</v>
      </c>
      <c r="F224">
        <v>0.05</v>
      </c>
      <c r="G224">
        <f t="shared" si="3"/>
        <v>7999.9299999999994</v>
      </c>
      <c r="H224" t="str">
        <f>_xlfn.XLOOKUP(C224,products[Product_ID],products[Product_Name],"not found",0)</f>
        <v>Trek Slash 8 27.5 - 2016</v>
      </c>
      <c r="I224" t="str">
        <f>VLOOKUP(products!D224,categories[#All],2,TRUE)</f>
        <v>Cruisers Bicycles</v>
      </c>
    </row>
    <row r="225" spans="1:9" x14ac:dyDescent="0.3">
      <c r="A225">
        <v>224</v>
      </c>
      <c r="B225">
        <v>1</v>
      </c>
      <c r="C225">
        <v>6</v>
      </c>
      <c r="D225">
        <v>1</v>
      </c>
      <c r="E225">
        <v>469.99</v>
      </c>
      <c r="F225">
        <v>7.0000000000000007E-2</v>
      </c>
      <c r="G225">
        <f t="shared" si="3"/>
        <v>469.92</v>
      </c>
      <c r="H225" t="str">
        <f>_xlfn.XLOOKUP(C225,products[Product_ID],products[Product_Name],"not found",0)</f>
        <v>Surly Ice Cream Truck Frameset - 2016</v>
      </c>
      <c r="I225" t="str">
        <f>VLOOKUP(products!D225,categories[#All],2,TRUE)</f>
        <v>Cruisers Bicycles</v>
      </c>
    </row>
    <row r="226" spans="1:9" x14ac:dyDescent="0.3">
      <c r="A226">
        <v>225</v>
      </c>
      <c r="B226">
        <v>1</v>
      </c>
      <c r="C226">
        <v>21</v>
      </c>
      <c r="D226">
        <v>1</v>
      </c>
      <c r="E226">
        <v>269.99</v>
      </c>
      <c r="F226">
        <v>0.1</v>
      </c>
      <c r="G226">
        <f t="shared" si="3"/>
        <v>269.89</v>
      </c>
      <c r="H226" t="str">
        <f>_xlfn.XLOOKUP(C226,products[Product_ID],products[Product_Name],"not found",0)</f>
        <v>Electra Cruiser 1 (24-Inch) - 2016</v>
      </c>
      <c r="I226" t="str">
        <f>VLOOKUP(products!D226,categories[#All],2,TRUE)</f>
        <v>Cruisers Bicycles</v>
      </c>
    </row>
    <row r="227" spans="1:9" x14ac:dyDescent="0.3">
      <c r="A227">
        <v>226</v>
      </c>
      <c r="B227">
        <v>1</v>
      </c>
      <c r="C227">
        <v>2</v>
      </c>
      <c r="D227">
        <v>1</v>
      </c>
      <c r="E227">
        <v>749.99</v>
      </c>
      <c r="F227">
        <v>0.05</v>
      </c>
      <c r="G227">
        <f t="shared" si="3"/>
        <v>749.94</v>
      </c>
      <c r="H227" t="str">
        <f>_xlfn.XLOOKUP(C227,products[Product_ID],products[Product_Name],"not found",0)</f>
        <v>Ritchey Timberwolf Frameset - 2016</v>
      </c>
      <c r="I227" t="str">
        <f>VLOOKUP(products!D227,categories[#All],2,TRUE)</f>
        <v>Cruisers Bicycles</v>
      </c>
    </row>
    <row r="228" spans="1:9" x14ac:dyDescent="0.3">
      <c r="A228">
        <v>227</v>
      </c>
      <c r="B228">
        <v>1</v>
      </c>
      <c r="C228">
        <v>3</v>
      </c>
      <c r="D228">
        <v>2</v>
      </c>
      <c r="E228">
        <v>999.99</v>
      </c>
      <c r="F228">
        <v>0.05</v>
      </c>
      <c r="G228">
        <f t="shared" si="3"/>
        <v>1999.93</v>
      </c>
      <c r="H228" t="str">
        <f>_xlfn.XLOOKUP(C228,products[Product_ID],products[Product_Name],"not found",0)</f>
        <v>Surly Wednesday Frameset - 2016</v>
      </c>
      <c r="I228" t="str">
        <f>VLOOKUP(products!D228,categories[#All],2,TRUE)</f>
        <v>Cruisers Bicycles</v>
      </c>
    </row>
    <row r="229" spans="1:9" x14ac:dyDescent="0.3">
      <c r="A229">
        <v>228</v>
      </c>
      <c r="B229">
        <v>1</v>
      </c>
      <c r="C229">
        <v>25</v>
      </c>
      <c r="D229">
        <v>1</v>
      </c>
      <c r="E229">
        <v>499.99</v>
      </c>
      <c r="F229">
        <v>0.2</v>
      </c>
      <c r="G229">
        <f t="shared" si="3"/>
        <v>499.79</v>
      </c>
      <c r="H229" t="str">
        <f>_xlfn.XLOOKUP(C229,products[Product_ID],products[Product_Name],"not found",0)</f>
        <v>Electra Townie Original 7D - 2015/2016</v>
      </c>
      <c r="I229" t="str">
        <f>VLOOKUP(products!D229,categories[#All],2,TRUE)</f>
        <v>Cruisers Bicycles</v>
      </c>
    </row>
    <row r="230" spans="1:9" x14ac:dyDescent="0.3">
      <c r="A230">
        <v>229</v>
      </c>
      <c r="B230">
        <v>1</v>
      </c>
      <c r="C230">
        <v>25</v>
      </c>
      <c r="D230">
        <v>2</v>
      </c>
      <c r="E230">
        <v>499.99</v>
      </c>
      <c r="F230">
        <v>0.2</v>
      </c>
      <c r="G230">
        <f t="shared" si="3"/>
        <v>999.78</v>
      </c>
      <c r="H230" t="str">
        <f>_xlfn.XLOOKUP(C230,products[Product_ID],products[Product_Name],"not found",0)</f>
        <v>Electra Townie Original 7D - 2015/2016</v>
      </c>
      <c r="I230" t="str">
        <f>VLOOKUP(products!D230,categories[#All],2,TRUE)</f>
        <v>Cruisers Bicycles</v>
      </c>
    </row>
    <row r="231" spans="1:9" x14ac:dyDescent="0.3">
      <c r="A231">
        <v>230</v>
      </c>
      <c r="B231">
        <v>1</v>
      </c>
      <c r="C231">
        <v>11</v>
      </c>
      <c r="D231">
        <v>2</v>
      </c>
      <c r="E231">
        <v>1680.99</v>
      </c>
      <c r="F231">
        <v>7.0000000000000007E-2</v>
      </c>
      <c r="G231">
        <f t="shared" si="3"/>
        <v>3361.91</v>
      </c>
      <c r="H231" t="str">
        <f>_xlfn.XLOOKUP(C231,products[Product_ID],products[Product_Name],"not found",0)</f>
        <v>Surly Straggler 650b - 2016</v>
      </c>
      <c r="I231" t="str">
        <f>VLOOKUP(products!D231,categories[#All],2,TRUE)</f>
        <v>Cruisers Bicycles</v>
      </c>
    </row>
    <row r="232" spans="1:9" x14ac:dyDescent="0.3">
      <c r="A232">
        <v>231</v>
      </c>
      <c r="B232">
        <v>1</v>
      </c>
      <c r="C232">
        <v>8</v>
      </c>
      <c r="D232">
        <v>2</v>
      </c>
      <c r="E232">
        <v>1799.99</v>
      </c>
      <c r="F232">
        <v>7.0000000000000007E-2</v>
      </c>
      <c r="G232">
        <f t="shared" si="3"/>
        <v>3599.91</v>
      </c>
      <c r="H232" t="str">
        <f>_xlfn.XLOOKUP(C232,products[Product_ID],products[Product_Name],"not found",0)</f>
        <v>Trek Remedy 29 Carbon Frameset - 2016</v>
      </c>
      <c r="I232" t="str">
        <f>VLOOKUP(products!D232,categories[#All],2,TRUE)</f>
        <v>Cruisers Bicycles</v>
      </c>
    </row>
    <row r="233" spans="1:9" x14ac:dyDescent="0.3">
      <c r="A233">
        <v>232</v>
      </c>
      <c r="B233">
        <v>1</v>
      </c>
      <c r="C233">
        <v>18</v>
      </c>
      <c r="D233">
        <v>1</v>
      </c>
      <c r="E233">
        <v>449</v>
      </c>
      <c r="F233">
        <v>7.0000000000000007E-2</v>
      </c>
      <c r="G233">
        <f t="shared" si="3"/>
        <v>448.93</v>
      </c>
      <c r="H233" t="str">
        <f>_xlfn.XLOOKUP(C233,products[Product_ID],products[Product_Name],"not found",0)</f>
        <v>Pure Cycles Western 3-Speed - Women's - 2015/2016</v>
      </c>
      <c r="I233" t="str">
        <f>VLOOKUP(products!D233,categories[#All],2,TRUE)</f>
        <v>Cruisers Bicycles</v>
      </c>
    </row>
    <row r="234" spans="1:9" x14ac:dyDescent="0.3">
      <c r="A234">
        <v>233</v>
      </c>
      <c r="B234">
        <v>1</v>
      </c>
      <c r="C234">
        <v>14</v>
      </c>
      <c r="D234">
        <v>1</v>
      </c>
      <c r="E234">
        <v>269.99</v>
      </c>
      <c r="F234">
        <v>0.1</v>
      </c>
      <c r="G234">
        <f t="shared" si="3"/>
        <v>269.89</v>
      </c>
      <c r="H234" t="str">
        <f>_xlfn.XLOOKUP(C234,products[Product_ID],products[Product_Name],"not found",0)</f>
        <v>Electra Girl's Hawaii 1 (16-inch) - 2015/2016</v>
      </c>
      <c r="I234" t="str">
        <f>VLOOKUP(products!D234,categories[#All],2,TRUE)</f>
        <v>Cruisers Bicycles</v>
      </c>
    </row>
    <row r="235" spans="1:9" x14ac:dyDescent="0.3">
      <c r="A235">
        <v>234</v>
      </c>
      <c r="B235">
        <v>1</v>
      </c>
      <c r="C235">
        <v>11</v>
      </c>
      <c r="D235">
        <v>2</v>
      </c>
      <c r="E235">
        <v>1680.99</v>
      </c>
      <c r="F235">
        <v>0.2</v>
      </c>
      <c r="G235">
        <f t="shared" si="3"/>
        <v>3361.78</v>
      </c>
      <c r="H235" t="str">
        <f>_xlfn.XLOOKUP(C235,products[Product_ID],products[Product_Name],"not found",0)</f>
        <v>Surly Straggler 650b - 2016</v>
      </c>
      <c r="I235" t="str">
        <f>VLOOKUP(products!D235,categories[#All],2,TRUE)</f>
        <v>Cruisers Bicycles</v>
      </c>
    </row>
    <row r="236" spans="1:9" x14ac:dyDescent="0.3">
      <c r="A236">
        <v>235</v>
      </c>
      <c r="B236">
        <v>1</v>
      </c>
      <c r="C236">
        <v>6</v>
      </c>
      <c r="D236">
        <v>1</v>
      </c>
      <c r="E236">
        <v>469.99</v>
      </c>
      <c r="F236">
        <v>7.0000000000000007E-2</v>
      </c>
      <c r="G236">
        <f t="shared" si="3"/>
        <v>469.92</v>
      </c>
      <c r="H236" t="str">
        <f>_xlfn.XLOOKUP(C236,products[Product_ID],products[Product_Name],"not found",0)</f>
        <v>Surly Ice Cream Truck Frameset - 2016</v>
      </c>
      <c r="I236" t="str">
        <f>VLOOKUP(products!D236,categories[#All],2,TRUE)</f>
        <v>Cruisers Bicycles</v>
      </c>
    </row>
    <row r="237" spans="1:9" x14ac:dyDescent="0.3">
      <c r="A237">
        <v>236</v>
      </c>
      <c r="B237">
        <v>1</v>
      </c>
      <c r="C237">
        <v>3</v>
      </c>
      <c r="D237">
        <v>2</v>
      </c>
      <c r="E237">
        <v>999.99</v>
      </c>
      <c r="F237">
        <v>7.0000000000000007E-2</v>
      </c>
      <c r="G237">
        <f t="shared" si="3"/>
        <v>1999.91</v>
      </c>
      <c r="H237" t="str">
        <f>_xlfn.XLOOKUP(C237,products[Product_ID],products[Product_Name],"not found",0)</f>
        <v>Surly Wednesday Frameset - 2016</v>
      </c>
      <c r="I237" t="str">
        <f>VLOOKUP(products!D237,categories[#All],2,TRUE)</f>
        <v>Cruisers Bicycles</v>
      </c>
    </row>
    <row r="238" spans="1:9" x14ac:dyDescent="0.3">
      <c r="A238">
        <v>237</v>
      </c>
      <c r="B238">
        <v>1</v>
      </c>
      <c r="C238">
        <v>15</v>
      </c>
      <c r="D238">
        <v>1</v>
      </c>
      <c r="E238">
        <v>529.99</v>
      </c>
      <c r="F238">
        <v>0.2</v>
      </c>
      <c r="G238">
        <f t="shared" si="3"/>
        <v>529.79</v>
      </c>
      <c r="H238" t="str">
        <f>_xlfn.XLOOKUP(C238,products[Product_ID],products[Product_Name],"not found",0)</f>
        <v>Electra Moto 1 - 2016</v>
      </c>
      <c r="I238" t="str">
        <f>VLOOKUP(products!D238,categories[#All],2,TRUE)</f>
        <v>Cruisers Bicycles</v>
      </c>
    </row>
    <row r="239" spans="1:9" x14ac:dyDescent="0.3">
      <c r="A239">
        <v>238</v>
      </c>
      <c r="B239">
        <v>1</v>
      </c>
      <c r="C239">
        <v>20</v>
      </c>
      <c r="D239">
        <v>2</v>
      </c>
      <c r="E239">
        <v>599.99</v>
      </c>
      <c r="F239">
        <v>0.2</v>
      </c>
      <c r="G239">
        <f t="shared" si="3"/>
        <v>1199.78</v>
      </c>
      <c r="H239" t="str">
        <f>_xlfn.XLOOKUP(C239,products[Product_ID],products[Product_Name],"not found",0)</f>
        <v>Electra Townie Original 7D EQ - Women's - 2016</v>
      </c>
      <c r="I239" t="str">
        <f>VLOOKUP(products!D239,categories[#All],2,TRUE)</f>
        <v>Cruisers Bicycles</v>
      </c>
    </row>
    <row r="240" spans="1:9" x14ac:dyDescent="0.3">
      <c r="A240">
        <v>239</v>
      </c>
      <c r="B240">
        <v>1</v>
      </c>
      <c r="C240">
        <v>16</v>
      </c>
      <c r="D240">
        <v>2</v>
      </c>
      <c r="E240">
        <v>599.99</v>
      </c>
      <c r="F240">
        <v>0.1</v>
      </c>
      <c r="G240">
        <f t="shared" si="3"/>
        <v>1199.8800000000001</v>
      </c>
      <c r="H240" t="str">
        <f>_xlfn.XLOOKUP(C240,products[Product_ID],products[Product_Name],"not found",0)</f>
        <v>Electra Townie Original 7D EQ - 2016</v>
      </c>
      <c r="I240" t="str">
        <f>VLOOKUP(products!D240,categories[#All],2,TRUE)</f>
        <v>Cruisers Bicycles</v>
      </c>
    </row>
    <row r="241" spans="1:9" x14ac:dyDescent="0.3">
      <c r="A241">
        <v>240</v>
      </c>
      <c r="B241">
        <v>1</v>
      </c>
      <c r="C241">
        <v>9</v>
      </c>
      <c r="D241">
        <v>1</v>
      </c>
      <c r="E241">
        <v>2999.99</v>
      </c>
      <c r="F241">
        <v>7.0000000000000007E-2</v>
      </c>
      <c r="G241">
        <f t="shared" si="3"/>
        <v>2999.9199999999996</v>
      </c>
      <c r="H241" t="str">
        <f>_xlfn.XLOOKUP(C241,products[Product_ID],products[Product_Name],"not found",0)</f>
        <v>Trek Conduit+ - 2016</v>
      </c>
      <c r="I241" t="str">
        <f>VLOOKUP(products!D241,categories[#All],2,TRUE)</f>
        <v>Cruisers Bicycles</v>
      </c>
    </row>
    <row r="242" spans="1:9" x14ac:dyDescent="0.3">
      <c r="A242">
        <v>241</v>
      </c>
      <c r="B242">
        <v>1</v>
      </c>
      <c r="C242">
        <v>7</v>
      </c>
      <c r="D242">
        <v>1</v>
      </c>
      <c r="E242">
        <v>3999.99</v>
      </c>
      <c r="F242">
        <v>0.2</v>
      </c>
      <c r="G242">
        <f t="shared" si="3"/>
        <v>3999.79</v>
      </c>
      <c r="H242" t="str">
        <f>_xlfn.XLOOKUP(C242,products[Product_ID],products[Product_Name],"not found",0)</f>
        <v>Trek Slash 8 27.5 - 2016</v>
      </c>
      <c r="I242" t="str">
        <f>VLOOKUP(products!D242,categories[#All],2,TRUE)</f>
        <v>Cruisers Bicycles</v>
      </c>
    </row>
    <row r="243" spans="1:9" x14ac:dyDescent="0.3">
      <c r="A243">
        <v>242</v>
      </c>
      <c r="B243">
        <v>1</v>
      </c>
      <c r="C243">
        <v>3</v>
      </c>
      <c r="D243">
        <v>1</v>
      </c>
      <c r="E243">
        <v>999.99</v>
      </c>
      <c r="F243">
        <v>0.2</v>
      </c>
      <c r="G243">
        <f t="shared" si="3"/>
        <v>999.79</v>
      </c>
      <c r="H243" t="str">
        <f>_xlfn.XLOOKUP(C243,products[Product_ID],products[Product_Name],"not found",0)</f>
        <v>Surly Wednesday Frameset - 2016</v>
      </c>
      <c r="I243" t="str">
        <f>VLOOKUP(products!D243,categories[#All],2,TRUE)</f>
        <v>Cruisers Bicycles</v>
      </c>
    </row>
    <row r="244" spans="1:9" x14ac:dyDescent="0.3">
      <c r="A244">
        <v>243</v>
      </c>
      <c r="B244">
        <v>1</v>
      </c>
      <c r="C244">
        <v>25</v>
      </c>
      <c r="D244">
        <v>2</v>
      </c>
      <c r="E244">
        <v>499.99</v>
      </c>
      <c r="F244">
        <v>0.05</v>
      </c>
      <c r="G244">
        <f t="shared" si="3"/>
        <v>999.93000000000006</v>
      </c>
      <c r="H244" t="str">
        <f>_xlfn.XLOOKUP(C244,products[Product_ID],products[Product_Name],"not found",0)</f>
        <v>Electra Townie Original 7D - 2015/2016</v>
      </c>
      <c r="I244" t="str">
        <f>VLOOKUP(products!D244,categories[#All],2,TRUE)</f>
        <v>Cruisers Bicycles</v>
      </c>
    </row>
    <row r="245" spans="1:9" x14ac:dyDescent="0.3">
      <c r="A245">
        <v>244</v>
      </c>
      <c r="B245">
        <v>1</v>
      </c>
      <c r="C245">
        <v>19</v>
      </c>
      <c r="D245">
        <v>1</v>
      </c>
      <c r="E245">
        <v>449</v>
      </c>
      <c r="F245">
        <v>7.0000000000000007E-2</v>
      </c>
      <c r="G245">
        <f t="shared" si="3"/>
        <v>448.93</v>
      </c>
      <c r="H245" t="str">
        <f>_xlfn.XLOOKUP(C245,products[Product_ID],products[Product_Name],"not found",0)</f>
        <v>Pure Cycles William 3-Speed - 2016</v>
      </c>
      <c r="I245" t="str">
        <f>VLOOKUP(products!D245,categories[#All],2,TRUE)</f>
        <v>Cruisers Bicycles</v>
      </c>
    </row>
    <row r="246" spans="1:9" x14ac:dyDescent="0.3">
      <c r="A246">
        <v>245</v>
      </c>
      <c r="B246">
        <v>1</v>
      </c>
      <c r="C246">
        <v>10</v>
      </c>
      <c r="D246">
        <v>2</v>
      </c>
      <c r="E246">
        <v>1549</v>
      </c>
      <c r="F246">
        <v>0.05</v>
      </c>
      <c r="G246">
        <f t="shared" si="3"/>
        <v>3097.95</v>
      </c>
      <c r="H246" t="str">
        <f>_xlfn.XLOOKUP(C246,products[Product_ID],products[Product_Name],"not found",0)</f>
        <v>Surly Straggler - 2016</v>
      </c>
      <c r="I246" t="str">
        <f>VLOOKUP(products!D246,categories[#All],2,TRUE)</f>
        <v>Cruisers Bicycles</v>
      </c>
    </row>
    <row r="247" spans="1:9" x14ac:dyDescent="0.3">
      <c r="A247">
        <v>246</v>
      </c>
      <c r="B247">
        <v>1</v>
      </c>
      <c r="C247">
        <v>17</v>
      </c>
      <c r="D247">
        <v>2</v>
      </c>
      <c r="E247">
        <v>429</v>
      </c>
      <c r="F247">
        <v>0.2</v>
      </c>
      <c r="G247">
        <f t="shared" si="3"/>
        <v>857.8</v>
      </c>
      <c r="H247" t="str">
        <f>_xlfn.XLOOKUP(C247,products[Product_ID],products[Product_Name],"not found",0)</f>
        <v>Pure Cycles Vine 8-Speed - 2016</v>
      </c>
      <c r="I247" t="str">
        <f>VLOOKUP(products!D247,categories[#All],2,TRUE)</f>
        <v>Cruisers Bicycles</v>
      </c>
    </row>
    <row r="248" spans="1:9" x14ac:dyDescent="0.3">
      <c r="A248">
        <v>247</v>
      </c>
      <c r="B248">
        <v>1</v>
      </c>
      <c r="C248">
        <v>25</v>
      </c>
      <c r="D248">
        <v>1</v>
      </c>
      <c r="E248">
        <v>499.99</v>
      </c>
      <c r="F248">
        <v>7.0000000000000007E-2</v>
      </c>
      <c r="G248">
        <f t="shared" si="3"/>
        <v>499.92</v>
      </c>
      <c r="H248" t="str">
        <f>_xlfn.XLOOKUP(C248,products[Product_ID],products[Product_Name],"not found",0)</f>
        <v>Electra Townie Original 7D - 2015/2016</v>
      </c>
      <c r="I248" t="str">
        <f>VLOOKUP(products!D248,categories[#All],2,TRUE)</f>
        <v>Cruisers Bicycles</v>
      </c>
    </row>
    <row r="249" spans="1:9" x14ac:dyDescent="0.3">
      <c r="A249">
        <v>248</v>
      </c>
      <c r="B249">
        <v>1</v>
      </c>
      <c r="C249">
        <v>13</v>
      </c>
      <c r="D249">
        <v>1</v>
      </c>
      <c r="E249">
        <v>269.99</v>
      </c>
      <c r="F249">
        <v>0.1</v>
      </c>
      <c r="G249">
        <f t="shared" si="3"/>
        <v>269.89</v>
      </c>
      <c r="H249" t="str">
        <f>_xlfn.XLOOKUP(C249,products[Product_ID],products[Product_Name],"not found",0)</f>
        <v>Electra Cruiser 1 (24-Inch) - 2016</v>
      </c>
      <c r="I249" t="str">
        <f>VLOOKUP(products!D249,categories[#All],2,TRUE)</f>
        <v>Cruisers Bicycles</v>
      </c>
    </row>
    <row r="250" spans="1:9" x14ac:dyDescent="0.3">
      <c r="A250">
        <v>249</v>
      </c>
      <c r="B250">
        <v>1</v>
      </c>
      <c r="C250">
        <v>7</v>
      </c>
      <c r="D250">
        <v>2</v>
      </c>
      <c r="E250">
        <v>3999.99</v>
      </c>
      <c r="F250">
        <v>0.05</v>
      </c>
      <c r="G250">
        <f t="shared" si="3"/>
        <v>7999.9299999999994</v>
      </c>
      <c r="H250" t="str">
        <f>_xlfn.XLOOKUP(C250,products[Product_ID],products[Product_Name],"not found",0)</f>
        <v>Trek Slash 8 27.5 - 2016</v>
      </c>
      <c r="I250" t="str">
        <f>VLOOKUP(products!D250,categories[#All],2,TRUE)</f>
        <v>Cruisers Bicycles</v>
      </c>
    </row>
    <row r="251" spans="1:9" x14ac:dyDescent="0.3">
      <c r="A251">
        <v>250</v>
      </c>
      <c r="B251">
        <v>1</v>
      </c>
      <c r="C251">
        <v>17</v>
      </c>
      <c r="D251">
        <v>2</v>
      </c>
      <c r="E251">
        <v>429</v>
      </c>
      <c r="F251">
        <v>0.05</v>
      </c>
      <c r="G251">
        <f t="shared" si="3"/>
        <v>857.95</v>
      </c>
      <c r="H251" t="str">
        <f>_xlfn.XLOOKUP(C251,products[Product_ID],products[Product_Name],"not found",0)</f>
        <v>Pure Cycles Vine 8-Speed - 2016</v>
      </c>
      <c r="I251" t="str">
        <f>VLOOKUP(products!D251,categories[#All],2,TRUE)</f>
        <v>Cruisers Bicycles</v>
      </c>
    </row>
    <row r="252" spans="1:9" x14ac:dyDescent="0.3">
      <c r="A252">
        <v>251</v>
      </c>
      <c r="B252">
        <v>1</v>
      </c>
      <c r="C252">
        <v>23</v>
      </c>
      <c r="D252">
        <v>2</v>
      </c>
      <c r="E252">
        <v>299.99</v>
      </c>
      <c r="F252">
        <v>0.2</v>
      </c>
      <c r="G252">
        <f t="shared" si="3"/>
        <v>599.78</v>
      </c>
      <c r="H252" t="str">
        <f>_xlfn.XLOOKUP(C252,products[Product_ID],products[Product_Name],"not found",0)</f>
        <v>Electra Girl's Hawaii 1 (20-inch) - 2015/2016</v>
      </c>
      <c r="I252" t="str">
        <f>VLOOKUP(products!D252,categories[#All],2,TRUE)</f>
        <v>Cruisers Bicycles</v>
      </c>
    </row>
    <row r="253" spans="1:9" x14ac:dyDescent="0.3">
      <c r="A253">
        <v>252</v>
      </c>
      <c r="B253">
        <v>1</v>
      </c>
      <c r="C253">
        <v>11</v>
      </c>
      <c r="D253">
        <v>2</v>
      </c>
      <c r="E253">
        <v>1680.99</v>
      </c>
      <c r="F253">
        <v>0.1</v>
      </c>
      <c r="G253">
        <f t="shared" si="3"/>
        <v>3361.88</v>
      </c>
      <c r="H253" t="str">
        <f>_xlfn.XLOOKUP(C253,products[Product_ID],products[Product_Name],"not found",0)</f>
        <v>Surly Straggler 650b - 2016</v>
      </c>
      <c r="I253" t="str">
        <f>VLOOKUP(products!D253,categories[#All],2,TRUE)</f>
        <v>Cruisers Bicycles</v>
      </c>
    </row>
    <row r="254" spans="1:9" x14ac:dyDescent="0.3">
      <c r="A254">
        <v>253</v>
      </c>
      <c r="B254">
        <v>1</v>
      </c>
      <c r="C254">
        <v>11</v>
      </c>
      <c r="D254">
        <v>2</v>
      </c>
      <c r="E254">
        <v>1680.99</v>
      </c>
      <c r="F254">
        <v>7.0000000000000007E-2</v>
      </c>
      <c r="G254">
        <f t="shared" si="3"/>
        <v>3361.91</v>
      </c>
      <c r="H254" t="str">
        <f>_xlfn.XLOOKUP(C254,products[Product_ID],products[Product_Name],"not found",0)</f>
        <v>Surly Straggler 650b - 2016</v>
      </c>
      <c r="I254" t="str">
        <f>VLOOKUP(products!D254,categories[#All],2,TRUE)</f>
        <v>Cruisers Bicycles</v>
      </c>
    </row>
    <row r="255" spans="1:9" x14ac:dyDescent="0.3">
      <c r="A255">
        <v>254</v>
      </c>
      <c r="B255">
        <v>1</v>
      </c>
      <c r="C255">
        <v>6</v>
      </c>
      <c r="D255">
        <v>2</v>
      </c>
      <c r="E255">
        <v>469.99</v>
      </c>
      <c r="F255">
        <v>7.0000000000000007E-2</v>
      </c>
      <c r="G255">
        <f t="shared" si="3"/>
        <v>939.91</v>
      </c>
      <c r="H255" t="str">
        <f>_xlfn.XLOOKUP(C255,products[Product_ID],products[Product_Name],"not found",0)</f>
        <v>Surly Ice Cream Truck Frameset - 2016</v>
      </c>
      <c r="I255" t="str">
        <f>VLOOKUP(products!D255,categories[#All],2,TRUE)</f>
        <v>Cruisers Bicycles</v>
      </c>
    </row>
    <row r="256" spans="1:9" x14ac:dyDescent="0.3">
      <c r="A256">
        <v>255</v>
      </c>
      <c r="B256">
        <v>1</v>
      </c>
      <c r="C256">
        <v>5</v>
      </c>
      <c r="D256">
        <v>2</v>
      </c>
      <c r="E256">
        <v>1320.99</v>
      </c>
      <c r="F256">
        <v>0.1</v>
      </c>
      <c r="G256">
        <f t="shared" si="3"/>
        <v>2641.88</v>
      </c>
      <c r="H256" t="str">
        <f>_xlfn.XLOOKUP(C256,products[Product_ID],products[Product_Name],"not found",0)</f>
        <v>Heller Shagamaw Frame - 2016</v>
      </c>
      <c r="I256" t="str">
        <f>VLOOKUP(products!D256,categories[#All],2,TRUE)</f>
        <v>Cruisers Bicycles</v>
      </c>
    </row>
    <row r="257" spans="1:9" x14ac:dyDescent="0.3">
      <c r="A257">
        <v>256</v>
      </c>
      <c r="B257">
        <v>1</v>
      </c>
      <c r="C257">
        <v>11</v>
      </c>
      <c r="D257">
        <v>1</v>
      </c>
      <c r="E257">
        <v>1680.99</v>
      </c>
      <c r="F257">
        <v>0.1</v>
      </c>
      <c r="G257">
        <f t="shared" si="3"/>
        <v>1680.89</v>
      </c>
      <c r="H257" t="str">
        <f>_xlfn.XLOOKUP(C257,products[Product_ID],products[Product_Name],"not found",0)</f>
        <v>Surly Straggler 650b - 2016</v>
      </c>
      <c r="I257" t="str">
        <f>VLOOKUP(products!D257,categories[#All],2,TRUE)</f>
        <v>Cruisers Bicycles</v>
      </c>
    </row>
    <row r="258" spans="1:9" x14ac:dyDescent="0.3">
      <c r="A258">
        <v>257</v>
      </c>
      <c r="B258">
        <v>1</v>
      </c>
      <c r="C258">
        <v>8</v>
      </c>
      <c r="D258">
        <v>2</v>
      </c>
      <c r="E258">
        <v>1799.99</v>
      </c>
      <c r="F258">
        <v>7.0000000000000007E-2</v>
      </c>
      <c r="G258">
        <f t="shared" ref="G258:G321" si="4">(E258*D258)-F258</f>
        <v>3599.91</v>
      </c>
      <c r="H258" t="str">
        <f>_xlfn.XLOOKUP(C258,products[Product_ID],products[Product_Name],"not found",0)</f>
        <v>Trek Remedy 29 Carbon Frameset - 2016</v>
      </c>
      <c r="I258" t="str">
        <f>VLOOKUP(products!D258,categories[#All],2,TRUE)</f>
        <v>Cruisers Bicycles</v>
      </c>
    </row>
    <row r="259" spans="1:9" x14ac:dyDescent="0.3">
      <c r="A259">
        <v>258</v>
      </c>
      <c r="B259">
        <v>1</v>
      </c>
      <c r="C259">
        <v>8</v>
      </c>
      <c r="D259">
        <v>2</v>
      </c>
      <c r="E259">
        <v>1799.99</v>
      </c>
      <c r="F259">
        <v>0.05</v>
      </c>
      <c r="G259">
        <f t="shared" si="4"/>
        <v>3599.93</v>
      </c>
      <c r="H259" t="str">
        <f>_xlfn.XLOOKUP(C259,products[Product_ID],products[Product_Name],"not found",0)</f>
        <v>Trek Remedy 29 Carbon Frameset - 2016</v>
      </c>
      <c r="I259" t="str">
        <f>VLOOKUP(products!D259,categories[#All],2,TRUE)</f>
        <v>Cruisers Bicycles</v>
      </c>
    </row>
    <row r="260" spans="1:9" x14ac:dyDescent="0.3">
      <c r="A260">
        <v>259</v>
      </c>
      <c r="B260">
        <v>1</v>
      </c>
      <c r="C260">
        <v>26</v>
      </c>
      <c r="D260">
        <v>1</v>
      </c>
      <c r="E260">
        <v>599.99</v>
      </c>
      <c r="F260">
        <v>0.05</v>
      </c>
      <c r="G260">
        <f t="shared" si="4"/>
        <v>599.94000000000005</v>
      </c>
      <c r="H260" t="str">
        <f>_xlfn.XLOOKUP(C260,products[Product_ID],products[Product_Name],"not found",0)</f>
        <v>Electra Townie Original 7D EQ - 2016</v>
      </c>
      <c r="I260" t="str">
        <f>VLOOKUP(products!D260,categories[#All],2,TRUE)</f>
        <v>Cruisers Bicycles</v>
      </c>
    </row>
    <row r="261" spans="1:9" x14ac:dyDescent="0.3">
      <c r="A261">
        <v>260</v>
      </c>
      <c r="B261">
        <v>1</v>
      </c>
      <c r="C261">
        <v>23</v>
      </c>
      <c r="D261">
        <v>2</v>
      </c>
      <c r="E261">
        <v>299.99</v>
      </c>
      <c r="F261">
        <v>0.2</v>
      </c>
      <c r="G261">
        <f t="shared" si="4"/>
        <v>599.78</v>
      </c>
      <c r="H261" t="str">
        <f>_xlfn.XLOOKUP(C261,products[Product_ID],products[Product_Name],"not found",0)</f>
        <v>Electra Girl's Hawaii 1 (20-inch) - 2015/2016</v>
      </c>
      <c r="I261" t="str">
        <f>VLOOKUP(products!D261,categories[#All],2,TRUE)</f>
        <v>Cruisers Bicycles</v>
      </c>
    </row>
    <row r="262" spans="1:9" x14ac:dyDescent="0.3">
      <c r="A262">
        <v>261</v>
      </c>
      <c r="B262">
        <v>1</v>
      </c>
      <c r="C262">
        <v>16</v>
      </c>
      <c r="D262">
        <v>2</v>
      </c>
      <c r="E262">
        <v>599.99</v>
      </c>
      <c r="F262">
        <v>0.05</v>
      </c>
      <c r="G262">
        <f t="shared" si="4"/>
        <v>1199.93</v>
      </c>
      <c r="H262" t="str">
        <f>_xlfn.XLOOKUP(C262,products[Product_ID],products[Product_Name],"not found",0)</f>
        <v>Electra Townie Original 7D EQ - 2016</v>
      </c>
      <c r="I262" t="str">
        <f>VLOOKUP(products!D262,categories[#All],2,TRUE)</f>
        <v>Cruisers Bicycles</v>
      </c>
    </row>
    <row r="263" spans="1:9" x14ac:dyDescent="0.3">
      <c r="A263">
        <v>262</v>
      </c>
      <c r="B263">
        <v>1</v>
      </c>
      <c r="C263">
        <v>2</v>
      </c>
      <c r="D263">
        <v>1</v>
      </c>
      <c r="E263">
        <v>749.99</v>
      </c>
      <c r="F263">
        <v>7.0000000000000007E-2</v>
      </c>
      <c r="G263">
        <f t="shared" si="4"/>
        <v>749.92</v>
      </c>
      <c r="H263" t="str">
        <f>_xlfn.XLOOKUP(C263,products[Product_ID],products[Product_Name],"not found",0)</f>
        <v>Ritchey Timberwolf Frameset - 2016</v>
      </c>
      <c r="I263" t="str">
        <f>VLOOKUP(products!D263,categories[#All],2,TRUE)</f>
        <v>Children Bicycles</v>
      </c>
    </row>
    <row r="264" spans="1:9" x14ac:dyDescent="0.3">
      <c r="A264">
        <v>263</v>
      </c>
      <c r="B264">
        <v>1</v>
      </c>
      <c r="C264">
        <v>9</v>
      </c>
      <c r="D264">
        <v>1</v>
      </c>
      <c r="E264">
        <v>2999.99</v>
      </c>
      <c r="F264">
        <v>7.0000000000000007E-2</v>
      </c>
      <c r="G264">
        <f t="shared" si="4"/>
        <v>2999.9199999999996</v>
      </c>
      <c r="H264" t="str">
        <f>_xlfn.XLOOKUP(C264,products[Product_ID],products[Product_Name],"not found",0)</f>
        <v>Trek Conduit+ - 2016</v>
      </c>
      <c r="I264" t="str">
        <f>VLOOKUP(products!D264,categories[#All],2,TRUE)</f>
        <v>Children Bicycles</v>
      </c>
    </row>
    <row r="265" spans="1:9" x14ac:dyDescent="0.3">
      <c r="A265">
        <v>264</v>
      </c>
      <c r="B265">
        <v>1</v>
      </c>
      <c r="C265">
        <v>10</v>
      </c>
      <c r="D265">
        <v>1</v>
      </c>
      <c r="E265">
        <v>1549</v>
      </c>
      <c r="F265">
        <v>0.2</v>
      </c>
      <c r="G265">
        <f t="shared" si="4"/>
        <v>1548.8</v>
      </c>
      <c r="H265" t="str">
        <f>_xlfn.XLOOKUP(C265,products[Product_ID],products[Product_Name],"not found",0)</f>
        <v>Surly Straggler - 2016</v>
      </c>
      <c r="I265" t="str">
        <f>VLOOKUP(products!D265,categories[#All],2,TRUE)</f>
        <v>Children Bicycles</v>
      </c>
    </row>
    <row r="266" spans="1:9" x14ac:dyDescent="0.3">
      <c r="A266">
        <v>265</v>
      </c>
      <c r="B266">
        <v>1</v>
      </c>
      <c r="C266">
        <v>9</v>
      </c>
      <c r="D266">
        <v>2</v>
      </c>
      <c r="E266">
        <v>2999.99</v>
      </c>
      <c r="F266">
        <v>0.2</v>
      </c>
      <c r="G266">
        <f t="shared" si="4"/>
        <v>5999.78</v>
      </c>
      <c r="H266" t="str">
        <f>_xlfn.XLOOKUP(C266,products[Product_ID],products[Product_Name],"not found",0)</f>
        <v>Trek Conduit+ - 2016</v>
      </c>
      <c r="I266" t="str">
        <f>VLOOKUP(products!D266,categories[#All],2,TRUE)</f>
        <v>Children Bicycles</v>
      </c>
    </row>
    <row r="267" spans="1:9" x14ac:dyDescent="0.3">
      <c r="A267">
        <v>266</v>
      </c>
      <c r="B267">
        <v>1</v>
      </c>
      <c r="C267">
        <v>6</v>
      </c>
      <c r="D267">
        <v>2</v>
      </c>
      <c r="E267">
        <v>469.99</v>
      </c>
      <c r="F267">
        <v>7.0000000000000007E-2</v>
      </c>
      <c r="G267">
        <f t="shared" si="4"/>
        <v>939.91</v>
      </c>
      <c r="H267" t="str">
        <f>_xlfn.XLOOKUP(C267,products[Product_ID],products[Product_Name],"not found",0)</f>
        <v>Surly Ice Cream Truck Frameset - 2016</v>
      </c>
      <c r="I267" t="str">
        <f>VLOOKUP(products!D267,categories[#All],2,TRUE)</f>
        <v>Children Bicycles</v>
      </c>
    </row>
    <row r="268" spans="1:9" x14ac:dyDescent="0.3">
      <c r="A268">
        <v>267</v>
      </c>
      <c r="B268">
        <v>1</v>
      </c>
      <c r="C268">
        <v>22</v>
      </c>
      <c r="D268">
        <v>2</v>
      </c>
      <c r="E268">
        <v>269.99</v>
      </c>
      <c r="F268">
        <v>0.2</v>
      </c>
      <c r="G268">
        <f t="shared" si="4"/>
        <v>539.78</v>
      </c>
      <c r="H268" t="str">
        <f>_xlfn.XLOOKUP(C268,products[Product_ID],products[Product_Name],"not found",0)</f>
        <v>Electra Girl's Hawaii 1 (16-inch) - 2015/2016</v>
      </c>
      <c r="I268" t="str">
        <f>VLOOKUP(products!D268,categories[#All],2,TRUE)</f>
        <v>Children Bicycles</v>
      </c>
    </row>
    <row r="269" spans="1:9" x14ac:dyDescent="0.3">
      <c r="A269">
        <v>268</v>
      </c>
      <c r="B269">
        <v>1</v>
      </c>
      <c r="C269">
        <v>7</v>
      </c>
      <c r="D269">
        <v>1</v>
      </c>
      <c r="E269">
        <v>3999.99</v>
      </c>
      <c r="F269">
        <v>0.05</v>
      </c>
      <c r="G269">
        <f t="shared" si="4"/>
        <v>3999.9399999999996</v>
      </c>
      <c r="H269" t="str">
        <f>_xlfn.XLOOKUP(C269,products[Product_ID],products[Product_Name],"not found",0)</f>
        <v>Trek Slash 8 27.5 - 2016</v>
      </c>
      <c r="I269" t="str">
        <f>VLOOKUP(products!D269,categories[#All],2,TRUE)</f>
        <v>Children Bicycles</v>
      </c>
    </row>
    <row r="270" spans="1:9" x14ac:dyDescent="0.3">
      <c r="A270">
        <v>269</v>
      </c>
      <c r="B270">
        <v>1</v>
      </c>
      <c r="C270">
        <v>5</v>
      </c>
      <c r="D270">
        <v>1</v>
      </c>
      <c r="E270">
        <v>1320.99</v>
      </c>
      <c r="F270">
        <v>7.0000000000000007E-2</v>
      </c>
      <c r="G270">
        <f t="shared" si="4"/>
        <v>1320.92</v>
      </c>
      <c r="H270" t="str">
        <f>_xlfn.XLOOKUP(C270,products[Product_ID],products[Product_Name],"not found",0)</f>
        <v>Heller Shagamaw Frame - 2016</v>
      </c>
      <c r="I270" t="str">
        <f>VLOOKUP(products!D270,categories[#All],2,TRUE)</f>
        <v>Children Bicycles</v>
      </c>
    </row>
    <row r="271" spans="1:9" x14ac:dyDescent="0.3">
      <c r="A271">
        <v>270</v>
      </c>
      <c r="B271">
        <v>1</v>
      </c>
      <c r="C271">
        <v>25</v>
      </c>
      <c r="D271">
        <v>2</v>
      </c>
      <c r="E271">
        <v>499.99</v>
      </c>
      <c r="F271">
        <v>0.2</v>
      </c>
      <c r="G271">
        <f t="shared" si="4"/>
        <v>999.78</v>
      </c>
      <c r="H271" t="str">
        <f>_xlfn.XLOOKUP(C271,products[Product_ID],products[Product_Name],"not found",0)</f>
        <v>Electra Townie Original 7D - 2015/2016</v>
      </c>
      <c r="I271" t="str">
        <f>VLOOKUP(products!D271,categories[#All],2,TRUE)</f>
        <v>Children Bicycles</v>
      </c>
    </row>
    <row r="272" spans="1:9" x14ac:dyDescent="0.3">
      <c r="A272">
        <v>271</v>
      </c>
      <c r="B272">
        <v>1</v>
      </c>
      <c r="C272">
        <v>11</v>
      </c>
      <c r="D272">
        <v>2</v>
      </c>
      <c r="E272">
        <v>1680.99</v>
      </c>
      <c r="F272">
        <v>7.0000000000000007E-2</v>
      </c>
      <c r="G272">
        <f t="shared" si="4"/>
        <v>3361.91</v>
      </c>
      <c r="H272" t="str">
        <f>_xlfn.XLOOKUP(C272,products[Product_ID],products[Product_Name],"not found",0)</f>
        <v>Surly Straggler 650b - 2016</v>
      </c>
      <c r="I272" t="str">
        <f>VLOOKUP(products!D272,categories[#All],2,TRUE)</f>
        <v>Children Bicycles</v>
      </c>
    </row>
    <row r="273" spans="1:9" x14ac:dyDescent="0.3">
      <c r="A273">
        <v>272</v>
      </c>
      <c r="B273">
        <v>1</v>
      </c>
      <c r="C273">
        <v>2</v>
      </c>
      <c r="D273">
        <v>2</v>
      </c>
      <c r="E273">
        <v>749.99</v>
      </c>
      <c r="F273">
        <v>7.0000000000000007E-2</v>
      </c>
      <c r="G273">
        <f t="shared" si="4"/>
        <v>1499.91</v>
      </c>
      <c r="H273" t="str">
        <f>_xlfn.XLOOKUP(C273,products[Product_ID],products[Product_Name],"not found",0)</f>
        <v>Ritchey Timberwolf Frameset - 2016</v>
      </c>
      <c r="I273" t="str">
        <f>VLOOKUP(products!D273,categories[#All],2,TRUE)</f>
        <v>Children Bicycles</v>
      </c>
    </row>
    <row r="274" spans="1:9" x14ac:dyDescent="0.3">
      <c r="A274">
        <v>273</v>
      </c>
      <c r="B274">
        <v>1</v>
      </c>
      <c r="C274">
        <v>21</v>
      </c>
      <c r="D274">
        <v>1</v>
      </c>
      <c r="E274">
        <v>269.99</v>
      </c>
      <c r="F274">
        <v>0.1</v>
      </c>
      <c r="G274">
        <f t="shared" si="4"/>
        <v>269.89</v>
      </c>
      <c r="H274" t="str">
        <f>_xlfn.XLOOKUP(C274,products[Product_ID],products[Product_Name],"not found",0)</f>
        <v>Electra Cruiser 1 (24-Inch) - 2016</v>
      </c>
      <c r="I274" t="str">
        <f>VLOOKUP(products!D274,categories[#All],2,TRUE)</f>
        <v>Children Bicycles</v>
      </c>
    </row>
    <row r="275" spans="1:9" x14ac:dyDescent="0.3">
      <c r="A275">
        <v>274</v>
      </c>
      <c r="B275">
        <v>1</v>
      </c>
      <c r="C275">
        <v>11</v>
      </c>
      <c r="D275">
        <v>2</v>
      </c>
      <c r="E275">
        <v>1680.99</v>
      </c>
      <c r="F275">
        <v>0.05</v>
      </c>
      <c r="G275">
        <f t="shared" si="4"/>
        <v>3361.93</v>
      </c>
      <c r="H275" t="str">
        <f>_xlfn.XLOOKUP(C275,products[Product_ID],products[Product_Name],"not found",0)</f>
        <v>Surly Straggler 650b - 2016</v>
      </c>
      <c r="I275" t="str">
        <f>VLOOKUP(products!D275,categories[#All],2,TRUE)</f>
        <v>Children Bicycles</v>
      </c>
    </row>
    <row r="276" spans="1:9" x14ac:dyDescent="0.3">
      <c r="A276">
        <v>275</v>
      </c>
      <c r="B276">
        <v>1</v>
      </c>
      <c r="C276">
        <v>18</v>
      </c>
      <c r="D276">
        <v>1</v>
      </c>
      <c r="E276">
        <v>449</v>
      </c>
      <c r="F276">
        <v>0.05</v>
      </c>
      <c r="G276">
        <f t="shared" si="4"/>
        <v>448.95</v>
      </c>
      <c r="H276" t="str">
        <f>_xlfn.XLOOKUP(C276,products[Product_ID],products[Product_Name],"not found",0)</f>
        <v>Pure Cycles Western 3-Speed - Women's - 2015/2016</v>
      </c>
      <c r="I276" t="str">
        <f>VLOOKUP(products!D276,categories[#All],2,TRUE)</f>
        <v>Children Bicycles</v>
      </c>
    </row>
    <row r="277" spans="1:9" x14ac:dyDescent="0.3">
      <c r="A277">
        <v>276</v>
      </c>
      <c r="B277">
        <v>1</v>
      </c>
      <c r="C277">
        <v>3</v>
      </c>
      <c r="D277">
        <v>2</v>
      </c>
      <c r="E277">
        <v>999.99</v>
      </c>
      <c r="F277">
        <v>0.2</v>
      </c>
      <c r="G277">
        <f t="shared" si="4"/>
        <v>1999.78</v>
      </c>
      <c r="H277" t="str">
        <f>_xlfn.XLOOKUP(C277,products[Product_ID],products[Product_Name],"not found",0)</f>
        <v>Surly Wednesday Frameset - 2016</v>
      </c>
      <c r="I277" t="str">
        <f>VLOOKUP(products!D277,categories[#All],2,TRUE)</f>
        <v>Children Bicycles</v>
      </c>
    </row>
    <row r="278" spans="1:9" x14ac:dyDescent="0.3">
      <c r="A278">
        <v>277</v>
      </c>
      <c r="B278">
        <v>1</v>
      </c>
      <c r="C278">
        <v>20</v>
      </c>
      <c r="D278">
        <v>2</v>
      </c>
      <c r="E278">
        <v>599.99</v>
      </c>
      <c r="F278">
        <v>0.2</v>
      </c>
      <c r="G278">
        <f t="shared" si="4"/>
        <v>1199.78</v>
      </c>
      <c r="H278" t="str">
        <f>_xlfn.XLOOKUP(C278,products[Product_ID],products[Product_Name],"not found",0)</f>
        <v>Electra Townie Original 7D EQ - Women's - 2016</v>
      </c>
      <c r="I278" t="str">
        <f>VLOOKUP(products!D278,categories[#All],2,TRUE)</f>
        <v>Children Bicycles</v>
      </c>
    </row>
    <row r="279" spans="1:9" x14ac:dyDescent="0.3">
      <c r="A279">
        <v>278</v>
      </c>
      <c r="B279">
        <v>1</v>
      </c>
      <c r="C279">
        <v>16</v>
      </c>
      <c r="D279">
        <v>1</v>
      </c>
      <c r="E279">
        <v>599.99</v>
      </c>
      <c r="F279">
        <v>0.2</v>
      </c>
      <c r="G279">
        <f t="shared" si="4"/>
        <v>599.79</v>
      </c>
      <c r="H279" t="str">
        <f>_xlfn.XLOOKUP(C279,products[Product_ID],products[Product_Name],"not found",0)</f>
        <v>Electra Townie Original 7D EQ - 2016</v>
      </c>
      <c r="I279" t="str">
        <f>VLOOKUP(products!D279,categories[#All],2,TRUE)</f>
        <v>Children Bicycles</v>
      </c>
    </row>
    <row r="280" spans="1:9" x14ac:dyDescent="0.3">
      <c r="A280">
        <v>279</v>
      </c>
      <c r="B280">
        <v>1</v>
      </c>
      <c r="C280">
        <v>25</v>
      </c>
      <c r="D280">
        <v>1</v>
      </c>
      <c r="E280">
        <v>499.99</v>
      </c>
      <c r="F280">
        <v>7.0000000000000007E-2</v>
      </c>
      <c r="G280">
        <f t="shared" si="4"/>
        <v>499.92</v>
      </c>
      <c r="H280" t="str">
        <f>_xlfn.XLOOKUP(C280,products[Product_ID],products[Product_Name],"not found",0)</f>
        <v>Electra Townie Original 7D - 2015/2016</v>
      </c>
      <c r="I280" t="str">
        <f>VLOOKUP(products!D280,categories[#All],2,TRUE)</f>
        <v>Children Bicycles</v>
      </c>
    </row>
    <row r="281" spans="1:9" x14ac:dyDescent="0.3">
      <c r="A281">
        <v>280</v>
      </c>
      <c r="B281">
        <v>1</v>
      </c>
      <c r="C281">
        <v>25</v>
      </c>
      <c r="D281">
        <v>1</v>
      </c>
      <c r="E281">
        <v>499.99</v>
      </c>
      <c r="F281">
        <v>7.0000000000000007E-2</v>
      </c>
      <c r="G281">
        <f t="shared" si="4"/>
        <v>499.92</v>
      </c>
      <c r="H281" t="str">
        <f>_xlfn.XLOOKUP(C281,products[Product_ID],products[Product_Name],"not found",0)</f>
        <v>Electra Townie Original 7D - 2015/2016</v>
      </c>
      <c r="I281" t="str">
        <f>VLOOKUP(products!D281,categories[#All],2,TRUE)</f>
        <v>Children Bicycles</v>
      </c>
    </row>
    <row r="282" spans="1:9" x14ac:dyDescent="0.3">
      <c r="A282">
        <v>281</v>
      </c>
      <c r="B282">
        <v>1</v>
      </c>
      <c r="C282">
        <v>22</v>
      </c>
      <c r="D282">
        <v>1</v>
      </c>
      <c r="E282">
        <v>269.99</v>
      </c>
      <c r="F282">
        <v>7.0000000000000007E-2</v>
      </c>
      <c r="G282">
        <f t="shared" si="4"/>
        <v>269.92</v>
      </c>
      <c r="H282" t="str">
        <f>_xlfn.XLOOKUP(C282,products[Product_ID],products[Product_Name],"not found",0)</f>
        <v>Electra Girl's Hawaii 1 (16-inch) - 2015/2016</v>
      </c>
      <c r="I282" t="str">
        <f>VLOOKUP(products!D282,categories[#All],2,TRUE)</f>
        <v>Children Bicycles</v>
      </c>
    </row>
    <row r="283" spans="1:9" x14ac:dyDescent="0.3">
      <c r="A283">
        <v>282</v>
      </c>
      <c r="B283">
        <v>1</v>
      </c>
      <c r="C283">
        <v>20</v>
      </c>
      <c r="D283">
        <v>1</v>
      </c>
      <c r="E283">
        <v>599.99</v>
      </c>
      <c r="F283">
        <v>7.0000000000000007E-2</v>
      </c>
      <c r="G283">
        <f t="shared" si="4"/>
        <v>599.91999999999996</v>
      </c>
      <c r="H283" t="str">
        <f>_xlfn.XLOOKUP(C283,products[Product_ID],products[Product_Name],"not found",0)</f>
        <v>Electra Townie Original 7D EQ - Women's - 2016</v>
      </c>
      <c r="I283" t="str">
        <f>VLOOKUP(products!D283,categories[#All],2,TRUE)</f>
        <v>Children Bicycles</v>
      </c>
    </row>
    <row r="284" spans="1:9" x14ac:dyDescent="0.3">
      <c r="A284">
        <v>283</v>
      </c>
      <c r="B284">
        <v>1</v>
      </c>
      <c r="C284">
        <v>9</v>
      </c>
      <c r="D284">
        <v>1</v>
      </c>
      <c r="E284">
        <v>2999.99</v>
      </c>
      <c r="F284">
        <v>0.05</v>
      </c>
      <c r="G284">
        <f t="shared" si="4"/>
        <v>2999.9399999999996</v>
      </c>
      <c r="H284" t="str">
        <f>_xlfn.XLOOKUP(C284,products[Product_ID],products[Product_Name],"not found",0)</f>
        <v>Trek Conduit+ - 2016</v>
      </c>
      <c r="I284" t="str">
        <f>VLOOKUP(products!D284,categories[#All],2,TRUE)</f>
        <v>Children Bicycles</v>
      </c>
    </row>
    <row r="285" spans="1:9" x14ac:dyDescent="0.3">
      <c r="A285">
        <v>284</v>
      </c>
      <c r="B285">
        <v>1</v>
      </c>
      <c r="C285">
        <v>24</v>
      </c>
      <c r="D285">
        <v>2</v>
      </c>
      <c r="E285">
        <v>549.99</v>
      </c>
      <c r="F285">
        <v>0.2</v>
      </c>
      <c r="G285">
        <f t="shared" si="4"/>
        <v>1099.78</v>
      </c>
      <c r="H285" t="str">
        <f>_xlfn.XLOOKUP(C285,products[Product_ID],products[Product_Name],"not found",0)</f>
        <v>Electra Townie Original 21D - 2016</v>
      </c>
      <c r="I285" t="str">
        <f>VLOOKUP(products!D285,categories[#All],2,TRUE)</f>
        <v>Children Bicycles</v>
      </c>
    </row>
    <row r="286" spans="1:9" x14ac:dyDescent="0.3">
      <c r="A286">
        <v>285</v>
      </c>
      <c r="B286">
        <v>1</v>
      </c>
      <c r="C286">
        <v>16</v>
      </c>
      <c r="D286">
        <v>2</v>
      </c>
      <c r="E286">
        <v>599.99</v>
      </c>
      <c r="F286">
        <v>0.05</v>
      </c>
      <c r="G286">
        <f t="shared" si="4"/>
        <v>1199.93</v>
      </c>
      <c r="H286" t="str">
        <f>_xlfn.XLOOKUP(C286,products[Product_ID],products[Product_Name],"not found",0)</f>
        <v>Electra Townie Original 7D EQ - 2016</v>
      </c>
      <c r="I286" t="str">
        <f>VLOOKUP(products!D286,categories[#All],2,TRUE)</f>
        <v>Children Bicycles</v>
      </c>
    </row>
    <row r="287" spans="1:9" x14ac:dyDescent="0.3">
      <c r="A287">
        <v>286</v>
      </c>
      <c r="B287">
        <v>1</v>
      </c>
      <c r="C287">
        <v>26</v>
      </c>
      <c r="D287">
        <v>2</v>
      </c>
      <c r="E287">
        <v>599.99</v>
      </c>
      <c r="F287">
        <v>0.2</v>
      </c>
      <c r="G287">
        <f t="shared" si="4"/>
        <v>1199.78</v>
      </c>
      <c r="H287" t="str">
        <f>_xlfn.XLOOKUP(C287,products[Product_ID],products[Product_Name],"not found",0)</f>
        <v>Electra Townie Original 7D EQ - 2016</v>
      </c>
      <c r="I287" t="str">
        <f>VLOOKUP(products!D287,categories[#All],2,TRUE)</f>
        <v>Children Bicycles</v>
      </c>
    </row>
    <row r="288" spans="1:9" x14ac:dyDescent="0.3">
      <c r="A288">
        <v>287</v>
      </c>
      <c r="B288">
        <v>1</v>
      </c>
      <c r="C288">
        <v>5</v>
      </c>
      <c r="D288">
        <v>1</v>
      </c>
      <c r="E288">
        <v>1320.99</v>
      </c>
      <c r="F288">
        <v>0.2</v>
      </c>
      <c r="G288">
        <f t="shared" si="4"/>
        <v>1320.79</v>
      </c>
      <c r="H288" t="str">
        <f>_xlfn.XLOOKUP(C288,products[Product_ID],products[Product_Name],"not found",0)</f>
        <v>Heller Shagamaw Frame - 2016</v>
      </c>
      <c r="I288" t="str">
        <f>VLOOKUP(products!D288,categories[#All],2,TRUE)</f>
        <v>Children Bicycles</v>
      </c>
    </row>
    <row r="289" spans="1:9" x14ac:dyDescent="0.3">
      <c r="A289">
        <v>288</v>
      </c>
      <c r="B289">
        <v>1</v>
      </c>
      <c r="C289">
        <v>4</v>
      </c>
      <c r="D289">
        <v>1</v>
      </c>
      <c r="E289">
        <v>2899.99</v>
      </c>
      <c r="F289">
        <v>0.2</v>
      </c>
      <c r="G289">
        <f t="shared" si="4"/>
        <v>2899.79</v>
      </c>
      <c r="H289" t="str">
        <f>_xlfn.XLOOKUP(C289,products[Product_ID],products[Product_Name],"not found",0)</f>
        <v>Trek Fuel EX 8 29 - 2016</v>
      </c>
      <c r="I289" t="str">
        <f>VLOOKUP(products!D289,categories[#All],2,TRUE)</f>
        <v>Children Bicycles</v>
      </c>
    </row>
    <row r="290" spans="1:9" x14ac:dyDescent="0.3">
      <c r="A290">
        <v>289</v>
      </c>
      <c r="B290">
        <v>1</v>
      </c>
      <c r="C290">
        <v>13</v>
      </c>
      <c r="D290">
        <v>1</v>
      </c>
      <c r="E290">
        <v>269.99</v>
      </c>
      <c r="F290">
        <v>7.0000000000000007E-2</v>
      </c>
      <c r="G290">
        <f t="shared" si="4"/>
        <v>269.92</v>
      </c>
      <c r="H290" t="str">
        <f>_xlfn.XLOOKUP(C290,products[Product_ID],products[Product_Name],"not found",0)</f>
        <v>Electra Cruiser 1 (24-Inch) - 2016</v>
      </c>
      <c r="I290" t="str">
        <f>VLOOKUP(products!D290,categories[#All],2,TRUE)</f>
        <v>Children Bicycles</v>
      </c>
    </row>
    <row r="291" spans="1:9" x14ac:dyDescent="0.3">
      <c r="A291">
        <v>290</v>
      </c>
      <c r="B291">
        <v>1</v>
      </c>
      <c r="C291">
        <v>2</v>
      </c>
      <c r="D291">
        <v>2</v>
      </c>
      <c r="E291">
        <v>749.99</v>
      </c>
      <c r="F291">
        <v>7.0000000000000007E-2</v>
      </c>
      <c r="G291">
        <f t="shared" si="4"/>
        <v>1499.91</v>
      </c>
      <c r="H291" t="str">
        <f>_xlfn.XLOOKUP(C291,products[Product_ID],products[Product_Name],"not found",0)</f>
        <v>Ritchey Timberwolf Frameset - 2016</v>
      </c>
      <c r="I291" t="str">
        <f>VLOOKUP(products!D291,categories[#All],2,TRUE)</f>
        <v>Children Bicycles</v>
      </c>
    </row>
    <row r="292" spans="1:9" x14ac:dyDescent="0.3">
      <c r="A292">
        <v>291</v>
      </c>
      <c r="B292">
        <v>1</v>
      </c>
      <c r="C292">
        <v>6</v>
      </c>
      <c r="D292">
        <v>2</v>
      </c>
      <c r="E292">
        <v>469.99</v>
      </c>
      <c r="F292">
        <v>0.05</v>
      </c>
      <c r="G292">
        <f t="shared" si="4"/>
        <v>939.93000000000006</v>
      </c>
      <c r="H292" t="str">
        <f>_xlfn.XLOOKUP(C292,products[Product_ID],products[Product_Name],"not found",0)</f>
        <v>Surly Ice Cream Truck Frameset - 2016</v>
      </c>
      <c r="I292" t="str">
        <f>VLOOKUP(products!D292,categories[#All],2,TRUE)</f>
        <v>Children Bicycles</v>
      </c>
    </row>
    <row r="293" spans="1:9" x14ac:dyDescent="0.3">
      <c r="A293">
        <v>292</v>
      </c>
      <c r="B293">
        <v>1</v>
      </c>
      <c r="C293">
        <v>18</v>
      </c>
      <c r="D293">
        <v>2</v>
      </c>
      <c r="E293">
        <v>449</v>
      </c>
      <c r="F293">
        <v>0.1</v>
      </c>
      <c r="G293">
        <f t="shared" si="4"/>
        <v>897.9</v>
      </c>
      <c r="H293" t="str">
        <f>_xlfn.XLOOKUP(C293,products[Product_ID],products[Product_Name],"not found",0)</f>
        <v>Pure Cycles Western 3-Speed - Women's - 2015/2016</v>
      </c>
      <c r="I293" t="str">
        <f>VLOOKUP(products!D293,categories[#All],2,TRUE)</f>
        <v>Children Bicycles</v>
      </c>
    </row>
    <row r="294" spans="1:9" x14ac:dyDescent="0.3">
      <c r="A294">
        <v>293</v>
      </c>
      <c r="B294">
        <v>1</v>
      </c>
      <c r="C294">
        <v>19</v>
      </c>
      <c r="D294">
        <v>2</v>
      </c>
      <c r="E294">
        <v>449</v>
      </c>
      <c r="F294">
        <v>0.05</v>
      </c>
      <c r="G294">
        <f t="shared" si="4"/>
        <v>897.95</v>
      </c>
      <c r="H294" t="str">
        <f>_xlfn.XLOOKUP(C294,products[Product_ID],products[Product_Name],"not found",0)</f>
        <v>Pure Cycles William 3-Speed - 2016</v>
      </c>
      <c r="I294" t="str">
        <f>VLOOKUP(products!D294,categories[#All],2,TRUE)</f>
        <v>Children Bicycles</v>
      </c>
    </row>
    <row r="295" spans="1:9" x14ac:dyDescent="0.3">
      <c r="A295">
        <v>294</v>
      </c>
      <c r="B295">
        <v>1</v>
      </c>
      <c r="C295">
        <v>18</v>
      </c>
      <c r="D295">
        <v>1</v>
      </c>
      <c r="E295">
        <v>449</v>
      </c>
      <c r="F295">
        <v>0.2</v>
      </c>
      <c r="G295">
        <f t="shared" si="4"/>
        <v>448.8</v>
      </c>
      <c r="H295" t="str">
        <f>_xlfn.XLOOKUP(C295,products[Product_ID],products[Product_Name],"not found",0)</f>
        <v>Pure Cycles Western 3-Speed - Women's - 2015/2016</v>
      </c>
      <c r="I295" t="str">
        <f>VLOOKUP(products!D295,categories[#All],2,TRUE)</f>
        <v>Children Bicycles</v>
      </c>
    </row>
    <row r="296" spans="1:9" x14ac:dyDescent="0.3">
      <c r="A296">
        <v>295</v>
      </c>
      <c r="B296">
        <v>1</v>
      </c>
      <c r="C296">
        <v>22</v>
      </c>
      <c r="D296">
        <v>2</v>
      </c>
      <c r="E296">
        <v>269.99</v>
      </c>
      <c r="F296">
        <v>7.0000000000000007E-2</v>
      </c>
      <c r="G296">
        <f t="shared" si="4"/>
        <v>539.91</v>
      </c>
      <c r="H296" t="str">
        <f>_xlfn.XLOOKUP(C296,products[Product_ID],products[Product_Name],"not found",0)</f>
        <v>Electra Girl's Hawaii 1 (16-inch) - 2015/2016</v>
      </c>
      <c r="I296" t="str">
        <f>VLOOKUP(products!D296,categories[#All],2,TRUE)</f>
        <v>Children Bicycles</v>
      </c>
    </row>
    <row r="297" spans="1:9" x14ac:dyDescent="0.3">
      <c r="A297">
        <v>296</v>
      </c>
      <c r="B297">
        <v>1</v>
      </c>
      <c r="C297">
        <v>25</v>
      </c>
      <c r="D297">
        <v>2</v>
      </c>
      <c r="E297">
        <v>499.99</v>
      </c>
      <c r="F297">
        <v>7.0000000000000007E-2</v>
      </c>
      <c r="G297">
        <f t="shared" si="4"/>
        <v>999.91</v>
      </c>
      <c r="H297" t="str">
        <f>_xlfn.XLOOKUP(C297,products[Product_ID],products[Product_Name],"not found",0)</f>
        <v>Electra Townie Original 7D - 2015/2016</v>
      </c>
      <c r="I297" t="str">
        <f>VLOOKUP(products!D297,categories[#All],2,TRUE)</f>
        <v>Children Bicycles</v>
      </c>
    </row>
    <row r="298" spans="1:9" x14ac:dyDescent="0.3">
      <c r="A298">
        <v>297</v>
      </c>
      <c r="B298">
        <v>1</v>
      </c>
      <c r="C298">
        <v>4</v>
      </c>
      <c r="D298">
        <v>2</v>
      </c>
      <c r="E298">
        <v>2899.99</v>
      </c>
      <c r="F298">
        <v>0.2</v>
      </c>
      <c r="G298">
        <f t="shared" si="4"/>
        <v>5799.78</v>
      </c>
      <c r="H298" t="str">
        <f>_xlfn.XLOOKUP(C298,products[Product_ID],products[Product_Name],"not found",0)</f>
        <v>Trek Fuel EX 8 29 - 2016</v>
      </c>
      <c r="I298" t="str">
        <f>VLOOKUP(products!D298,categories[#All],2,TRUE)</f>
        <v>Children Bicycles</v>
      </c>
    </row>
    <row r="299" spans="1:9" x14ac:dyDescent="0.3">
      <c r="A299">
        <v>298</v>
      </c>
      <c r="B299">
        <v>1</v>
      </c>
      <c r="C299">
        <v>23</v>
      </c>
      <c r="D299">
        <v>1</v>
      </c>
      <c r="E299">
        <v>299.99</v>
      </c>
      <c r="F299">
        <v>0.2</v>
      </c>
      <c r="G299">
        <f t="shared" si="4"/>
        <v>299.79000000000002</v>
      </c>
      <c r="H299" t="str">
        <f>_xlfn.XLOOKUP(C299,products[Product_ID],products[Product_Name],"not found",0)</f>
        <v>Electra Girl's Hawaii 1 (20-inch) - 2015/2016</v>
      </c>
      <c r="I299" t="str">
        <f>VLOOKUP(products!D299,categories[#All],2,TRUE)</f>
        <v>Children Bicycles</v>
      </c>
    </row>
    <row r="300" spans="1:9" x14ac:dyDescent="0.3">
      <c r="A300">
        <v>299</v>
      </c>
      <c r="B300">
        <v>1</v>
      </c>
      <c r="C300">
        <v>11</v>
      </c>
      <c r="D300">
        <v>2</v>
      </c>
      <c r="E300">
        <v>1680.99</v>
      </c>
      <c r="F300">
        <v>0.05</v>
      </c>
      <c r="G300">
        <f t="shared" si="4"/>
        <v>3361.93</v>
      </c>
      <c r="H300" t="str">
        <f>_xlfn.XLOOKUP(C300,products[Product_ID],products[Product_Name],"not found",0)</f>
        <v>Surly Straggler 650b - 2016</v>
      </c>
      <c r="I300" t="str">
        <f>VLOOKUP(products!D300,categories[#All],2,TRUE)</f>
        <v>Comfort Bicycles</v>
      </c>
    </row>
    <row r="301" spans="1:9" x14ac:dyDescent="0.3">
      <c r="A301">
        <v>300</v>
      </c>
      <c r="B301">
        <v>1</v>
      </c>
      <c r="C301">
        <v>16</v>
      </c>
      <c r="D301">
        <v>2</v>
      </c>
      <c r="E301">
        <v>599.99</v>
      </c>
      <c r="F301">
        <v>0.1</v>
      </c>
      <c r="G301">
        <f t="shared" si="4"/>
        <v>1199.8800000000001</v>
      </c>
      <c r="H301" t="str">
        <f>_xlfn.XLOOKUP(C301,products[Product_ID],products[Product_Name],"not found",0)</f>
        <v>Electra Townie Original 7D EQ - 2016</v>
      </c>
      <c r="I301" t="str">
        <f>VLOOKUP(products!D301,categories[#All],2,TRUE)</f>
        <v>Comfort Bicycles</v>
      </c>
    </row>
    <row r="302" spans="1:9" x14ac:dyDescent="0.3">
      <c r="A302">
        <v>301</v>
      </c>
      <c r="B302">
        <v>1</v>
      </c>
      <c r="C302">
        <v>6</v>
      </c>
      <c r="D302">
        <v>1</v>
      </c>
      <c r="E302">
        <v>469.99</v>
      </c>
      <c r="F302">
        <v>0.05</v>
      </c>
      <c r="G302">
        <f t="shared" si="4"/>
        <v>469.94</v>
      </c>
      <c r="H302" t="str">
        <f>_xlfn.XLOOKUP(C302,products[Product_ID],products[Product_Name],"not found",0)</f>
        <v>Surly Ice Cream Truck Frameset - 2016</v>
      </c>
      <c r="I302" t="str">
        <f>VLOOKUP(products!D302,categories[#All],2,TRUE)</f>
        <v>Comfort Bicycles</v>
      </c>
    </row>
    <row r="303" spans="1:9" x14ac:dyDescent="0.3">
      <c r="A303">
        <v>302</v>
      </c>
      <c r="B303">
        <v>1</v>
      </c>
      <c r="C303">
        <v>24</v>
      </c>
      <c r="D303">
        <v>2</v>
      </c>
      <c r="E303">
        <v>549.99</v>
      </c>
      <c r="F303">
        <v>0.2</v>
      </c>
      <c r="G303">
        <f t="shared" si="4"/>
        <v>1099.78</v>
      </c>
      <c r="H303" t="str">
        <f>_xlfn.XLOOKUP(C303,products[Product_ID],products[Product_Name],"not found",0)</f>
        <v>Electra Townie Original 21D - 2016</v>
      </c>
      <c r="I303" t="str">
        <f>VLOOKUP(products!D303,categories[#All],2,TRUE)</f>
        <v>Comfort Bicycles</v>
      </c>
    </row>
    <row r="304" spans="1:9" x14ac:dyDescent="0.3">
      <c r="A304">
        <v>303</v>
      </c>
      <c r="B304">
        <v>1</v>
      </c>
      <c r="C304">
        <v>8</v>
      </c>
      <c r="D304">
        <v>2</v>
      </c>
      <c r="E304">
        <v>1799.99</v>
      </c>
      <c r="F304">
        <v>0.05</v>
      </c>
      <c r="G304">
        <f t="shared" si="4"/>
        <v>3599.93</v>
      </c>
      <c r="H304" t="str">
        <f>_xlfn.XLOOKUP(C304,products[Product_ID],products[Product_Name],"not found",0)</f>
        <v>Trek Remedy 29 Carbon Frameset - 2016</v>
      </c>
      <c r="I304" t="str">
        <f>VLOOKUP(products!D304,categories[#All],2,TRUE)</f>
        <v>Comfort Bicycles</v>
      </c>
    </row>
    <row r="305" spans="1:9" x14ac:dyDescent="0.3">
      <c r="A305">
        <v>304</v>
      </c>
      <c r="B305">
        <v>1</v>
      </c>
      <c r="C305">
        <v>10</v>
      </c>
      <c r="D305">
        <v>1</v>
      </c>
      <c r="E305">
        <v>1549</v>
      </c>
      <c r="F305">
        <v>0.05</v>
      </c>
      <c r="G305">
        <f t="shared" si="4"/>
        <v>1548.95</v>
      </c>
      <c r="H305" t="str">
        <f>_xlfn.XLOOKUP(C305,products[Product_ID],products[Product_Name],"not found",0)</f>
        <v>Surly Straggler - 2016</v>
      </c>
      <c r="I305" t="str">
        <f>VLOOKUP(products!D305,categories[#All],2,TRUE)</f>
        <v>Comfort Bicycles</v>
      </c>
    </row>
    <row r="306" spans="1:9" x14ac:dyDescent="0.3">
      <c r="A306">
        <v>305</v>
      </c>
      <c r="B306">
        <v>1</v>
      </c>
      <c r="C306">
        <v>10</v>
      </c>
      <c r="D306">
        <v>1</v>
      </c>
      <c r="E306">
        <v>1549</v>
      </c>
      <c r="F306">
        <v>7.0000000000000007E-2</v>
      </c>
      <c r="G306">
        <f t="shared" si="4"/>
        <v>1548.93</v>
      </c>
      <c r="H306" t="str">
        <f>_xlfn.XLOOKUP(C306,products[Product_ID],products[Product_Name],"not found",0)</f>
        <v>Surly Straggler - 2016</v>
      </c>
      <c r="I306" t="str">
        <f>VLOOKUP(products!D306,categories[#All],2,TRUE)</f>
        <v>Comfort Bicycles</v>
      </c>
    </row>
    <row r="307" spans="1:9" x14ac:dyDescent="0.3">
      <c r="A307">
        <v>306</v>
      </c>
      <c r="B307">
        <v>1</v>
      </c>
      <c r="C307">
        <v>10</v>
      </c>
      <c r="D307">
        <v>1</v>
      </c>
      <c r="E307">
        <v>1549</v>
      </c>
      <c r="F307">
        <v>0.2</v>
      </c>
      <c r="G307">
        <f t="shared" si="4"/>
        <v>1548.8</v>
      </c>
      <c r="H307" t="str">
        <f>_xlfn.XLOOKUP(C307,products[Product_ID],products[Product_Name],"not found",0)</f>
        <v>Surly Straggler - 2016</v>
      </c>
      <c r="I307" t="str">
        <f>VLOOKUP(products!D307,categories[#All],2,TRUE)</f>
        <v>Comfort Bicycles</v>
      </c>
    </row>
    <row r="308" spans="1:9" x14ac:dyDescent="0.3">
      <c r="A308">
        <v>307</v>
      </c>
      <c r="B308">
        <v>1</v>
      </c>
      <c r="C308">
        <v>15</v>
      </c>
      <c r="D308">
        <v>2</v>
      </c>
      <c r="E308">
        <v>529.99</v>
      </c>
      <c r="F308">
        <v>0.05</v>
      </c>
      <c r="G308">
        <f t="shared" si="4"/>
        <v>1059.93</v>
      </c>
      <c r="H308" t="str">
        <f>_xlfn.XLOOKUP(C308,products[Product_ID],products[Product_Name],"not found",0)</f>
        <v>Electra Moto 1 - 2016</v>
      </c>
      <c r="I308" t="str">
        <f>VLOOKUP(products!D308,categories[#All],2,TRUE)</f>
        <v>Comfort Bicycles</v>
      </c>
    </row>
    <row r="309" spans="1:9" x14ac:dyDescent="0.3">
      <c r="A309">
        <v>308</v>
      </c>
      <c r="B309">
        <v>1</v>
      </c>
      <c r="C309">
        <v>7</v>
      </c>
      <c r="D309">
        <v>1</v>
      </c>
      <c r="E309">
        <v>3999.99</v>
      </c>
      <c r="F309">
        <v>0.1</v>
      </c>
      <c r="G309">
        <f t="shared" si="4"/>
        <v>3999.89</v>
      </c>
      <c r="H309" t="str">
        <f>_xlfn.XLOOKUP(C309,products[Product_ID],products[Product_Name],"not found",0)</f>
        <v>Trek Slash 8 27.5 - 2016</v>
      </c>
      <c r="I309" t="str">
        <f>VLOOKUP(products!D309,categories[#All],2,TRUE)</f>
        <v>Comfort Bicycles</v>
      </c>
    </row>
    <row r="310" spans="1:9" x14ac:dyDescent="0.3">
      <c r="A310">
        <v>309</v>
      </c>
      <c r="B310">
        <v>1</v>
      </c>
      <c r="C310">
        <v>3</v>
      </c>
      <c r="D310">
        <v>1</v>
      </c>
      <c r="E310">
        <v>999.99</v>
      </c>
      <c r="F310">
        <v>0.05</v>
      </c>
      <c r="G310">
        <f t="shared" si="4"/>
        <v>999.94</v>
      </c>
      <c r="H310" t="str">
        <f>_xlfn.XLOOKUP(C310,products[Product_ID],products[Product_Name],"not found",0)</f>
        <v>Surly Wednesday Frameset - 2016</v>
      </c>
      <c r="I310" t="str">
        <f>VLOOKUP(products!D310,categories[#All],2,TRUE)</f>
        <v>Comfort Bicycles</v>
      </c>
    </row>
    <row r="311" spans="1:9" x14ac:dyDescent="0.3">
      <c r="A311">
        <v>310</v>
      </c>
      <c r="B311">
        <v>1</v>
      </c>
      <c r="C311">
        <v>7</v>
      </c>
      <c r="D311">
        <v>2</v>
      </c>
      <c r="E311">
        <v>3999.99</v>
      </c>
      <c r="F311">
        <v>7.0000000000000007E-2</v>
      </c>
      <c r="G311">
        <f t="shared" si="4"/>
        <v>7999.91</v>
      </c>
      <c r="H311" t="str">
        <f>_xlfn.XLOOKUP(C311,products[Product_ID],products[Product_Name],"not found",0)</f>
        <v>Trek Slash 8 27.5 - 2016</v>
      </c>
      <c r="I311" t="str">
        <f>VLOOKUP(products!D311,categories[#All],2,TRUE)</f>
        <v>Comfort Bicycles</v>
      </c>
    </row>
    <row r="312" spans="1:9" x14ac:dyDescent="0.3">
      <c r="A312">
        <v>311</v>
      </c>
      <c r="B312">
        <v>1</v>
      </c>
      <c r="C312">
        <v>17</v>
      </c>
      <c r="D312">
        <v>2</v>
      </c>
      <c r="E312">
        <v>429</v>
      </c>
      <c r="F312">
        <v>0.05</v>
      </c>
      <c r="G312">
        <f t="shared" si="4"/>
        <v>857.95</v>
      </c>
      <c r="H312" t="str">
        <f>_xlfn.XLOOKUP(C312,products[Product_ID],products[Product_Name],"not found",0)</f>
        <v>Pure Cycles Vine 8-Speed - 2016</v>
      </c>
      <c r="I312" t="str">
        <f>VLOOKUP(products!D312,categories[#All],2,TRUE)</f>
        <v>Comfort Bicycles</v>
      </c>
    </row>
    <row r="313" spans="1:9" x14ac:dyDescent="0.3">
      <c r="A313">
        <v>312</v>
      </c>
      <c r="B313">
        <v>1</v>
      </c>
      <c r="C313">
        <v>24</v>
      </c>
      <c r="D313">
        <v>2</v>
      </c>
      <c r="E313">
        <v>549.99</v>
      </c>
      <c r="F313">
        <v>0.05</v>
      </c>
      <c r="G313">
        <f t="shared" si="4"/>
        <v>1099.93</v>
      </c>
      <c r="H313" t="str">
        <f>_xlfn.XLOOKUP(C313,products[Product_ID],products[Product_Name],"not found",0)</f>
        <v>Electra Townie Original 21D - 2016</v>
      </c>
      <c r="I313" t="str">
        <f>VLOOKUP(products!D313,categories[#All],2,TRUE)</f>
        <v>Comfort Bicycles</v>
      </c>
    </row>
    <row r="314" spans="1:9" x14ac:dyDescent="0.3">
      <c r="A314">
        <v>313</v>
      </c>
      <c r="B314">
        <v>1</v>
      </c>
      <c r="C314">
        <v>4</v>
      </c>
      <c r="D314">
        <v>1</v>
      </c>
      <c r="E314">
        <v>2899.99</v>
      </c>
      <c r="F314">
        <v>7.0000000000000007E-2</v>
      </c>
      <c r="G314">
        <f t="shared" si="4"/>
        <v>2899.9199999999996</v>
      </c>
      <c r="H314" t="str">
        <f>_xlfn.XLOOKUP(C314,products[Product_ID],products[Product_Name],"not found",0)</f>
        <v>Trek Fuel EX 8 29 - 2016</v>
      </c>
      <c r="I314" t="str">
        <f>VLOOKUP(products!D314,categories[#All],2,TRUE)</f>
        <v>Comfort Bicycles</v>
      </c>
    </row>
    <row r="315" spans="1:9" x14ac:dyDescent="0.3">
      <c r="A315">
        <v>314</v>
      </c>
      <c r="B315">
        <v>1</v>
      </c>
      <c r="C315">
        <v>5</v>
      </c>
      <c r="D315">
        <v>1</v>
      </c>
      <c r="E315">
        <v>1320.99</v>
      </c>
      <c r="F315">
        <v>7.0000000000000007E-2</v>
      </c>
      <c r="G315">
        <f t="shared" si="4"/>
        <v>1320.92</v>
      </c>
      <c r="H315" t="str">
        <f>_xlfn.XLOOKUP(C315,products[Product_ID],products[Product_Name],"not found",0)</f>
        <v>Heller Shagamaw Frame - 2016</v>
      </c>
      <c r="I315" t="str">
        <f>VLOOKUP(products!D315,categories[#All],2,TRUE)</f>
        <v>Comfort Bicycles</v>
      </c>
    </row>
    <row r="316" spans="1:9" x14ac:dyDescent="0.3">
      <c r="A316">
        <v>315</v>
      </c>
      <c r="B316">
        <v>1</v>
      </c>
      <c r="C316">
        <v>11</v>
      </c>
      <c r="D316">
        <v>1</v>
      </c>
      <c r="E316">
        <v>1680.99</v>
      </c>
      <c r="F316">
        <v>0.2</v>
      </c>
      <c r="G316">
        <f t="shared" si="4"/>
        <v>1680.79</v>
      </c>
      <c r="H316" t="str">
        <f>_xlfn.XLOOKUP(C316,products[Product_ID],products[Product_Name],"not found",0)</f>
        <v>Surly Straggler 650b - 2016</v>
      </c>
      <c r="I316" t="str">
        <f>VLOOKUP(products!D316,categories[#All],2,TRUE)</f>
        <v>Comfort Bicycles</v>
      </c>
    </row>
    <row r="317" spans="1:9" x14ac:dyDescent="0.3">
      <c r="A317">
        <v>316</v>
      </c>
      <c r="B317">
        <v>1</v>
      </c>
      <c r="C317">
        <v>2</v>
      </c>
      <c r="D317">
        <v>2</v>
      </c>
      <c r="E317">
        <v>749.99</v>
      </c>
      <c r="F317">
        <v>0.2</v>
      </c>
      <c r="G317">
        <f t="shared" si="4"/>
        <v>1499.78</v>
      </c>
      <c r="H317" t="str">
        <f>_xlfn.XLOOKUP(C317,products[Product_ID],products[Product_Name],"not found",0)</f>
        <v>Ritchey Timberwolf Frameset - 2016</v>
      </c>
      <c r="I317" t="str">
        <f>VLOOKUP(products!D317,categories[#All],2,TRUE)</f>
        <v>Road Bikes</v>
      </c>
    </row>
    <row r="318" spans="1:9" x14ac:dyDescent="0.3">
      <c r="A318">
        <v>317</v>
      </c>
      <c r="B318">
        <v>1</v>
      </c>
      <c r="C318">
        <v>10</v>
      </c>
      <c r="D318">
        <v>1</v>
      </c>
      <c r="E318">
        <v>1549</v>
      </c>
      <c r="F318">
        <v>0.2</v>
      </c>
      <c r="G318">
        <f t="shared" si="4"/>
        <v>1548.8</v>
      </c>
      <c r="H318" t="str">
        <f>_xlfn.XLOOKUP(C318,products[Product_ID],products[Product_Name],"not found",0)</f>
        <v>Surly Straggler - 2016</v>
      </c>
      <c r="I318" t="str">
        <f>VLOOKUP(products!D318,categories[#All],2,TRUE)</f>
        <v>Road Bikes</v>
      </c>
    </row>
    <row r="319" spans="1:9" x14ac:dyDescent="0.3">
      <c r="A319">
        <v>318</v>
      </c>
      <c r="B319">
        <v>1</v>
      </c>
      <c r="C319">
        <v>13</v>
      </c>
      <c r="D319">
        <v>2</v>
      </c>
      <c r="E319">
        <v>269.99</v>
      </c>
      <c r="F319">
        <v>0.1</v>
      </c>
      <c r="G319">
        <f t="shared" si="4"/>
        <v>539.88</v>
      </c>
      <c r="H319" t="str">
        <f>_xlfn.XLOOKUP(C319,products[Product_ID],products[Product_Name],"not found",0)</f>
        <v>Electra Cruiser 1 (24-Inch) - 2016</v>
      </c>
      <c r="I319" t="str">
        <f>VLOOKUP(products!D319,categories[#All],2,TRUE)</f>
        <v>Road Bikes</v>
      </c>
    </row>
    <row r="320" spans="1:9" x14ac:dyDescent="0.3">
      <c r="A320">
        <v>319</v>
      </c>
      <c r="B320">
        <v>1</v>
      </c>
      <c r="C320">
        <v>11</v>
      </c>
      <c r="D320">
        <v>1</v>
      </c>
      <c r="E320">
        <v>1680.99</v>
      </c>
      <c r="F320">
        <v>7.0000000000000007E-2</v>
      </c>
      <c r="G320">
        <f t="shared" si="4"/>
        <v>1680.92</v>
      </c>
      <c r="H320" t="str">
        <f>_xlfn.XLOOKUP(C320,products[Product_ID],products[Product_Name],"not found",0)</f>
        <v>Surly Straggler 650b - 2016</v>
      </c>
      <c r="I320" t="str">
        <f>VLOOKUP(products!D320,categories[#All],2,TRUE)</f>
        <v>Road Bikes</v>
      </c>
    </row>
    <row r="321" spans="1:9" x14ac:dyDescent="0.3">
      <c r="A321">
        <v>320</v>
      </c>
      <c r="B321">
        <v>1</v>
      </c>
      <c r="C321">
        <v>2</v>
      </c>
      <c r="D321">
        <v>1</v>
      </c>
      <c r="E321">
        <v>749.99</v>
      </c>
      <c r="F321">
        <v>0.1</v>
      </c>
      <c r="G321">
        <f t="shared" si="4"/>
        <v>749.89</v>
      </c>
      <c r="H321" t="str">
        <f>_xlfn.XLOOKUP(C321,products[Product_ID],products[Product_Name],"not found",0)</f>
        <v>Ritchey Timberwolf Frameset - 2016</v>
      </c>
      <c r="I321" t="str">
        <f>VLOOKUP(products!D321,categories[#All],2,TRUE)</f>
        <v>Road Bikes</v>
      </c>
    </row>
    <row r="322" spans="1:9" x14ac:dyDescent="0.3">
      <c r="A322">
        <v>321</v>
      </c>
      <c r="B322">
        <v>1</v>
      </c>
      <c r="C322">
        <v>4</v>
      </c>
      <c r="D322">
        <v>2</v>
      </c>
      <c r="E322">
        <v>2899.99</v>
      </c>
      <c r="F322">
        <v>0.2</v>
      </c>
      <c r="G322">
        <f t="shared" ref="G322:G385" si="5">(E322*D322)-F322</f>
        <v>5799.78</v>
      </c>
      <c r="H322" t="str">
        <f>_xlfn.XLOOKUP(C322,products[Product_ID],products[Product_Name],"not found",0)</f>
        <v>Trek Fuel EX 8 29 - 2016</v>
      </c>
      <c r="I322" t="str">
        <f>VLOOKUP(products!D322,categories[#All],2,TRUE)</f>
        <v>Road Bikes</v>
      </c>
    </row>
    <row r="323" spans="1:9" x14ac:dyDescent="0.3">
      <c r="A323">
        <v>322</v>
      </c>
      <c r="B323">
        <v>1</v>
      </c>
      <c r="C323">
        <v>13</v>
      </c>
      <c r="D323">
        <v>2</v>
      </c>
      <c r="E323">
        <v>269.99</v>
      </c>
      <c r="F323">
        <v>0.2</v>
      </c>
      <c r="G323">
        <f t="shared" si="5"/>
        <v>539.78</v>
      </c>
      <c r="H323" t="str">
        <f>_xlfn.XLOOKUP(C323,products[Product_ID],products[Product_Name],"not found",0)</f>
        <v>Electra Cruiser 1 (24-Inch) - 2016</v>
      </c>
      <c r="I323" t="e">
        <f>VLOOKUP(products!D323,categories[#All],2,TRUE)</f>
        <v>#N/A</v>
      </c>
    </row>
    <row r="324" spans="1:9" x14ac:dyDescent="0.3">
      <c r="A324">
        <v>323</v>
      </c>
      <c r="B324">
        <v>1</v>
      </c>
      <c r="C324">
        <v>13</v>
      </c>
      <c r="D324">
        <v>2</v>
      </c>
      <c r="E324">
        <v>269.99</v>
      </c>
      <c r="F324">
        <v>7.0000000000000007E-2</v>
      </c>
      <c r="G324">
        <f t="shared" si="5"/>
        <v>539.91</v>
      </c>
      <c r="H324" t="str">
        <f>_xlfn.XLOOKUP(C324,products[Product_ID],products[Product_Name],"not found",0)</f>
        <v>Electra Cruiser 1 (24-Inch) - 2016</v>
      </c>
      <c r="I324" t="e">
        <f>VLOOKUP(products!D324,categories[#All],2,TRUE)</f>
        <v>#N/A</v>
      </c>
    </row>
    <row r="325" spans="1:9" x14ac:dyDescent="0.3">
      <c r="A325">
        <v>324</v>
      </c>
      <c r="B325">
        <v>1</v>
      </c>
      <c r="C325">
        <v>2</v>
      </c>
      <c r="D325">
        <v>2</v>
      </c>
      <c r="E325">
        <v>749.99</v>
      </c>
      <c r="F325">
        <v>0.1</v>
      </c>
      <c r="G325">
        <f t="shared" si="5"/>
        <v>1499.88</v>
      </c>
      <c r="H325" t="str">
        <f>_xlfn.XLOOKUP(C325,products[Product_ID],products[Product_Name],"not found",0)</f>
        <v>Ritchey Timberwolf Frameset - 2016</v>
      </c>
      <c r="I325" t="e">
        <f>VLOOKUP(products!D325,categories[#All],2,TRUE)</f>
        <v>#N/A</v>
      </c>
    </row>
    <row r="326" spans="1:9" x14ac:dyDescent="0.3">
      <c r="A326">
        <v>325</v>
      </c>
      <c r="B326">
        <v>1</v>
      </c>
      <c r="C326">
        <v>7</v>
      </c>
      <c r="D326">
        <v>1</v>
      </c>
      <c r="E326">
        <v>3999.99</v>
      </c>
      <c r="F326">
        <v>0.05</v>
      </c>
      <c r="G326">
        <f t="shared" si="5"/>
        <v>3999.9399999999996</v>
      </c>
      <c r="H326" t="str">
        <f>_xlfn.XLOOKUP(C326,products[Product_ID],products[Product_Name],"not found",0)</f>
        <v>Trek Slash 8 27.5 - 2016</v>
      </c>
      <c r="I326" t="e">
        <f>VLOOKUP(products!D326,categories[#All],2,TRUE)</f>
        <v>#N/A</v>
      </c>
    </row>
    <row r="327" spans="1:9" x14ac:dyDescent="0.3">
      <c r="A327">
        <v>326</v>
      </c>
      <c r="B327">
        <v>1</v>
      </c>
      <c r="C327">
        <v>12</v>
      </c>
      <c r="D327">
        <v>1</v>
      </c>
      <c r="E327">
        <v>549.99</v>
      </c>
      <c r="F327">
        <v>0.1</v>
      </c>
      <c r="G327">
        <f t="shared" si="5"/>
        <v>549.89</v>
      </c>
      <c r="H327" t="str">
        <f>_xlfn.XLOOKUP(C327,products[Product_ID],products[Product_Name],"not found",0)</f>
        <v>Electra Townie Original 21D - 2016</v>
      </c>
      <c r="I327" t="e">
        <f>VLOOKUP(products!D327,categories[#All],2,TRUE)</f>
        <v>#N/A</v>
      </c>
    </row>
    <row r="328" spans="1:9" x14ac:dyDescent="0.3">
      <c r="A328">
        <v>327</v>
      </c>
      <c r="B328">
        <v>1</v>
      </c>
      <c r="C328">
        <v>12</v>
      </c>
      <c r="D328">
        <v>2</v>
      </c>
      <c r="E328">
        <v>549.99</v>
      </c>
      <c r="F328">
        <v>7.0000000000000007E-2</v>
      </c>
      <c r="G328">
        <f t="shared" si="5"/>
        <v>1099.9100000000001</v>
      </c>
      <c r="H328" t="str">
        <f>_xlfn.XLOOKUP(C328,products[Product_ID],products[Product_Name],"not found",0)</f>
        <v>Electra Townie Original 21D - 2016</v>
      </c>
      <c r="I328" t="e">
        <f>VLOOKUP(products!D328,categories[#All],2,TRUE)</f>
        <v>#N/A</v>
      </c>
    </row>
    <row r="329" spans="1:9" x14ac:dyDescent="0.3">
      <c r="A329">
        <v>328</v>
      </c>
      <c r="B329">
        <v>1</v>
      </c>
      <c r="C329">
        <v>6</v>
      </c>
      <c r="D329">
        <v>2</v>
      </c>
      <c r="E329">
        <v>469.99</v>
      </c>
      <c r="F329">
        <v>0.1</v>
      </c>
      <c r="G329">
        <f t="shared" si="5"/>
        <v>939.88</v>
      </c>
      <c r="H329" t="str">
        <f>_xlfn.XLOOKUP(C329,products[Product_ID],products[Product_Name],"not found",0)</f>
        <v>Surly Ice Cream Truck Frameset - 2016</v>
      </c>
      <c r="I329" t="e">
        <f>VLOOKUP(products!D329,categories[#All],2,TRUE)</f>
        <v>#N/A</v>
      </c>
    </row>
    <row r="330" spans="1:9" x14ac:dyDescent="0.3">
      <c r="A330">
        <v>329</v>
      </c>
      <c r="B330">
        <v>1</v>
      </c>
      <c r="C330">
        <v>14</v>
      </c>
      <c r="D330">
        <v>2</v>
      </c>
      <c r="E330">
        <v>269.99</v>
      </c>
      <c r="F330">
        <v>7.0000000000000007E-2</v>
      </c>
      <c r="G330">
        <f t="shared" si="5"/>
        <v>539.91</v>
      </c>
      <c r="H330" t="str">
        <f>_xlfn.XLOOKUP(C330,products[Product_ID],products[Product_Name],"not found",0)</f>
        <v>Electra Girl's Hawaii 1 (16-inch) - 2015/2016</v>
      </c>
      <c r="I330" t="e">
        <f>VLOOKUP(products!D330,categories[#All],2,TRUE)</f>
        <v>#N/A</v>
      </c>
    </row>
    <row r="331" spans="1:9" x14ac:dyDescent="0.3">
      <c r="A331">
        <v>330</v>
      </c>
      <c r="B331">
        <v>1</v>
      </c>
      <c r="C331">
        <v>21</v>
      </c>
      <c r="D331">
        <v>2</v>
      </c>
      <c r="E331">
        <v>269.99</v>
      </c>
      <c r="F331">
        <v>0.05</v>
      </c>
      <c r="G331">
        <f t="shared" si="5"/>
        <v>539.93000000000006</v>
      </c>
      <c r="H331" t="str">
        <f>_xlfn.XLOOKUP(C331,products[Product_ID],products[Product_Name],"not found",0)</f>
        <v>Electra Cruiser 1 (24-Inch) - 2016</v>
      </c>
      <c r="I331" t="e">
        <f>VLOOKUP(products!D331,categories[#All],2,TRUE)</f>
        <v>#N/A</v>
      </c>
    </row>
    <row r="332" spans="1:9" x14ac:dyDescent="0.3">
      <c r="A332">
        <v>331</v>
      </c>
      <c r="B332">
        <v>1</v>
      </c>
      <c r="C332">
        <v>17</v>
      </c>
      <c r="D332">
        <v>2</v>
      </c>
      <c r="E332">
        <v>429</v>
      </c>
      <c r="F332">
        <v>0.1</v>
      </c>
      <c r="G332">
        <f t="shared" si="5"/>
        <v>857.9</v>
      </c>
      <c r="H332" t="str">
        <f>_xlfn.XLOOKUP(C332,products[Product_ID],products[Product_Name],"not found",0)</f>
        <v>Pure Cycles Vine 8-Speed - 2016</v>
      </c>
      <c r="I332" t="e">
        <f>VLOOKUP(products!D332,categories[#All],2,TRUE)</f>
        <v>#N/A</v>
      </c>
    </row>
    <row r="333" spans="1:9" x14ac:dyDescent="0.3">
      <c r="A333">
        <v>332</v>
      </c>
      <c r="B333">
        <v>1</v>
      </c>
      <c r="C333">
        <v>18</v>
      </c>
      <c r="D333">
        <v>2</v>
      </c>
      <c r="E333">
        <v>449</v>
      </c>
      <c r="F333">
        <v>0.05</v>
      </c>
      <c r="G333">
        <f t="shared" si="5"/>
        <v>897.95</v>
      </c>
      <c r="H333" t="str">
        <f>_xlfn.XLOOKUP(C333,products[Product_ID],products[Product_Name],"not found",0)</f>
        <v>Pure Cycles Western 3-Speed - Women's - 2015/2016</v>
      </c>
      <c r="I333" t="e">
        <f>VLOOKUP(products!D333,categories[#All],2,TRUE)</f>
        <v>#N/A</v>
      </c>
    </row>
    <row r="334" spans="1:9" x14ac:dyDescent="0.3">
      <c r="A334">
        <v>333</v>
      </c>
      <c r="B334">
        <v>1</v>
      </c>
      <c r="C334">
        <v>18</v>
      </c>
      <c r="D334">
        <v>2</v>
      </c>
      <c r="E334">
        <v>449</v>
      </c>
      <c r="F334">
        <v>7.0000000000000007E-2</v>
      </c>
      <c r="G334">
        <f t="shared" si="5"/>
        <v>897.93</v>
      </c>
      <c r="H334" t="str">
        <f>_xlfn.XLOOKUP(C334,products[Product_ID],products[Product_Name],"not found",0)</f>
        <v>Pure Cycles Western 3-Speed - Women's - 2015/2016</v>
      </c>
      <c r="I334" t="e">
        <f>VLOOKUP(products!D334,categories[#All],2,TRUE)</f>
        <v>#N/A</v>
      </c>
    </row>
    <row r="335" spans="1:9" x14ac:dyDescent="0.3">
      <c r="A335">
        <v>334</v>
      </c>
      <c r="B335">
        <v>1</v>
      </c>
      <c r="C335">
        <v>16</v>
      </c>
      <c r="D335">
        <v>2</v>
      </c>
      <c r="E335">
        <v>599.99</v>
      </c>
      <c r="F335">
        <v>0.2</v>
      </c>
      <c r="G335">
        <f t="shared" si="5"/>
        <v>1199.78</v>
      </c>
      <c r="H335" t="str">
        <f>_xlfn.XLOOKUP(C335,products[Product_ID],products[Product_Name],"not found",0)</f>
        <v>Electra Townie Original 7D EQ - 2016</v>
      </c>
      <c r="I335" t="e">
        <f>VLOOKUP(products!D335,categories[#All],2,TRUE)</f>
        <v>#N/A</v>
      </c>
    </row>
    <row r="336" spans="1:9" x14ac:dyDescent="0.3">
      <c r="A336">
        <v>335</v>
      </c>
      <c r="B336">
        <v>1</v>
      </c>
      <c r="C336">
        <v>6</v>
      </c>
      <c r="D336">
        <v>1</v>
      </c>
      <c r="E336">
        <v>469.99</v>
      </c>
      <c r="F336">
        <v>0.1</v>
      </c>
      <c r="G336">
        <f t="shared" si="5"/>
        <v>469.89</v>
      </c>
      <c r="H336" t="str">
        <f>_xlfn.XLOOKUP(C336,products[Product_ID],products[Product_Name],"not found",0)</f>
        <v>Surly Ice Cream Truck Frameset - 2016</v>
      </c>
      <c r="I336" t="e">
        <f>VLOOKUP(products!D336,categories[#All],2,TRUE)</f>
        <v>#N/A</v>
      </c>
    </row>
    <row r="337" spans="1:9" x14ac:dyDescent="0.3">
      <c r="A337">
        <v>336</v>
      </c>
      <c r="B337">
        <v>1</v>
      </c>
      <c r="C337">
        <v>4</v>
      </c>
      <c r="D337">
        <v>1</v>
      </c>
      <c r="E337">
        <v>2899.99</v>
      </c>
      <c r="F337">
        <v>0.1</v>
      </c>
      <c r="G337">
        <f t="shared" si="5"/>
        <v>2899.89</v>
      </c>
      <c r="H337" t="str">
        <f>_xlfn.XLOOKUP(C337,products[Product_ID],products[Product_Name],"not found",0)</f>
        <v>Trek Fuel EX 8 29 - 2016</v>
      </c>
      <c r="I337" t="e">
        <f>VLOOKUP(products!D337,categories[#All],2,TRUE)</f>
        <v>#N/A</v>
      </c>
    </row>
    <row r="338" spans="1:9" x14ac:dyDescent="0.3">
      <c r="A338">
        <v>337</v>
      </c>
      <c r="B338">
        <v>1</v>
      </c>
      <c r="C338">
        <v>18</v>
      </c>
      <c r="D338">
        <v>1</v>
      </c>
      <c r="E338">
        <v>449</v>
      </c>
      <c r="F338">
        <v>0.05</v>
      </c>
      <c r="G338">
        <f t="shared" si="5"/>
        <v>448.95</v>
      </c>
      <c r="H338" t="str">
        <f>_xlfn.XLOOKUP(C338,products[Product_ID],products[Product_Name],"not found",0)</f>
        <v>Pure Cycles Western 3-Speed - Women's - 2015/2016</v>
      </c>
      <c r="I338" t="e">
        <f>VLOOKUP(products!D338,categories[#All],2,TRUE)</f>
        <v>#N/A</v>
      </c>
    </row>
    <row r="339" spans="1:9" x14ac:dyDescent="0.3">
      <c r="A339">
        <v>338</v>
      </c>
      <c r="B339">
        <v>1</v>
      </c>
      <c r="C339">
        <v>6</v>
      </c>
      <c r="D339">
        <v>2</v>
      </c>
      <c r="E339">
        <v>469.99</v>
      </c>
      <c r="F339">
        <v>7.0000000000000007E-2</v>
      </c>
      <c r="G339">
        <f t="shared" si="5"/>
        <v>939.91</v>
      </c>
      <c r="H339" t="str">
        <f>_xlfn.XLOOKUP(C339,products[Product_ID],products[Product_Name],"not found",0)</f>
        <v>Surly Ice Cream Truck Frameset - 2016</v>
      </c>
      <c r="I339" t="e">
        <f>VLOOKUP(products!D339,categories[#All],2,TRUE)</f>
        <v>#N/A</v>
      </c>
    </row>
    <row r="340" spans="1:9" x14ac:dyDescent="0.3">
      <c r="A340">
        <v>339</v>
      </c>
      <c r="B340">
        <v>1</v>
      </c>
      <c r="C340">
        <v>13</v>
      </c>
      <c r="D340">
        <v>1</v>
      </c>
      <c r="E340">
        <v>269.99</v>
      </c>
      <c r="F340">
        <v>0.1</v>
      </c>
      <c r="G340">
        <f t="shared" si="5"/>
        <v>269.89</v>
      </c>
      <c r="H340" t="str">
        <f>_xlfn.XLOOKUP(C340,products[Product_ID],products[Product_Name],"not found",0)</f>
        <v>Electra Cruiser 1 (24-Inch) - 2016</v>
      </c>
      <c r="I340" t="e">
        <f>VLOOKUP(products!D340,categories[#All],2,TRUE)</f>
        <v>#N/A</v>
      </c>
    </row>
    <row r="341" spans="1:9" x14ac:dyDescent="0.3">
      <c r="A341">
        <v>340</v>
      </c>
      <c r="B341">
        <v>1</v>
      </c>
      <c r="C341">
        <v>11</v>
      </c>
      <c r="D341">
        <v>1</v>
      </c>
      <c r="E341">
        <v>1680.99</v>
      </c>
      <c r="F341">
        <v>0.05</v>
      </c>
      <c r="G341">
        <f t="shared" si="5"/>
        <v>1680.94</v>
      </c>
      <c r="H341" t="str">
        <f>_xlfn.XLOOKUP(C341,products[Product_ID],products[Product_Name],"not found",0)</f>
        <v>Surly Straggler 650b - 2016</v>
      </c>
      <c r="I341" t="e">
        <f>VLOOKUP(products!D341,categories[#All],2,TRUE)</f>
        <v>#N/A</v>
      </c>
    </row>
    <row r="342" spans="1:9" x14ac:dyDescent="0.3">
      <c r="A342">
        <v>341</v>
      </c>
      <c r="B342">
        <v>1</v>
      </c>
      <c r="C342">
        <v>23</v>
      </c>
      <c r="D342">
        <v>2</v>
      </c>
      <c r="E342">
        <v>299.99</v>
      </c>
      <c r="F342">
        <v>0.05</v>
      </c>
      <c r="G342">
        <f t="shared" si="5"/>
        <v>599.93000000000006</v>
      </c>
      <c r="H342" t="str">
        <f>_xlfn.XLOOKUP(C342,products[Product_ID],products[Product_Name],"not found",0)</f>
        <v>Electra Girl's Hawaii 1 (20-inch) - 2015/2016</v>
      </c>
      <c r="I342" t="e">
        <f>VLOOKUP(products!D342,categories[#All],2,TRUE)</f>
        <v>#N/A</v>
      </c>
    </row>
    <row r="343" spans="1:9" x14ac:dyDescent="0.3">
      <c r="A343">
        <v>342</v>
      </c>
      <c r="B343">
        <v>1</v>
      </c>
      <c r="C343">
        <v>26</v>
      </c>
      <c r="D343">
        <v>1</v>
      </c>
      <c r="E343">
        <v>599.99</v>
      </c>
      <c r="F343">
        <v>7.0000000000000007E-2</v>
      </c>
      <c r="G343">
        <f t="shared" si="5"/>
        <v>599.91999999999996</v>
      </c>
      <c r="H343" t="str">
        <f>_xlfn.XLOOKUP(C343,products[Product_ID],products[Product_Name],"not found",0)</f>
        <v>Electra Townie Original 7D EQ - 2016</v>
      </c>
      <c r="I343" t="e">
        <f>VLOOKUP(products!D343,categories[#All],2,TRUE)</f>
        <v>#N/A</v>
      </c>
    </row>
    <row r="344" spans="1:9" x14ac:dyDescent="0.3">
      <c r="A344">
        <v>343</v>
      </c>
      <c r="B344">
        <v>1</v>
      </c>
      <c r="C344">
        <v>20</v>
      </c>
      <c r="D344">
        <v>2</v>
      </c>
      <c r="E344">
        <v>599.99</v>
      </c>
      <c r="F344">
        <v>0.2</v>
      </c>
      <c r="G344">
        <f t="shared" si="5"/>
        <v>1199.78</v>
      </c>
      <c r="H344" t="str">
        <f>_xlfn.XLOOKUP(C344,products[Product_ID],products[Product_Name],"not found",0)</f>
        <v>Electra Townie Original 7D EQ - Women's - 2016</v>
      </c>
      <c r="I344" t="e">
        <f>VLOOKUP(products!D344,categories[#All],2,TRUE)</f>
        <v>#N/A</v>
      </c>
    </row>
    <row r="345" spans="1:9" x14ac:dyDescent="0.3">
      <c r="A345">
        <v>344</v>
      </c>
      <c r="B345">
        <v>1</v>
      </c>
      <c r="C345">
        <v>22</v>
      </c>
      <c r="D345">
        <v>1</v>
      </c>
      <c r="E345">
        <v>269.99</v>
      </c>
      <c r="F345">
        <v>0.05</v>
      </c>
      <c r="G345">
        <f t="shared" si="5"/>
        <v>269.94</v>
      </c>
      <c r="H345" t="str">
        <f>_xlfn.XLOOKUP(C345,products[Product_ID],products[Product_Name],"not found",0)</f>
        <v>Electra Girl's Hawaii 1 (16-inch) - 2015/2016</v>
      </c>
      <c r="I345" t="e">
        <f>VLOOKUP(products!D345,categories[#All],2,TRUE)</f>
        <v>#N/A</v>
      </c>
    </row>
    <row r="346" spans="1:9" x14ac:dyDescent="0.3">
      <c r="A346">
        <v>345</v>
      </c>
      <c r="B346">
        <v>1</v>
      </c>
      <c r="C346">
        <v>18</v>
      </c>
      <c r="D346">
        <v>2</v>
      </c>
      <c r="E346">
        <v>449</v>
      </c>
      <c r="F346">
        <v>0.1</v>
      </c>
      <c r="G346">
        <f t="shared" si="5"/>
        <v>897.9</v>
      </c>
      <c r="H346" t="str">
        <f>_xlfn.XLOOKUP(C346,products[Product_ID],products[Product_Name],"not found",0)</f>
        <v>Pure Cycles Western 3-Speed - Women's - 2015/2016</v>
      </c>
      <c r="I346" t="e">
        <f>VLOOKUP(products!D346,categories[#All],2,TRUE)</f>
        <v>#N/A</v>
      </c>
    </row>
    <row r="347" spans="1:9" x14ac:dyDescent="0.3">
      <c r="A347">
        <v>346</v>
      </c>
      <c r="B347">
        <v>1</v>
      </c>
      <c r="C347">
        <v>13</v>
      </c>
      <c r="D347">
        <v>1</v>
      </c>
      <c r="E347">
        <v>269.99</v>
      </c>
      <c r="F347">
        <v>7.0000000000000007E-2</v>
      </c>
      <c r="G347">
        <f t="shared" si="5"/>
        <v>269.92</v>
      </c>
      <c r="H347" t="str">
        <f>_xlfn.XLOOKUP(C347,products[Product_ID],products[Product_Name],"not found",0)</f>
        <v>Electra Cruiser 1 (24-Inch) - 2016</v>
      </c>
      <c r="I347" t="e">
        <f>VLOOKUP(products!D347,categories[#All],2,TRUE)</f>
        <v>#N/A</v>
      </c>
    </row>
    <row r="348" spans="1:9" x14ac:dyDescent="0.3">
      <c r="A348">
        <v>347</v>
      </c>
      <c r="B348">
        <v>1</v>
      </c>
      <c r="C348">
        <v>23</v>
      </c>
      <c r="D348">
        <v>1</v>
      </c>
      <c r="E348">
        <v>299.99</v>
      </c>
      <c r="F348">
        <v>7.0000000000000007E-2</v>
      </c>
      <c r="G348">
        <f t="shared" si="5"/>
        <v>299.92</v>
      </c>
      <c r="H348" t="str">
        <f>_xlfn.XLOOKUP(C348,products[Product_ID],products[Product_Name],"not found",0)</f>
        <v>Electra Girl's Hawaii 1 (20-inch) - 2015/2016</v>
      </c>
      <c r="I348" t="e">
        <f>VLOOKUP(products!D348,categories[#All],2,TRUE)</f>
        <v>#N/A</v>
      </c>
    </row>
    <row r="349" spans="1:9" x14ac:dyDescent="0.3">
      <c r="A349">
        <v>348</v>
      </c>
      <c r="B349">
        <v>1</v>
      </c>
      <c r="C349">
        <v>5</v>
      </c>
      <c r="D349">
        <v>2</v>
      </c>
      <c r="E349">
        <v>1320.99</v>
      </c>
      <c r="F349">
        <v>0.05</v>
      </c>
      <c r="G349">
        <f t="shared" si="5"/>
        <v>2641.93</v>
      </c>
      <c r="H349" t="str">
        <f>_xlfn.XLOOKUP(C349,products[Product_ID],products[Product_Name],"not found",0)</f>
        <v>Heller Shagamaw Frame - 2016</v>
      </c>
      <c r="I349" t="e">
        <f>VLOOKUP(products!D349,categories[#All],2,TRUE)</f>
        <v>#N/A</v>
      </c>
    </row>
    <row r="350" spans="1:9" x14ac:dyDescent="0.3">
      <c r="A350">
        <v>349</v>
      </c>
      <c r="B350">
        <v>1</v>
      </c>
      <c r="C350">
        <v>20</v>
      </c>
      <c r="D350">
        <v>2</v>
      </c>
      <c r="E350">
        <v>599.99</v>
      </c>
      <c r="F350">
        <v>0.2</v>
      </c>
      <c r="G350">
        <f t="shared" si="5"/>
        <v>1199.78</v>
      </c>
      <c r="H350" t="str">
        <f>_xlfn.XLOOKUP(C350,products[Product_ID],products[Product_Name],"not found",0)</f>
        <v>Electra Townie Original 7D EQ - Women's - 2016</v>
      </c>
      <c r="I350" t="e">
        <f>VLOOKUP(products!D350,categories[#All],2,TRUE)</f>
        <v>#N/A</v>
      </c>
    </row>
    <row r="351" spans="1:9" x14ac:dyDescent="0.3">
      <c r="A351">
        <v>350</v>
      </c>
      <c r="B351">
        <v>1</v>
      </c>
      <c r="C351">
        <v>6</v>
      </c>
      <c r="D351">
        <v>2</v>
      </c>
      <c r="E351">
        <v>469.99</v>
      </c>
      <c r="F351">
        <v>0.05</v>
      </c>
      <c r="G351">
        <f t="shared" si="5"/>
        <v>939.93000000000006</v>
      </c>
      <c r="H351" t="str">
        <f>_xlfn.XLOOKUP(C351,products[Product_ID],products[Product_Name],"not found",0)</f>
        <v>Surly Ice Cream Truck Frameset - 2016</v>
      </c>
      <c r="I351" t="e">
        <f>VLOOKUP(products!D351,categories[#All],2,TRUE)</f>
        <v>#N/A</v>
      </c>
    </row>
    <row r="352" spans="1:9" x14ac:dyDescent="0.3">
      <c r="A352">
        <v>351</v>
      </c>
      <c r="B352">
        <v>1</v>
      </c>
      <c r="C352">
        <v>4</v>
      </c>
      <c r="D352">
        <v>2</v>
      </c>
      <c r="E352">
        <v>2899.99</v>
      </c>
      <c r="F352">
        <v>0.05</v>
      </c>
      <c r="G352">
        <f t="shared" si="5"/>
        <v>5799.9299999999994</v>
      </c>
      <c r="H352" t="str">
        <f>_xlfn.XLOOKUP(C352,products[Product_ID],products[Product_Name],"not found",0)</f>
        <v>Trek Fuel EX 8 29 - 2016</v>
      </c>
      <c r="I352" t="e">
        <f>VLOOKUP(products!D352,categories[#All],2,TRUE)</f>
        <v>#N/A</v>
      </c>
    </row>
    <row r="353" spans="1:9" x14ac:dyDescent="0.3">
      <c r="A353">
        <v>352</v>
      </c>
      <c r="B353">
        <v>1</v>
      </c>
      <c r="C353">
        <v>11</v>
      </c>
      <c r="D353">
        <v>1</v>
      </c>
      <c r="E353">
        <v>1680.99</v>
      </c>
      <c r="F353">
        <v>0.2</v>
      </c>
      <c r="G353">
        <f t="shared" si="5"/>
        <v>1680.79</v>
      </c>
      <c r="H353" t="str">
        <f>_xlfn.XLOOKUP(C353,products[Product_ID],products[Product_Name],"not found",0)</f>
        <v>Surly Straggler 650b - 2016</v>
      </c>
      <c r="I353" t="e">
        <f>VLOOKUP(products!D353,categories[#All],2,TRUE)</f>
        <v>#N/A</v>
      </c>
    </row>
    <row r="354" spans="1:9" x14ac:dyDescent="0.3">
      <c r="A354">
        <v>353</v>
      </c>
      <c r="B354">
        <v>1</v>
      </c>
      <c r="C354">
        <v>2</v>
      </c>
      <c r="D354">
        <v>2</v>
      </c>
      <c r="E354">
        <v>749.99</v>
      </c>
      <c r="F354">
        <v>0.2</v>
      </c>
      <c r="G354">
        <f t="shared" si="5"/>
        <v>1499.78</v>
      </c>
      <c r="H354" t="str">
        <f>_xlfn.XLOOKUP(C354,products[Product_ID],products[Product_Name],"not found",0)</f>
        <v>Ritchey Timberwolf Frameset - 2016</v>
      </c>
      <c r="I354" t="e">
        <f>VLOOKUP(products!D354,categories[#All],2,TRUE)</f>
        <v>#N/A</v>
      </c>
    </row>
    <row r="355" spans="1:9" x14ac:dyDescent="0.3">
      <c r="A355">
        <v>354</v>
      </c>
      <c r="B355">
        <v>1</v>
      </c>
      <c r="C355">
        <v>21</v>
      </c>
      <c r="D355">
        <v>1</v>
      </c>
      <c r="E355">
        <v>269.99</v>
      </c>
      <c r="F355">
        <v>0.2</v>
      </c>
      <c r="G355">
        <f t="shared" si="5"/>
        <v>269.79000000000002</v>
      </c>
      <c r="H355" t="str">
        <f>_xlfn.XLOOKUP(C355,products[Product_ID],products[Product_Name],"not found",0)</f>
        <v>Electra Cruiser 1 (24-Inch) - 2016</v>
      </c>
      <c r="I355" t="e">
        <f>VLOOKUP(products!D355,categories[#All],2,TRUE)</f>
        <v>#N/A</v>
      </c>
    </row>
    <row r="356" spans="1:9" x14ac:dyDescent="0.3">
      <c r="A356">
        <v>355</v>
      </c>
      <c r="B356">
        <v>1</v>
      </c>
      <c r="C356">
        <v>16</v>
      </c>
      <c r="D356">
        <v>1</v>
      </c>
      <c r="E356">
        <v>599.99</v>
      </c>
      <c r="F356">
        <v>0.1</v>
      </c>
      <c r="G356">
        <f t="shared" si="5"/>
        <v>599.89</v>
      </c>
      <c r="H356" t="str">
        <f>_xlfn.XLOOKUP(C356,products[Product_ID],products[Product_Name],"not found",0)</f>
        <v>Electra Townie Original 7D EQ - 2016</v>
      </c>
      <c r="I356" t="e">
        <f>VLOOKUP(products!D356,categories[#All],2,TRUE)</f>
        <v>#N/A</v>
      </c>
    </row>
    <row r="357" spans="1:9" x14ac:dyDescent="0.3">
      <c r="A357">
        <v>356</v>
      </c>
      <c r="B357">
        <v>1</v>
      </c>
      <c r="C357">
        <v>23</v>
      </c>
      <c r="D357">
        <v>2</v>
      </c>
      <c r="E357">
        <v>299.99</v>
      </c>
      <c r="F357">
        <v>0.05</v>
      </c>
      <c r="G357">
        <f t="shared" si="5"/>
        <v>599.93000000000006</v>
      </c>
      <c r="H357" t="str">
        <f>_xlfn.XLOOKUP(C357,products[Product_ID],products[Product_Name],"not found",0)</f>
        <v>Electra Girl's Hawaii 1 (20-inch) - 2015/2016</v>
      </c>
      <c r="I357" t="e">
        <f>VLOOKUP(products!D357,categories[#All],2,TRUE)</f>
        <v>#N/A</v>
      </c>
    </row>
    <row r="358" spans="1:9" x14ac:dyDescent="0.3">
      <c r="A358">
        <v>357</v>
      </c>
      <c r="B358">
        <v>1</v>
      </c>
      <c r="C358">
        <v>17</v>
      </c>
      <c r="D358">
        <v>2</v>
      </c>
      <c r="E358">
        <v>429</v>
      </c>
      <c r="F358">
        <v>0.05</v>
      </c>
      <c r="G358">
        <f t="shared" si="5"/>
        <v>857.95</v>
      </c>
      <c r="H358" t="str">
        <f>_xlfn.XLOOKUP(C358,products[Product_ID],products[Product_Name],"not found",0)</f>
        <v>Pure Cycles Vine 8-Speed - 2016</v>
      </c>
      <c r="I358" t="e">
        <f>VLOOKUP(products!D358,categories[#All],2,TRUE)</f>
        <v>#N/A</v>
      </c>
    </row>
    <row r="359" spans="1:9" x14ac:dyDescent="0.3">
      <c r="A359">
        <v>358</v>
      </c>
      <c r="B359">
        <v>1</v>
      </c>
      <c r="C359">
        <v>21</v>
      </c>
      <c r="D359">
        <v>2</v>
      </c>
      <c r="E359">
        <v>269.99</v>
      </c>
      <c r="F359">
        <v>0.1</v>
      </c>
      <c r="G359">
        <f t="shared" si="5"/>
        <v>539.88</v>
      </c>
      <c r="H359" t="str">
        <f>_xlfn.XLOOKUP(C359,products[Product_ID],products[Product_Name],"not found",0)</f>
        <v>Electra Cruiser 1 (24-Inch) - 2016</v>
      </c>
      <c r="I359" t="e">
        <f>VLOOKUP(products!D359,categories[#All],2,TRUE)</f>
        <v>#N/A</v>
      </c>
    </row>
    <row r="360" spans="1:9" x14ac:dyDescent="0.3">
      <c r="A360">
        <v>359</v>
      </c>
      <c r="B360">
        <v>1</v>
      </c>
      <c r="C360">
        <v>15</v>
      </c>
      <c r="D360">
        <v>2</v>
      </c>
      <c r="E360">
        <v>529.99</v>
      </c>
      <c r="F360">
        <v>7.0000000000000007E-2</v>
      </c>
      <c r="G360">
        <f t="shared" si="5"/>
        <v>1059.9100000000001</v>
      </c>
      <c r="H360" t="str">
        <f>_xlfn.XLOOKUP(C360,products[Product_ID],products[Product_Name],"not found",0)</f>
        <v>Electra Moto 1 - 2016</v>
      </c>
      <c r="I360" t="e">
        <f>VLOOKUP(products!D360,categories[#All],2,TRUE)</f>
        <v>#N/A</v>
      </c>
    </row>
    <row r="361" spans="1:9" x14ac:dyDescent="0.3">
      <c r="A361">
        <v>360</v>
      </c>
      <c r="B361">
        <v>1</v>
      </c>
      <c r="C361">
        <v>26</v>
      </c>
      <c r="D361">
        <v>1</v>
      </c>
      <c r="E361">
        <v>599.99</v>
      </c>
      <c r="F361">
        <v>0.05</v>
      </c>
      <c r="G361">
        <f t="shared" si="5"/>
        <v>599.94000000000005</v>
      </c>
      <c r="H361" t="str">
        <f>_xlfn.XLOOKUP(C361,products[Product_ID],products[Product_Name],"not found",0)</f>
        <v>Electra Townie Original 7D EQ - 2016</v>
      </c>
      <c r="I361" t="e">
        <f>VLOOKUP(products!D361,categories[#All],2,TRUE)</f>
        <v>#N/A</v>
      </c>
    </row>
    <row r="362" spans="1:9" x14ac:dyDescent="0.3">
      <c r="A362">
        <v>361</v>
      </c>
      <c r="B362">
        <v>1</v>
      </c>
      <c r="C362">
        <v>24</v>
      </c>
      <c r="D362">
        <v>2</v>
      </c>
      <c r="E362">
        <v>549.99</v>
      </c>
      <c r="F362">
        <v>0.05</v>
      </c>
      <c r="G362">
        <f t="shared" si="5"/>
        <v>1099.93</v>
      </c>
      <c r="H362" t="str">
        <f>_xlfn.XLOOKUP(C362,products[Product_ID],products[Product_Name],"not found",0)</f>
        <v>Electra Townie Original 21D - 2016</v>
      </c>
      <c r="I362" t="e">
        <f>VLOOKUP(products!D362,categories[#All],2,TRUE)</f>
        <v>#N/A</v>
      </c>
    </row>
    <row r="363" spans="1:9" x14ac:dyDescent="0.3">
      <c r="A363">
        <v>362</v>
      </c>
      <c r="B363">
        <v>1</v>
      </c>
      <c r="C363">
        <v>2</v>
      </c>
      <c r="D363">
        <v>1</v>
      </c>
      <c r="E363">
        <v>749.99</v>
      </c>
      <c r="F363">
        <v>7.0000000000000007E-2</v>
      </c>
      <c r="G363">
        <f t="shared" si="5"/>
        <v>749.92</v>
      </c>
      <c r="H363" t="str">
        <f>_xlfn.XLOOKUP(C363,products[Product_ID],products[Product_Name],"not found",0)</f>
        <v>Ritchey Timberwolf Frameset - 2016</v>
      </c>
      <c r="I363" t="e">
        <f>VLOOKUP(products!D363,categories[#All],2,TRUE)</f>
        <v>#N/A</v>
      </c>
    </row>
    <row r="364" spans="1:9" x14ac:dyDescent="0.3">
      <c r="A364">
        <v>363</v>
      </c>
      <c r="B364">
        <v>1</v>
      </c>
      <c r="C364">
        <v>21</v>
      </c>
      <c r="D364">
        <v>2</v>
      </c>
      <c r="E364">
        <v>269.99</v>
      </c>
      <c r="F364">
        <v>0.1</v>
      </c>
      <c r="G364">
        <f t="shared" si="5"/>
        <v>539.88</v>
      </c>
      <c r="H364" t="str">
        <f>_xlfn.XLOOKUP(C364,products[Product_ID],products[Product_Name],"not found",0)</f>
        <v>Electra Cruiser 1 (24-Inch) - 2016</v>
      </c>
      <c r="I364" t="e">
        <f>VLOOKUP(products!D364,categories[#All],2,TRUE)</f>
        <v>#N/A</v>
      </c>
    </row>
    <row r="365" spans="1:9" x14ac:dyDescent="0.3">
      <c r="A365">
        <v>364</v>
      </c>
      <c r="B365">
        <v>1</v>
      </c>
      <c r="C365">
        <v>25</v>
      </c>
      <c r="D365">
        <v>2</v>
      </c>
      <c r="E365">
        <v>499.99</v>
      </c>
      <c r="F365">
        <v>0.05</v>
      </c>
      <c r="G365">
        <f t="shared" si="5"/>
        <v>999.93000000000006</v>
      </c>
      <c r="H365" t="str">
        <f>_xlfn.XLOOKUP(C365,products[Product_ID],products[Product_Name],"not found",0)</f>
        <v>Electra Townie Original 7D - 2015/2016</v>
      </c>
      <c r="I365" t="e">
        <f>VLOOKUP(products!D365,categories[#All],2,TRUE)</f>
        <v>#N/A</v>
      </c>
    </row>
    <row r="366" spans="1:9" x14ac:dyDescent="0.3">
      <c r="A366">
        <v>365</v>
      </c>
      <c r="B366">
        <v>1</v>
      </c>
      <c r="C366">
        <v>24</v>
      </c>
      <c r="D366">
        <v>2</v>
      </c>
      <c r="E366">
        <v>549.99</v>
      </c>
      <c r="F366">
        <v>7.0000000000000007E-2</v>
      </c>
      <c r="G366">
        <f t="shared" si="5"/>
        <v>1099.9100000000001</v>
      </c>
      <c r="H366" t="str">
        <f>_xlfn.XLOOKUP(C366,products[Product_ID],products[Product_Name],"not found",0)</f>
        <v>Electra Townie Original 21D - 2016</v>
      </c>
      <c r="I366" t="e">
        <f>VLOOKUP(products!D366,categories[#All],2,TRUE)</f>
        <v>#N/A</v>
      </c>
    </row>
    <row r="367" spans="1:9" x14ac:dyDescent="0.3">
      <c r="A367">
        <v>366</v>
      </c>
      <c r="B367">
        <v>1</v>
      </c>
      <c r="C367">
        <v>21</v>
      </c>
      <c r="D367">
        <v>1</v>
      </c>
      <c r="E367">
        <v>269.99</v>
      </c>
      <c r="F367">
        <v>0.1</v>
      </c>
      <c r="G367">
        <f t="shared" si="5"/>
        <v>269.89</v>
      </c>
      <c r="H367" t="str">
        <f>_xlfn.XLOOKUP(C367,products[Product_ID],products[Product_Name],"not found",0)</f>
        <v>Electra Cruiser 1 (24-Inch) - 2016</v>
      </c>
      <c r="I367" t="e">
        <f>VLOOKUP(products!D367,categories[#All],2,TRUE)</f>
        <v>#N/A</v>
      </c>
    </row>
    <row r="368" spans="1:9" x14ac:dyDescent="0.3">
      <c r="A368">
        <v>367</v>
      </c>
      <c r="B368">
        <v>1</v>
      </c>
      <c r="C368">
        <v>26</v>
      </c>
      <c r="D368">
        <v>2</v>
      </c>
      <c r="E368">
        <v>599.99</v>
      </c>
      <c r="F368">
        <v>0.1</v>
      </c>
      <c r="G368">
        <f t="shared" si="5"/>
        <v>1199.8800000000001</v>
      </c>
      <c r="H368" t="str">
        <f>_xlfn.XLOOKUP(C368,products[Product_ID],products[Product_Name],"not found",0)</f>
        <v>Electra Townie Original 7D EQ - 2016</v>
      </c>
      <c r="I368" t="e">
        <f>VLOOKUP(products!D368,categories[#All],2,TRUE)</f>
        <v>#N/A</v>
      </c>
    </row>
    <row r="369" spans="1:9" x14ac:dyDescent="0.3">
      <c r="A369">
        <v>368</v>
      </c>
      <c r="B369">
        <v>1</v>
      </c>
      <c r="C369">
        <v>5</v>
      </c>
      <c r="D369">
        <v>1</v>
      </c>
      <c r="E369">
        <v>1320.99</v>
      </c>
      <c r="F369">
        <v>0.2</v>
      </c>
      <c r="G369">
        <f t="shared" si="5"/>
        <v>1320.79</v>
      </c>
      <c r="H369" t="str">
        <f>_xlfn.XLOOKUP(C369,products[Product_ID],products[Product_Name],"not found",0)</f>
        <v>Heller Shagamaw Frame - 2016</v>
      </c>
      <c r="I369" t="e">
        <f>VLOOKUP(products!D369,categories[#All],2,TRUE)</f>
        <v>#N/A</v>
      </c>
    </row>
    <row r="370" spans="1:9" x14ac:dyDescent="0.3">
      <c r="A370">
        <v>369</v>
      </c>
      <c r="B370">
        <v>1</v>
      </c>
      <c r="C370">
        <v>10</v>
      </c>
      <c r="D370">
        <v>2</v>
      </c>
      <c r="E370">
        <v>1549</v>
      </c>
      <c r="F370">
        <v>7.0000000000000007E-2</v>
      </c>
      <c r="G370">
        <f t="shared" si="5"/>
        <v>3097.93</v>
      </c>
      <c r="H370" t="str">
        <f>_xlfn.XLOOKUP(C370,products[Product_ID],products[Product_Name],"not found",0)</f>
        <v>Surly Straggler - 2016</v>
      </c>
      <c r="I370" t="e">
        <f>VLOOKUP(products!D370,categories[#All],2,TRUE)</f>
        <v>#N/A</v>
      </c>
    </row>
    <row r="371" spans="1:9" x14ac:dyDescent="0.3">
      <c r="A371">
        <v>370</v>
      </c>
      <c r="B371">
        <v>1</v>
      </c>
      <c r="C371">
        <v>25</v>
      </c>
      <c r="D371">
        <v>2</v>
      </c>
      <c r="E371">
        <v>499.99</v>
      </c>
      <c r="F371">
        <v>0.05</v>
      </c>
      <c r="G371">
        <f t="shared" si="5"/>
        <v>999.93000000000006</v>
      </c>
      <c r="H371" t="str">
        <f>_xlfn.XLOOKUP(C371,products[Product_ID],products[Product_Name],"not found",0)</f>
        <v>Electra Townie Original 7D - 2015/2016</v>
      </c>
      <c r="I371" t="e">
        <f>VLOOKUP(products!D371,categories[#All],2,TRUE)</f>
        <v>#N/A</v>
      </c>
    </row>
    <row r="372" spans="1:9" x14ac:dyDescent="0.3">
      <c r="A372">
        <v>371</v>
      </c>
      <c r="B372">
        <v>1</v>
      </c>
      <c r="C372">
        <v>14</v>
      </c>
      <c r="D372">
        <v>1</v>
      </c>
      <c r="E372">
        <v>269.99</v>
      </c>
      <c r="F372">
        <v>0.2</v>
      </c>
      <c r="G372">
        <f t="shared" si="5"/>
        <v>269.79000000000002</v>
      </c>
      <c r="H372" t="str">
        <f>_xlfn.XLOOKUP(C372,products[Product_ID],products[Product_Name],"not found",0)</f>
        <v>Electra Girl's Hawaii 1 (16-inch) - 2015/2016</v>
      </c>
      <c r="I372" t="e">
        <f>VLOOKUP(products!D372,categories[#All],2,TRUE)</f>
        <v>#N/A</v>
      </c>
    </row>
    <row r="373" spans="1:9" x14ac:dyDescent="0.3">
      <c r="A373">
        <v>372</v>
      </c>
      <c r="B373">
        <v>1</v>
      </c>
      <c r="C373">
        <v>11</v>
      </c>
      <c r="D373">
        <v>1</v>
      </c>
      <c r="E373">
        <v>1680.99</v>
      </c>
      <c r="F373">
        <v>0.05</v>
      </c>
      <c r="G373">
        <f t="shared" si="5"/>
        <v>1680.94</v>
      </c>
      <c r="H373" t="str">
        <f>_xlfn.XLOOKUP(C373,products[Product_ID],products[Product_Name],"not found",0)</f>
        <v>Surly Straggler 650b - 2016</v>
      </c>
      <c r="I373" t="e">
        <f>VLOOKUP(products!D373,categories[#All],2,TRUE)</f>
        <v>#N/A</v>
      </c>
    </row>
    <row r="374" spans="1:9" x14ac:dyDescent="0.3">
      <c r="A374">
        <v>373</v>
      </c>
      <c r="B374">
        <v>1</v>
      </c>
      <c r="C374">
        <v>8</v>
      </c>
      <c r="D374">
        <v>2</v>
      </c>
      <c r="E374">
        <v>1799.99</v>
      </c>
      <c r="F374">
        <v>0.05</v>
      </c>
      <c r="G374">
        <f t="shared" si="5"/>
        <v>3599.93</v>
      </c>
      <c r="H374" t="str">
        <f>_xlfn.XLOOKUP(C374,products[Product_ID],products[Product_Name],"not found",0)</f>
        <v>Trek Remedy 29 Carbon Frameset - 2016</v>
      </c>
      <c r="I374" t="e">
        <f>VLOOKUP(products!D374,categories[#All],2,TRUE)</f>
        <v>#N/A</v>
      </c>
    </row>
    <row r="375" spans="1:9" x14ac:dyDescent="0.3">
      <c r="A375">
        <v>374</v>
      </c>
      <c r="B375">
        <v>1</v>
      </c>
      <c r="C375">
        <v>10</v>
      </c>
      <c r="D375">
        <v>1</v>
      </c>
      <c r="E375">
        <v>1549</v>
      </c>
      <c r="F375">
        <v>0.1</v>
      </c>
      <c r="G375">
        <f t="shared" si="5"/>
        <v>1548.9</v>
      </c>
      <c r="H375" t="str">
        <f>_xlfn.XLOOKUP(C375,products[Product_ID],products[Product_Name],"not found",0)</f>
        <v>Surly Straggler - 2016</v>
      </c>
      <c r="I375" t="e">
        <f>VLOOKUP(products!D375,categories[#All],2,TRUE)</f>
        <v>#N/A</v>
      </c>
    </row>
    <row r="376" spans="1:9" x14ac:dyDescent="0.3">
      <c r="A376">
        <v>375</v>
      </c>
      <c r="B376">
        <v>1</v>
      </c>
      <c r="C376">
        <v>21</v>
      </c>
      <c r="D376">
        <v>2</v>
      </c>
      <c r="E376">
        <v>269.99</v>
      </c>
      <c r="F376">
        <v>0.05</v>
      </c>
      <c r="G376">
        <f t="shared" si="5"/>
        <v>539.93000000000006</v>
      </c>
      <c r="H376" t="str">
        <f>_xlfn.XLOOKUP(C376,products[Product_ID],products[Product_Name],"not found",0)</f>
        <v>Electra Cruiser 1 (24-Inch) - 2016</v>
      </c>
      <c r="I376" t="e">
        <f>VLOOKUP(products!D376,categories[#All],2,TRUE)</f>
        <v>#N/A</v>
      </c>
    </row>
    <row r="377" spans="1:9" x14ac:dyDescent="0.3">
      <c r="A377">
        <v>376</v>
      </c>
      <c r="B377">
        <v>1</v>
      </c>
      <c r="C377">
        <v>2</v>
      </c>
      <c r="D377">
        <v>2</v>
      </c>
      <c r="E377">
        <v>749.99</v>
      </c>
      <c r="F377">
        <v>7.0000000000000007E-2</v>
      </c>
      <c r="G377">
        <f t="shared" si="5"/>
        <v>1499.91</v>
      </c>
      <c r="H377" t="str">
        <f>_xlfn.XLOOKUP(C377,products[Product_ID],products[Product_Name],"not found",0)</f>
        <v>Ritchey Timberwolf Frameset - 2016</v>
      </c>
      <c r="I377" t="e">
        <f>VLOOKUP(products!D377,categories[#All],2,TRUE)</f>
        <v>#N/A</v>
      </c>
    </row>
    <row r="378" spans="1:9" x14ac:dyDescent="0.3">
      <c r="A378">
        <v>377</v>
      </c>
      <c r="B378">
        <v>1</v>
      </c>
      <c r="C378">
        <v>8</v>
      </c>
      <c r="D378">
        <v>1</v>
      </c>
      <c r="E378">
        <v>1799.99</v>
      </c>
      <c r="F378">
        <v>0.05</v>
      </c>
      <c r="G378">
        <f t="shared" si="5"/>
        <v>1799.94</v>
      </c>
      <c r="H378" t="str">
        <f>_xlfn.XLOOKUP(C378,products[Product_ID],products[Product_Name],"not found",0)</f>
        <v>Trek Remedy 29 Carbon Frameset - 2016</v>
      </c>
      <c r="I378" t="e">
        <f>VLOOKUP(products!D378,categories[#All],2,TRUE)</f>
        <v>#N/A</v>
      </c>
    </row>
    <row r="379" spans="1:9" x14ac:dyDescent="0.3">
      <c r="A379">
        <v>378</v>
      </c>
      <c r="B379">
        <v>1</v>
      </c>
      <c r="C379">
        <v>26</v>
      </c>
      <c r="D379">
        <v>2</v>
      </c>
      <c r="E379">
        <v>599.99</v>
      </c>
      <c r="F379">
        <v>0.05</v>
      </c>
      <c r="G379">
        <f t="shared" si="5"/>
        <v>1199.93</v>
      </c>
      <c r="H379" t="str">
        <f>_xlfn.XLOOKUP(C379,products[Product_ID],products[Product_Name],"not found",0)</f>
        <v>Electra Townie Original 7D EQ - 2016</v>
      </c>
      <c r="I379" t="e">
        <f>VLOOKUP(products!D379,categories[#All],2,TRUE)</f>
        <v>#N/A</v>
      </c>
    </row>
    <row r="380" spans="1:9" x14ac:dyDescent="0.3">
      <c r="A380">
        <v>379</v>
      </c>
      <c r="B380">
        <v>1</v>
      </c>
      <c r="C380">
        <v>9</v>
      </c>
      <c r="D380">
        <v>1</v>
      </c>
      <c r="E380">
        <v>2999.99</v>
      </c>
      <c r="F380">
        <v>7.0000000000000007E-2</v>
      </c>
      <c r="G380">
        <f t="shared" si="5"/>
        <v>2999.9199999999996</v>
      </c>
      <c r="H380" t="str">
        <f>_xlfn.XLOOKUP(C380,products[Product_ID],products[Product_Name],"not found",0)</f>
        <v>Trek Conduit+ - 2016</v>
      </c>
      <c r="I380" t="e">
        <f>VLOOKUP(products!D380,categories[#All],2,TRUE)</f>
        <v>#N/A</v>
      </c>
    </row>
    <row r="381" spans="1:9" x14ac:dyDescent="0.3">
      <c r="A381">
        <v>380</v>
      </c>
      <c r="B381">
        <v>1</v>
      </c>
      <c r="C381">
        <v>16</v>
      </c>
      <c r="D381">
        <v>1</v>
      </c>
      <c r="E381">
        <v>599.99</v>
      </c>
      <c r="F381">
        <v>0.05</v>
      </c>
      <c r="G381">
        <f t="shared" si="5"/>
        <v>599.94000000000005</v>
      </c>
      <c r="H381" t="str">
        <f>_xlfn.XLOOKUP(C381,products[Product_ID],products[Product_Name],"not found",0)</f>
        <v>Electra Townie Original 7D EQ - 2016</v>
      </c>
      <c r="I381" t="e">
        <f>VLOOKUP(products!D381,categories[#All],2,TRUE)</f>
        <v>#N/A</v>
      </c>
    </row>
    <row r="382" spans="1:9" x14ac:dyDescent="0.3">
      <c r="A382">
        <v>381</v>
      </c>
      <c r="B382">
        <v>1</v>
      </c>
      <c r="C382">
        <v>21</v>
      </c>
      <c r="D382">
        <v>2</v>
      </c>
      <c r="E382">
        <v>269.99</v>
      </c>
      <c r="F382">
        <v>7.0000000000000007E-2</v>
      </c>
      <c r="G382">
        <f t="shared" si="5"/>
        <v>539.91</v>
      </c>
      <c r="H382" t="str">
        <f>_xlfn.XLOOKUP(C382,products[Product_ID],products[Product_Name],"not found",0)</f>
        <v>Electra Cruiser 1 (24-Inch) - 2016</v>
      </c>
      <c r="I382" t="e">
        <f>VLOOKUP(products!D382,categories[#All],2,TRUE)</f>
        <v>#N/A</v>
      </c>
    </row>
    <row r="383" spans="1:9" x14ac:dyDescent="0.3">
      <c r="A383">
        <v>382</v>
      </c>
      <c r="B383">
        <v>1</v>
      </c>
      <c r="C383">
        <v>8</v>
      </c>
      <c r="D383">
        <v>1</v>
      </c>
      <c r="E383">
        <v>1799.99</v>
      </c>
      <c r="F383">
        <v>0.1</v>
      </c>
      <c r="G383">
        <f t="shared" si="5"/>
        <v>1799.89</v>
      </c>
      <c r="H383" t="str">
        <f>_xlfn.XLOOKUP(C383,products[Product_ID],products[Product_Name],"not found",0)</f>
        <v>Trek Remedy 29 Carbon Frameset - 2016</v>
      </c>
      <c r="I383" t="e">
        <f>VLOOKUP(products!D383,categories[#All],2,TRUE)</f>
        <v>#N/A</v>
      </c>
    </row>
    <row r="384" spans="1:9" x14ac:dyDescent="0.3">
      <c r="A384">
        <v>383</v>
      </c>
      <c r="B384">
        <v>1</v>
      </c>
      <c r="C384">
        <v>19</v>
      </c>
      <c r="D384">
        <v>1</v>
      </c>
      <c r="E384">
        <v>449</v>
      </c>
      <c r="F384">
        <v>7.0000000000000007E-2</v>
      </c>
      <c r="G384">
        <f t="shared" si="5"/>
        <v>448.93</v>
      </c>
      <c r="H384" t="str">
        <f>_xlfn.XLOOKUP(C384,products[Product_ID],products[Product_Name],"not found",0)</f>
        <v>Pure Cycles William 3-Speed - 2016</v>
      </c>
      <c r="I384" t="e">
        <f>VLOOKUP(products!D384,categories[#All],2,TRUE)</f>
        <v>#N/A</v>
      </c>
    </row>
    <row r="385" spans="1:9" x14ac:dyDescent="0.3">
      <c r="A385">
        <v>384</v>
      </c>
      <c r="B385">
        <v>1</v>
      </c>
      <c r="C385">
        <v>20</v>
      </c>
      <c r="D385">
        <v>1</v>
      </c>
      <c r="E385">
        <v>599.99</v>
      </c>
      <c r="F385">
        <v>0.1</v>
      </c>
      <c r="G385">
        <f t="shared" si="5"/>
        <v>599.89</v>
      </c>
      <c r="H385" t="str">
        <f>_xlfn.XLOOKUP(C385,products[Product_ID],products[Product_Name],"not found",0)</f>
        <v>Electra Townie Original 7D EQ - Women's - 2016</v>
      </c>
      <c r="I385" t="e">
        <f>VLOOKUP(products!D385,categories[#All],2,TRUE)</f>
        <v>#N/A</v>
      </c>
    </row>
    <row r="386" spans="1:9" x14ac:dyDescent="0.3">
      <c r="A386">
        <v>385</v>
      </c>
      <c r="B386">
        <v>1</v>
      </c>
      <c r="C386">
        <v>21</v>
      </c>
      <c r="D386">
        <v>1</v>
      </c>
      <c r="E386">
        <v>269.99</v>
      </c>
      <c r="F386">
        <v>7.0000000000000007E-2</v>
      </c>
      <c r="G386">
        <f t="shared" ref="G386:G449" si="6">(E386*D386)-F386</f>
        <v>269.92</v>
      </c>
      <c r="H386" t="str">
        <f>_xlfn.XLOOKUP(C386,products[Product_ID],products[Product_Name],"not found",0)</f>
        <v>Electra Cruiser 1 (24-Inch) - 2016</v>
      </c>
      <c r="I386" t="e">
        <f>VLOOKUP(products!D386,categories[#All],2,TRUE)</f>
        <v>#N/A</v>
      </c>
    </row>
    <row r="387" spans="1:9" x14ac:dyDescent="0.3">
      <c r="A387">
        <v>386</v>
      </c>
      <c r="B387">
        <v>1</v>
      </c>
      <c r="C387">
        <v>8</v>
      </c>
      <c r="D387">
        <v>1</v>
      </c>
      <c r="E387">
        <v>1799.99</v>
      </c>
      <c r="F387">
        <v>0.2</v>
      </c>
      <c r="G387">
        <f t="shared" si="6"/>
        <v>1799.79</v>
      </c>
      <c r="H387" t="str">
        <f>_xlfn.XLOOKUP(C387,products[Product_ID],products[Product_Name],"not found",0)</f>
        <v>Trek Remedy 29 Carbon Frameset - 2016</v>
      </c>
      <c r="I387" t="e">
        <f>VLOOKUP(products!D387,categories[#All],2,TRUE)</f>
        <v>#N/A</v>
      </c>
    </row>
    <row r="388" spans="1:9" x14ac:dyDescent="0.3">
      <c r="A388">
        <v>387</v>
      </c>
      <c r="B388">
        <v>1</v>
      </c>
      <c r="C388">
        <v>18</v>
      </c>
      <c r="D388">
        <v>1</v>
      </c>
      <c r="E388">
        <v>449</v>
      </c>
      <c r="F388">
        <v>0.2</v>
      </c>
      <c r="G388">
        <f t="shared" si="6"/>
        <v>448.8</v>
      </c>
      <c r="H388" t="str">
        <f>_xlfn.XLOOKUP(C388,products[Product_ID],products[Product_Name],"not found",0)</f>
        <v>Pure Cycles Western 3-Speed - Women's - 2015/2016</v>
      </c>
      <c r="I388" t="e">
        <f>VLOOKUP(products!D388,categories[#All],2,TRUE)</f>
        <v>#N/A</v>
      </c>
    </row>
    <row r="389" spans="1:9" x14ac:dyDescent="0.3">
      <c r="A389">
        <v>388</v>
      </c>
      <c r="B389">
        <v>1</v>
      </c>
      <c r="C389">
        <v>19</v>
      </c>
      <c r="D389">
        <v>2</v>
      </c>
      <c r="E389">
        <v>449</v>
      </c>
      <c r="F389">
        <v>0.2</v>
      </c>
      <c r="G389">
        <f t="shared" si="6"/>
        <v>897.8</v>
      </c>
      <c r="H389" t="str">
        <f>_xlfn.XLOOKUP(C389,products[Product_ID],products[Product_Name],"not found",0)</f>
        <v>Pure Cycles William 3-Speed - 2016</v>
      </c>
      <c r="I389" t="e">
        <f>VLOOKUP(products!D389,categories[#All],2,TRUE)</f>
        <v>#N/A</v>
      </c>
    </row>
    <row r="390" spans="1:9" x14ac:dyDescent="0.3">
      <c r="A390">
        <v>389</v>
      </c>
      <c r="B390">
        <v>1</v>
      </c>
      <c r="C390">
        <v>2</v>
      </c>
      <c r="D390">
        <v>1</v>
      </c>
      <c r="E390">
        <v>749.99</v>
      </c>
      <c r="F390">
        <v>7.0000000000000007E-2</v>
      </c>
      <c r="G390">
        <f t="shared" si="6"/>
        <v>749.92</v>
      </c>
      <c r="H390" t="str">
        <f>_xlfn.XLOOKUP(C390,products[Product_ID],products[Product_Name],"not found",0)</f>
        <v>Ritchey Timberwolf Frameset - 2016</v>
      </c>
      <c r="I390" t="e">
        <f>VLOOKUP(products!D390,categories[#All],2,TRUE)</f>
        <v>#N/A</v>
      </c>
    </row>
    <row r="391" spans="1:9" x14ac:dyDescent="0.3">
      <c r="A391">
        <v>390</v>
      </c>
      <c r="B391">
        <v>1</v>
      </c>
      <c r="C391">
        <v>23</v>
      </c>
      <c r="D391">
        <v>1</v>
      </c>
      <c r="E391">
        <v>299.99</v>
      </c>
      <c r="F391">
        <v>0.05</v>
      </c>
      <c r="G391">
        <f t="shared" si="6"/>
        <v>299.94</v>
      </c>
      <c r="H391" t="str">
        <f>_xlfn.XLOOKUP(C391,products[Product_ID],products[Product_Name],"not found",0)</f>
        <v>Electra Girl's Hawaii 1 (20-inch) - 2015/2016</v>
      </c>
      <c r="I391" t="e">
        <f>VLOOKUP(products!D391,categories[#All],2,TRUE)</f>
        <v>#N/A</v>
      </c>
    </row>
    <row r="392" spans="1:9" x14ac:dyDescent="0.3">
      <c r="A392">
        <v>391</v>
      </c>
      <c r="B392">
        <v>1</v>
      </c>
      <c r="C392">
        <v>8</v>
      </c>
      <c r="D392">
        <v>1</v>
      </c>
      <c r="E392">
        <v>1799.99</v>
      </c>
      <c r="F392">
        <v>7.0000000000000007E-2</v>
      </c>
      <c r="G392">
        <f t="shared" si="6"/>
        <v>1799.92</v>
      </c>
      <c r="H392" t="str">
        <f>_xlfn.XLOOKUP(C392,products[Product_ID],products[Product_Name],"not found",0)</f>
        <v>Trek Remedy 29 Carbon Frameset - 2016</v>
      </c>
      <c r="I392" t="e">
        <f>VLOOKUP(products!D392,categories[#All],2,TRUE)</f>
        <v>#N/A</v>
      </c>
    </row>
    <row r="393" spans="1:9" x14ac:dyDescent="0.3">
      <c r="A393">
        <v>392</v>
      </c>
      <c r="B393">
        <v>1</v>
      </c>
      <c r="C393">
        <v>14</v>
      </c>
      <c r="D393">
        <v>2</v>
      </c>
      <c r="E393">
        <v>269.99</v>
      </c>
      <c r="F393">
        <v>0.1</v>
      </c>
      <c r="G393">
        <f t="shared" si="6"/>
        <v>539.88</v>
      </c>
      <c r="H393" t="str">
        <f>_xlfn.XLOOKUP(C393,products[Product_ID],products[Product_Name],"not found",0)</f>
        <v>Electra Girl's Hawaii 1 (16-inch) - 2015/2016</v>
      </c>
      <c r="I393" t="e">
        <f>VLOOKUP(products!D393,categories[#All],2,TRUE)</f>
        <v>#N/A</v>
      </c>
    </row>
    <row r="394" spans="1:9" x14ac:dyDescent="0.3">
      <c r="A394">
        <v>393</v>
      </c>
      <c r="B394">
        <v>1</v>
      </c>
      <c r="C394">
        <v>6</v>
      </c>
      <c r="D394">
        <v>2</v>
      </c>
      <c r="E394">
        <v>469.99</v>
      </c>
      <c r="F394">
        <v>0.2</v>
      </c>
      <c r="G394">
        <f t="shared" si="6"/>
        <v>939.78</v>
      </c>
      <c r="H394" t="str">
        <f>_xlfn.XLOOKUP(C394,products[Product_ID],products[Product_Name],"not found",0)</f>
        <v>Surly Ice Cream Truck Frameset - 2016</v>
      </c>
      <c r="I394" t="e">
        <f>VLOOKUP(products!D394,categories[#All],2,TRUE)</f>
        <v>#N/A</v>
      </c>
    </row>
    <row r="395" spans="1:9" x14ac:dyDescent="0.3">
      <c r="A395">
        <v>394</v>
      </c>
      <c r="B395">
        <v>1</v>
      </c>
      <c r="C395">
        <v>23</v>
      </c>
      <c r="D395">
        <v>1</v>
      </c>
      <c r="E395">
        <v>299.99</v>
      </c>
      <c r="F395">
        <v>0.05</v>
      </c>
      <c r="G395">
        <f t="shared" si="6"/>
        <v>299.94</v>
      </c>
      <c r="H395" t="str">
        <f>_xlfn.XLOOKUP(C395,products[Product_ID],products[Product_Name],"not found",0)</f>
        <v>Electra Girl's Hawaii 1 (20-inch) - 2015/2016</v>
      </c>
      <c r="I395" t="e">
        <f>VLOOKUP(products!D395,categories[#All],2,TRUE)</f>
        <v>#N/A</v>
      </c>
    </row>
    <row r="396" spans="1:9" x14ac:dyDescent="0.3">
      <c r="A396">
        <v>395</v>
      </c>
      <c r="B396">
        <v>1</v>
      </c>
      <c r="C396">
        <v>14</v>
      </c>
      <c r="D396">
        <v>1</v>
      </c>
      <c r="E396">
        <v>269.99</v>
      </c>
      <c r="F396">
        <v>0.05</v>
      </c>
      <c r="G396">
        <f t="shared" si="6"/>
        <v>269.94</v>
      </c>
      <c r="H396" t="str">
        <f>_xlfn.XLOOKUP(C396,products[Product_ID],products[Product_Name],"not found",0)</f>
        <v>Electra Girl's Hawaii 1 (16-inch) - 2015/2016</v>
      </c>
      <c r="I396" t="e">
        <f>VLOOKUP(products!D396,categories[#All],2,TRUE)</f>
        <v>#N/A</v>
      </c>
    </row>
    <row r="397" spans="1:9" x14ac:dyDescent="0.3">
      <c r="A397">
        <v>396</v>
      </c>
      <c r="B397">
        <v>1</v>
      </c>
      <c r="C397">
        <v>12</v>
      </c>
      <c r="D397">
        <v>1</v>
      </c>
      <c r="E397">
        <v>549.99</v>
      </c>
      <c r="F397">
        <v>0.1</v>
      </c>
      <c r="G397">
        <f t="shared" si="6"/>
        <v>549.89</v>
      </c>
      <c r="H397" t="str">
        <f>_xlfn.XLOOKUP(C397,products[Product_ID],products[Product_Name],"not found",0)</f>
        <v>Electra Townie Original 21D - 2016</v>
      </c>
      <c r="I397" t="e">
        <f>VLOOKUP(products!D397,categories[#All],2,TRUE)</f>
        <v>#N/A</v>
      </c>
    </row>
    <row r="398" spans="1:9" x14ac:dyDescent="0.3">
      <c r="A398">
        <v>397</v>
      </c>
      <c r="B398">
        <v>1</v>
      </c>
      <c r="C398">
        <v>7</v>
      </c>
      <c r="D398">
        <v>1</v>
      </c>
      <c r="E398">
        <v>3999.99</v>
      </c>
      <c r="F398">
        <v>0.05</v>
      </c>
      <c r="G398">
        <f t="shared" si="6"/>
        <v>3999.9399999999996</v>
      </c>
      <c r="H398" t="str">
        <f>_xlfn.XLOOKUP(C398,products[Product_ID],products[Product_Name],"not found",0)</f>
        <v>Trek Slash 8 27.5 - 2016</v>
      </c>
      <c r="I398" t="e">
        <f>VLOOKUP(products!D398,categories[#All],2,TRUE)</f>
        <v>#N/A</v>
      </c>
    </row>
    <row r="399" spans="1:9" x14ac:dyDescent="0.3">
      <c r="A399">
        <v>398</v>
      </c>
      <c r="B399">
        <v>1</v>
      </c>
      <c r="C399">
        <v>8</v>
      </c>
      <c r="D399">
        <v>2</v>
      </c>
      <c r="E399">
        <v>1799.99</v>
      </c>
      <c r="F399">
        <v>0.05</v>
      </c>
      <c r="G399">
        <f t="shared" si="6"/>
        <v>3599.93</v>
      </c>
      <c r="H399" t="str">
        <f>_xlfn.XLOOKUP(C399,products[Product_ID],products[Product_Name],"not found",0)</f>
        <v>Trek Remedy 29 Carbon Frameset - 2016</v>
      </c>
      <c r="I399" t="e">
        <f>VLOOKUP(products!D399,categories[#All],2,TRUE)</f>
        <v>#N/A</v>
      </c>
    </row>
    <row r="400" spans="1:9" x14ac:dyDescent="0.3">
      <c r="A400">
        <v>399</v>
      </c>
      <c r="B400">
        <v>1</v>
      </c>
      <c r="C400">
        <v>25</v>
      </c>
      <c r="D400">
        <v>1</v>
      </c>
      <c r="E400">
        <v>499.99</v>
      </c>
      <c r="F400">
        <v>0.05</v>
      </c>
      <c r="G400">
        <f t="shared" si="6"/>
        <v>499.94</v>
      </c>
      <c r="H400" t="str">
        <f>_xlfn.XLOOKUP(C400,products[Product_ID],products[Product_Name],"not found",0)</f>
        <v>Electra Townie Original 7D - 2015/2016</v>
      </c>
      <c r="I400" t="e">
        <f>VLOOKUP(products!D400,categories[#All],2,TRUE)</f>
        <v>#N/A</v>
      </c>
    </row>
    <row r="401" spans="1:9" x14ac:dyDescent="0.3">
      <c r="A401">
        <v>400</v>
      </c>
      <c r="B401">
        <v>1</v>
      </c>
      <c r="C401">
        <v>24</v>
      </c>
      <c r="D401">
        <v>2</v>
      </c>
      <c r="E401">
        <v>549.99</v>
      </c>
      <c r="F401">
        <v>7.0000000000000007E-2</v>
      </c>
      <c r="G401">
        <f t="shared" si="6"/>
        <v>1099.9100000000001</v>
      </c>
      <c r="H401" t="str">
        <f>_xlfn.XLOOKUP(C401,products[Product_ID],products[Product_Name],"not found",0)</f>
        <v>Electra Townie Original 21D - 2016</v>
      </c>
      <c r="I401" t="e">
        <f>VLOOKUP(products!D401,categories[#All],2,TRUE)</f>
        <v>#N/A</v>
      </c>
    </row>
    <row r="402" spans="1:9" x14ac:dyDescent="0.3">
      <c r="A402">
        <v>401</v>
      </c>
      <c r="B402">
        <v>1</v>
      </c>
      <c r="C402">
        <v>23</v>
      </c>
      <c r="D402">
        <v>1</v>
      </c>
      <c r="E402">
        <v>299.99</v>
      </c>
      <c r="F402">
        <v>0.2</v>
      </c>
      <c r="G402">
        <f t="shared" si="6"/>
        <v>299.79000000000002</v>
      </c>
      <c r="H402" t="str">
        <f>_xlfn.XLOOKUP(C402,products[Product_ID],products[Product_Name],"not found",0)</f>
        <v>Electra Girl's Hawaii 1 (20-inch) - 2015/2016</v>
      </c>
      <c r="I402" t="e">
        <f>VLOOKUP(products!D402,categories[#All],2,TRUE)</f>
        <v>#N/A</v>
      </c>
    </row>
    <row r="403" spans="1:9" x14ac:dyDescent="0.3">
      <c r="A403">
        <v>402</v>
      </c>
      <c r="B403">
        <v>1</v>
      </c>
      <c r="C403">
        <v>6</v>
      </c>
      <c r="D403">
        <v>2</v>
      </c>
      <c r="E403">
        <v>469.99</v>
      </c>
      <c r="F403">
        <v>7.0000000000000007E-2</v>
      </c>
      <c r="G403">
        <f t="shared" si="6"/>
        <v>939.91</v>
      </c>
      <c r="H403" t="str">
        <f>_xlfn.XLOOKUP(C403,products[Product_ID],products[Product_Name],"not found",0)</f>
        <v>Surly Ice Cream Truck Frameset - 2016</v>
      </c>
      <c r="I403" t="e">
        <f>VLOOKUP(products!D403,categories[#All],2,TRUE)</f>
        <v>#N/A</v>
      </c>
    </row>
    <row r="404" spans="1:9" x14ac:dyDescent="0.3">
      <c r="A404">
        <v>403</v>
      </c>
      <c r="B404">
        <v>1</v>
      </c>
      <c r="C404">
        <v>12</v>
      </c>
      <c r="D404">
        <v>2</v>
      </c>
      <c r="E404">
        <v>549.99</v>
      </c>
      <c r="F404">
        <v>0.1</v>
      </c>
      <c r="G404">
        <f t="shared" si="6"/>
        <v>1099.8800000000001</v>
      </c>
      <c r="H404" t="str">
        <f>_xlfn.XLOOKUP(C404,products[Product_ID],products[Product_Name],"not found",0)</f>
        <v>Electra Townie Original 21D - 2016</v>
      </c>
      <c r="I404" t="e">
        <f>VLOOKUP(products!D404,categories[#All],2,TRUE)</f>
        <v>#N/A</v>
      </c>
    </row>
    <row r="405" spans="1:9" x14ac:dyDescent="0.3">
      <c r="A405">
        <v>404</v>
      </c>
      <c r="B405">
        <v>1</v>
      </c>
      <c r="C405">
        <v>9</v>
      </c>
      <c r="D405">
        <v>1</v>
      </c>
      <c r="E405">
        <v>2999.99</v>
      </c>
      <c r="F405">
        <v>7.0000000000000007E-2</v>
      </c>
      <c r="G405">
        <f t="shared" si="6"/>
        <v>2999.9199999999996</v>
      </c>
      <c r="H405" t="str">
        <f>_xlfn.XLOOKUP(C405,products[Product_ID],products[Product_Name],"not found",0)</f>
        <v>Trek Conduit+ - 2016</v>
      </c>
      <c r="I405" t="e">
        <f>VLOOKUP(products!D405,categories[#All],2,TRUE)</f>
        <v>#N/A</v>
      </c>
    </row>
    <row r="406" spans="1:9" x14ac:dyDescent="0.3">
      <c r="A406">
        <v>405</v>
      </c>
      <c r="B406">
        <v>1</v>
      </c>
      <c r="C406">
        <v>3</v>
      </c>
      <c r="D406">
        <v>2</v>
      </c>
      <c r="E406">
        <v>999.99</v>
      </c>
      <c r="F406">
        <v>0.2</v>
      </c>
      <c r="G406">
        <f t="shared" si="6"/>
        <v>1999.78</v>
      </c>
      <c r="H406" t="str">
        <f>_xlfn.XLOOKUP(C406,products[Product_ID],products[Product_Name],"not found",0)</f>
        <v>Surly Wednesday Frameset - 2016</v>
      </c>
      <c r="I406" t="e">
        <f>VLOOKUP(products!D406,categories[#All],2,TRUE)</f>
        <v>#N/A</v>
      </c>
    </row>
    <row r="407" spans="1:9" x14ac:dyDescent="0.3">
      <c r="A407">
        <v>406</v>
      </c>
      <c r="B407">
        <v>1</v>
      </c>
      <c r="C407">
        <v>4</v>
      </c>
      <c r="D407">
        <v>1</v>
      </c>
      <c r="E407">
        <v>2899.99</v>
      </c>
      <c r="F407">
        <v>0.2</v>
      </c>
      <c r="G407">
        <f t="shared" si="6"/>
        <v>2899.79</v>
      </c>
      <c r="H407" t="str">
        <f>_xlfn.XLOOKUP(C407,products[Product_ID],products[Product_Name],"not found",0)</f>
        <v>Trek Fuel EX 8 29 - 2016</v>
      </c>
      <c r="I407" t="e">
        <f>VLOOKUP(products!D407,categories[#All],2,TRUE)</f>
        <v>#N/A</v>
      </c>
    </row>
    <row r="408" spans="1:9" x14ac:dyDescent="0.3">
      <c r="A408">
        <v>407</v>
      </c>
      <c r="B408">
        <v>1</v>
      </c>
      <c r="C408">
        <v>20</v>
      </c>
      <c r="D408">
        <v>1</v>
      </c>
      <c r="E408">
        <v>599.99</v>
      </c>
      <c r="F408">
        <v>0.2</v>
      </c>
      <c r="G408">
        <f t="shared" si="6"/>
        <v>599.79</v>
      </c>
      <c r="H408" t="str">
        <f>_xlfn.XLOOKUP(C408,products[Product_ID],products[Product_Name],"not found",0)</f>
        <v>Electra Townie Original 7D EQ - Women's - 2016</v>
      </c>
      <c r="I408" t="e">
        <f>VLOOKUP(products!D408,categories[#All],2,TRUE)</f>
        <v>#N/A</v>
      </c>
    </row>
    <row r="409" spans="1:9" x14ac:dyDescent="0.3">
      <c r="A409">
        <v>408</v>
      </c>
      <c r="B409">
        <v>1</v>
      </c>
      <c r="C409">
        <v>18</v>
      </c>
      <c r="D409">
        <v>1</v>
      </c>
      <c r="E409">
        <v>449</v>
      </c>
      <c r="F409">
        <v>0.2</v>
      </c>
      <c r="G409">
        <f t="shared" si="6"/>
        <v>448.8</v>
      </c>
      <c r="H409" t="str">
        <f>_xlfn.XLOOKUP(C409,products[Product_ID],products[Product_Name],"not found",0)</f>
        <v>Pure Cycles Western 3-Speed - Women's - 2015/2016</v>
      </c>
      <c r="I409" t="e">
        <f>VLOOKUP(products!D409,categories[#All],2,TRUE)</f>
        <v>#N/A</v>
      </c>
    </row>
    <row r="410" spans="1:9" x14ac:dyDescent="0.3">
      <c r="A410">
        <v>409</v>
      </c>
      <c r="B410">
        <v>1</v>
      </c>
      <c r="C410">
        <v>15</v>
      </c>
      <c r="D410">
        <v>1</v>
      </c>
      <c r="E410">
        <v>529.99</v>
      </c>
      <c r="F410">
        <v>7.0000000000000007E-2</v>
      </c>
      <c r="G410">
        <f t="shared" si="6"/>
        <v>529.91999999999996</v>
      </c>
      <c r="H410" t="str">
        <f>_xlfn.XLOOKUP(C410,products[Product_ID],products[Product_Name],"not found",0)</f>
        <v>Electra Moto 1 - 2016</v>
      </c>
      <c r="I410" t="e">
        <f>VLOOKUP(products!D410,categories[#All],2,TRUE)</f>
        <v>#N/A</v>
      </c>
    </row>
    <row r="411" spans="1:9" x14ac:dyDescent="0.3">
      <c r="A411">
        <v>410</v>
      </c>
      <c r="B411">
        <v>1</v>
      </c>
      <c r="C411">
        <v>25</v>
      </c>
      <c r="D411">
        <v>1</v>
      </c>
      <c r="E411">
        <v>499.99</v>
      </c>
      <c r="F411">
        <v>0.1</v>
      </c>
      <c r="G411">
        <f t="shared" si="6"/>
        <v>499.89</v>
      </c>
      <c r="H411" t="str">
        <f>_xlfn.XLOOKUP(C411,products[Product_ID],products[Product_Name],"not found",0)</f>
        <v>Electra Townie Original 7D - 2015/2016</v>
      </c>
      <c r="I411" t="e">
        <f>VLOOKUP(products!D411,categories[#All],2,TRUE)</f>
        <v>#N/A</v>
      </c>
    </row>
    <row r="412" spans="1:9" x14ac:dyDescent="0.3">
      <c r="A412">
        <v>411</v>
      </c>
      <c r="B412">
        <v>1</v>
      </c>
      <c r="C412">
        <v>2</v>
      </c>
      <c r="D412">
        <v>1</v>
      </c>
      <c r="E412">
        <v>749.99</v>
      </c>
      <c r="F412">
        <v>7.0000000000000007E-2</v>
      </c>
      <c r="G412">
        <f t="shared" si="6"/>
        <v>749.92</v>
      </c>
      <c r="H412" t="str">
        <f>_xlfn.XLOOKUP(C412,products[Product_ID],products[Product_Name],"not found",0)</f>
        <v>Ritchey Timberwolf Frameset - 2016</v>
      </c>
      <c r="I412" t="e">
        <f>VLOOKUP(products!D412,categories[#All],2,TRUE)</f>
        <v>#N/A</v>
      </c>
    </row>
    <row r="413" spans="1:9" x14ac:dyDescent="0.3">
      <c r="A413">
        <v>412</v>
      </c>
      <c r="B413">
        <v>1</v>
      </c>
      <c r="C413">
        <v>7</v>
      </c>
      <c r="D413">
        <v>1</v>
      </c>
      <c r="E413">
        <v>3999.99</v>
      </c>
      <c r="F413">
        <v>0.1</v>
      </c>
      <c r="G413">
        <f t="shared" si="6"/>
        <v>3999.89</v>
      </c>
      <c r="H413" t="str">
        <f>_xlfn.XLOOKUP(C413,products[Product_ID],products[Product_Name],"not found",0)</f>
        <v>Trek Slash 8 27.5 - 2016</v>
      </c>
      <c r="I413" t="e">
        <f>VLOOKUP(products!D413,categories[#All],2,TRUE)</f>
        <v>#N/A</v>
      </c>
    </row>
    <row r="414" spans="1:9" x14ac:dyDescent="0.3">
      <c r="A414">
        <v>413</v>
      </c>
      <c r="B414">
        <v>1</v>
      </c>
      <c r="C414">
        <v>8</v>
      </c>
      <c r="D414">
        <v>2</v>
      </c>
      <c r="E414">
        <v>1799.99</v>
      </c>
      <c r="F414">
        <v>0.05</v>
      </c>
      <c r="G414">
        <f t="shared" si="6"/>
        <v>3599.93</v>
      </c>
      <c r="H414" t="str">
        <f>_xlfn.XLOOKUP(C414,products[Product_ID],products[Product_Name],"not found",0)</f>
        <v>Trek Remedy 29 Carbon Frameset - 2016</v>
      </c>
      <c r="I414" t="e">
        <f>VLOOKUP(products!D414,categories[#All],2,TRUE)</f>
        <v>#N/A</v>
      </c>
    </row>
    <row r="415" spans="1:9" x14ac:dyDescent="0.3">
      <c r="A415">
        <v>414</v>
      </c>
      <c r="B415">
        <v>1</v>
      </c>
      <c r="C415">
        <v>4</v>
      </c>
      <c r="D415">
        <v>2</v>
      </c>
      <c r="E415">
        <v>2899.99</v>
      </c>
      <c r="F415">
        <v>0.1</v>
      </c>
      <c r="G415">
        <f t="shared" si="6"/>
        <v>5799.8799999999992</v>
      </c>
      <c r="H415" t="str">
        <f>_xlfn.XLOOKUP(C415,products[Product_ID],products[Product_Name],"not found",0)</f>
        <v>Trek Fuel EX 8 29 - 2016</v>
      </c>
      <c r="I415" t="e">
        <f>VLOOKUP(products!D415,categories[#All],2,TRUE)</f>
        <v>#N/A</v>
      </c>
    </row>
    <row r="416" spans="1:9" x14ac:dyDescent="0.3">
      <c r="A416">
        <v>415</v>
      </c>
      <c r="B416">
        <v>1</v>
      </c>
      <c r="C416">
        <v>3</v>
      </c>
      <c r="D416">
        <v>1</v>
      </c>
      <c r="E416">
        <v>999.99</v>
      </c>
      <c r="F416">
        <v>7.0000000000000007E-2</v>
      </c>
      <c r="G416">
        <f t="shared" si="6"/>
        <v>999.92</v>
      </c>
      <c r="H416" t="str">
        <f>_xlfn.XLOOKUP(C416,products[Product_ID],products[Product_Name],"not found",0)</f>
        <v>Surly Wednesday Frameset - 2016</v>
      </c>
      <c r="I416" t="e">
        <f>VLOOKUP(products!D416,categories[#All],2,TRUE)</f>
        <v>#N/A</v>
      </c>
    </row>
    <row r="417" spans="1:9" x14ac:dyDescent="0.3">
      <c r="A417">
        <v>416</v>
      </c>
      <c r="B417">
        <v>1</v>
      </c>
      <c r="C417">
        <v>22</v>
      </c>
      <c r="D417">
        <v>1</v>
      </c>
      <c r="E417">
        <v>269.99</v>
      </c>
      <c r="F417">
        <v>7.0000000000000007E-2</v>
      </c>
      <c r="G417">
        <f t="shared" si="6"/>
        <v>269.92</v>
      </c>
      <c r="H417" t="str">
        <f>_xlfn.XLOOKUP(C417,products[Product_ID],products[Product_Name],"not found",0)</f>
        <v>Electra Girl's Hawaii 1 (16-inch) - 2015/2016</v>
      </c>
      <c r="I417" t="e">
        <f>VLOOKUP(products!D417,categories[#All],2,TRUE)</f>
        <v>#N/A</v>
      </c>
    </row>
    <row r="418" spans="1:9" x14ac:dyDescent="0.3">
      <c r="A418">
        <v>417</v>
      </c>
      <c r="B418">
        <v>1</v>
      </c>
      <c r="C418">
        <v>26</v>
      </c>
      <c r="D418">
        <v>2</v>
      </c>
      <c r="E418">
        <v>599.99</v>
      </c>
      <c r="F418">
        <v>7.0000000000000007E-2</v>
      </c>
      <c r="G418">
        <f t="shared" si="6"/>
        <v>1199.9100000000001</v>
      </c>
      <c r="H418" t="str">
        <f>_xlfn.XLOOKUP(C418,products[Product_ID],products[Product_Name],"not found",0)</f>
        <v>Electra Townie Original 7D EQ - 2016</v>
      </c>
      <c r="I418" t="e">
        <f>VLOOKUP(products!D418,categories[#All],2,TRUE)</f>
        <v>#N/A</v>
      </c>
    </row>
    <row r="419" spans="1:9" x14ac:dyDescent="0.3">
      <c r="A419">
        <v>418</v>
      </c>
      <c r="B419">
        <v>1</v>
      </c>
      <c r="C419">
        <v>12</v>
      </c>
      <c r="D419">
        <v>1</v>
      </c>
      <c r="E419">
        <v>549.99</v>
      </c>
      <c r="F419">
        <v>0.05</v>
      </c>
      <c r="G419">
        <f t="shared" si="6"/>
        <v>549.94000000000005</v>
      </c>
      <c r="H419" t="str">
        <f>_xlfn.XLOOKUP(C419,products[Product_ID],products[Product_Name],"not found",0)</f>
        <v>Electra Townie Original 21D - 2016</v>
      </c>
      <c r="I419" t="e">
        <f>VLOOKUP(products!D419,categories[#All],2,TRUE)</f>
        <v>#N/A</v>
      </c>
    </row>
    <row r="420" spans="1:9" x14ac:dyDescent="0.3">
      <c r="A420">
        <v>419</v>
      </c>
      <c r="B420">
        <v>1</v>
      </c>
      <c r="C420">
        <v>9</v>
      </c>
      <c r="D420">
        <v>1</v>
      </c>
      <c r="E420">
        <v>2999.99</v>
      </c>
      <c r="F420">
        <v>0.05</v>
      </c>
      <c r="G420">
        <f t="shared" si="6"/>
        <v>2999.9399999999996</v>
      </c>
      <c r="H420" t="str">
        <f>_xlfn.XLOOKUP(C420,products[Product_ID],products[Product_Name],"not found",0)</f>
        <v>Trek Conduit+ - 2016</v>
      </c>
      <c r="I420" t="e">
        <f>VLOOKUP(products!D420,categories[#All],2,TRUE)</f>
        <v>#N/A</v>
      </c>
    </row>
    <row r="421" spans="1:9" x14ac:dyDescent="0.3">
      <c r="A421">
        <v>420</v>
      </c>
      <c r="B421">
        <v>1</v>
      </c>
      <c r="C421">
        <v>17</v>
      </c>
      <c r="D421">
        <v>2</v>
      </c>
      <c r="E421">
        <v>429</v>
      </c>
      <c r="F421">
        <v>0.2</v>
      </c>
      <c r="G421">
        <f t="shared" si="6"/>
        <v>857.8</v>
      </c>
      <c r="H421" t="str">
        <f>_xlfn.XLOOKUP(C421,products[Product_ID],products[Product_Name],"not found",0)</f>
        <v>Pure Cycles Vine 8-Speed - 2016</v>
      </c>
      <c r="I421" t="e">
        <f>VLOOKUP(products!D421,categories[#All],2,TRUE)</f>
        <v>#N/A</v>
      </c>
    </row>
    <row r="422" spans="1:9" x14ac:dyDescent="0.3">
      <c r="A422">
        <v>421</v>
      </c>
      <c r="B422">
        <v>1</v>
      </c>
      <c r="C422">
        <v>6</v>
      </c>
      <c r="D422">
        <v>2</v>
      </c>
      <c r="E422">
        <v>469.99</v>
      </c>
      <c r="F422">
        <v>7.0000000000000007E-2</v>
      </c>
      <c r="G422">
        <f t="shared" si="6"/>
        <v>939.91</v>
      </c>
      <c r="H422" t="str">
        <f>_xlfn.XLOOKUP(C422,products[Product_ID],products[Product_Name],"not found",0)</f>
        <v>Surly Ice Cream Truck Frameset - 2016</v>
      </c>
      <c r="I422" t="e">
        <f>VLOOKUP(products!D422,categories[#All],2,TRUE)</f>
        <v>#N/A</v>
      </c>
    </row>
    <row r="423" spans="1:9" x14ac:dyDescent="0.3">
      <c r="A423">
        <v>422</v>
      </c>
      <c r="B423">
        <v>1</v>
      </c>
      <c r="C423">
        <v>20</v>
      </c>
      <c r="D423">
        <v>2</v>
      </c>
      <c r="E423">
        <v>599.99</v>
      </c>
      <c r="F423">
        <v>0.05</v>
      </c>
      <c r="G423">
        <f t="shared" si="6"/>
        <v>1199.93</v>
      </c>
      <c r="H423" t="str">
        <f>_xlfn.XLOOKUP(C423,products[Product_ID],products[Product_Name],"not found",0)</f>
        <v>Electra Townie Original 7D EQ - Women's - 2016</v>
      </c>
      <c r="I423" t="e">
        <f>VLOOKUP(products!D423,categories[#All],2,TRUE)</f>
        <v>#N/A</v>
      </c>
    </row>
    <row r="424" spans="1:9" x14ac:dyDescent="0.3">
      <c r="A424">
        <v>423</v>
      </c>
      <c r="B424">
        <v>1</v>
      </c>
      <c r="C424">
        <v>8</v>
      </c>
      <c r="D424">
        <v>2</v>
      </c>
      <c r="E424">
        <v>1799.99</v>
      </c>
      <c r="F424">
        <v>0.05</v>
      </c>
      <c r="G424">
        <f t="shared" si="6"/>
        <v>3599.93</v>
      </c>
      <c r="H424" t="str">
        <f>_xlfn.XLOOKUP(C424,products[Product_ID],products[Product_Name],"not found",0)</f>
        <v>Trek Remedy 29 Carbon Frameset - 2016</v>
      </c>
      <c r="I424" t="e">
        <f>VLOOKUP(products!D424,categories[#All],2,TRUE)</f>
        <v>#N/A</v>
      </c>
    </row>
    <row r="425" spans="1:9" x14ac:dyDescent="0.3">
      <c r="A425">
        <v>424</v>
      </c>
      <c r="B425">
        <v>1</v>
      </c>
      <c r="C425">
        <v>22</v>
      </c>
      <c r="D425">
        <v>1</v>
      </c>
      <c r="E425">
        <v>269.99</v>
      </c>
      <c r="F425">
        <v>0.1</v>
      </c>
      <c r="G425">
        <f t="shared" si="6"/>
        <v>269.89</v>
      </c>
      <c r="H425" t="str">
        <f>_xlfn.XLOOKUP(C425,products[Product_ID],products[Product_Name],"not found",0)</f>
        <v>Electra Girl's Hawaii 1 (16-inch) - 2015/2016</v>
      </c>
      <c r="I425" t="e">
        <f>VLOOKUP(products!D425,categories[#All],2,TRUE)</f>
        <v>#N/A</v>
      </c>
    </row>
    <row r="426" spans="1:9" x14ac:dyDescent="0.3">
      <c r="A426">
        <v>425</v>
      </c>
      <c r="B426">
        <v>1</v>
      </c>
      <c r="C426">
        <v>6</v>
      </c>
      <c r="D426">
        <v>1</v>
      </c>
      <c r="E426">
        <v>469.99</v>
      </c>
      <c r="F426">
        <v>0.1</v>
      </c>
      <c r="G426">
        <f t="shared" si="6"/>
        <v>469.89</v>
      </c>
      <c r="H426" t="str">
        <f>_xlfn.XLOOKUP(C426,products[Product_ID],products[Product_Name],"not found",0)</f>
        <v>Surly Ice Cream Truck Frameset - 2016</v>
      </c>
      <c r="I426" t="e">
        <f>VLOOKUP(products!D426,categories[#All],2,TRUE)</f>
        <v>#N/A</v>
      </c>
    </row>
    <row r="427" spans="1:9" x14ac:dyDescent="0.3">
      <c r="A427">
        <v>426</v>
      </c>
      <c r="B427">
        <v>1</v>
      </c>
      <c r="C427">
        <v>10</v>
      </c>
      <c r="D427">
        <v>1</v>
      </c>
      <c r="E427">
        <v>1549</v>
      </c>
      <c r="F427">
        <v>0.1</v>
      </c>
      <c r="G427">
        <f t="shared" si="6"/>
        <v>1548.9</v>
      </c>
      <c r="H427" t="str">
        <f>_xlfn.XLOOKUP(C427,products[Product_ID],products[Product_Name],"not found",0)</f>
        <v>Surly Straggler - 2016</v>
      </c>
      <c r="I427" t="e">
        <f>VLOOKUP(products!D427,categories[#All],2,TRUE)</f>
        <v>#N/A</v>
      </c>
    </row>
    <row r="428" spans="1:9" x14ac:dyDescent="0.3">
      <c r="A428">
        <v>427</v>
      </c>
      <c r="B428">
        <v>1</v>
      </c>
      <c r="C428">
        <v>12</v>
      </c>
      <c r="D428">
        <v>2</v>
      </c>
      <c r="E428">
        <v>549.99</v>
      </c>
      <c r="F428">
        <v>7.0000000000000007E-2</v>
      </c>
      <c r="G428">
        <f t="shared" si="6"/>
        <v>1099.9100000000001</v>
      </c>
      <c r="H428" t="str">
        <f>_xlfn.XLOOKUP(C428,products[Product_ID],products[Product_Name],"not found",0)</f>
        <v>Electra Townie Original 21D - 2016</v>
      </c>
      <c r="I428" t="e">
        <f>VLOOKUP(products!D428,categories[#All],2,TRUE)</f>
        <v>#N/A</v>
      </c>
    </row>
    <row r="429" spans="1:9" x14ac:dyDescent="0.3">
      <c r="A429">
        <v>428</v>
      </c>
      <c r="B429">
        <v>1</v>
      </c>
      <c r="C429">
        <v>5</v>
      </c>
      <c r="D429">
        <v>2</v>
      </c>
      <c r="E429">
        <v>1320.99</v>
      </c>
      <c r="F429">
        <v>0.2</v>
      </c>
      <c r="G429">
        <f t="shared" si="6"/>
        <v>2641.78</v>
      </c>
      <c r="H429" t="str">
        <f>_xlfn.XLOOKUP(C429,products[Product_ID],products[Product_Name],"not found",0)</f>
        <v>Heller Shagamaw Frame - 2016</v>
      </c>
      <c r="I429" t="e">
        <f>VLOOKUP(products!D429,categories[#All],2,TRUE)</f>
        <v>#N/A</v>
      </c>
    </row>
    <row r="430" spans="1:9" x14ac:dyDescent="0.3">
      <c r="A430">
        <v>429</v>
      </c>
      <c r="B430">
        <v>1</v>
      </c>
      <c r="C430">
        <v>11</v>
      </c>
      <c r="D430">
        <v>1</v>
      </c>
      <c r="E430">
        <v>1680.99</v>
      </c>
      <c r="F430">
        <v>0.2</v>
      </c>
      <c r="G430">
        <f t="shared" si="6"/>
        <v>1680.79</v>
      </c>
      <c r="H430" t="str">
        <f>_xlfn.XLOOKUP(C430,products[Product_ID],products[Product_Name],"not found",0)</f>
        <v>Surly Straggler 650b - 2016</v>
      </c>
      <c r="I430" t="e">
        <f>VLOOKUP(products!D430,categories[#All],2,TRUE)</f>
        <v>#N/A</v>
      </c>
    </row>
    <row r="431" spans="1:9" x14ac:dyDescent="0.3">
      <c r="A431">
        <v>430</v>
      </c>
      <c r="B431">
        <v>1</v>
      </c>
      <c r="C431">
        <v>22</v>
      </c>
      <c r="D431">
        <v>2</v>
      </c>
      <c r="E431">
        <v>269.99</v>
      </c>
      <c r="F431">
        <v>0.1</v>
      </c>
      <c r="G431">
        <f t="shared" si="6"/>
        <v>539.88</v>
      </c>
      <c r="H431" t="str">
        <f>_xlfn.XLOOKUP(C431,products[Product_ID],products[Product_Name],"not found",0)</f>
        <v>Electra Girl's Hawaii 1 (16-inch) - 2015/2016</v>
      </c>
      <c r="I431" t="e">
        <f>VLOOKUP(products!D431,categories[#All],2,TRUE)</f>
        <v>#N/A</v>
      </c>
    </row>
    <row r="432" spans="1:9" x14ac:dyDescent="0.3">
      <c r="A432">
        <v>431</v>
      </c>
      <c r="B432">
        <v>1</v>
      </c>
      <c r="C432">
        <v>14</v>
      </c>
      <c r="D432">
        <v>2</v>
      </c>
      <c r="E432">
        <v>269.99</v>
      </c>
      <c r="F432">
        <v>0.2</v>
      </c>
      <c r="G432">
        <f t="shared" si="6"/>
        <v>539.78</v>
      </c>
      <c r="H432" t="str">
        <f>_xlfn.XLOOKUP(C432,products[Product_ID],products[Product_Name],"not found",0)</f>
        <v>Electra Girl's Hawaii 1 (16-inch) - 2015/2016</v>
      </c>
      <c r="I432" t="e">
        <f>VLOOKUP(products!D432,categories[#All],2,TRUE)</f>
        <v>#N/A</v>
      </c>
    </row>
    <row r="433" spans="1:9" x14ac:dyDescent="0.3">
      <c r="A433">
        <v>432</v>
      </c>
      <c r="B433">
        <v>1</v>
      </c>
      <c r="C433">
        <v>10</v>
      </c>
      <c r="D433">
        <v>2</v>
      </c>
      <c r="E433">
        <v>1549</v>
      </c>
      <c r="F433">
        <v>0.2</v>
      </c>
      <c r="G433">
        <f t="shared" si="6"/>
        <v>3097.8</v>
      </c>
      <c r="H433" t="str">
        <f>_xlfn.XLOOKUP(C433,products[Product_ID],products[Product_Name],"not found",0)</f>
        <v>Surly Straggler - 2016</v>
      </c>
      <c r="I433" t="e">
        <f>VLOOKUP(products!D433,categories[#All],2,TRUE)</f>
        <v>#N/A</v>
      </c>
    </row>
    <row r="434" spans="1:9" x14ac:dyDescent="0.3">
      <c r="A434">
        <v>433</v>
      </c>
      <c r="B434">
        <v>1</v>
      </c>
      <c r="C434">
        <v>6</v>
      </c>
      <c r="D434">
        <v>1</v>
      </c>
      <c r="E434">
        <v>469.99</v>
      </c>
      <c r="F434">
        <v>0.1</v>
      </c>
      <c r="G434">
        <f t="shared" si="6"/>
        <v>469.89</v>
      </c>
      <c r="H434" t="str">
        <f>_xlfn.XLOOKUP(C434,products[Product_ID],products[Product_Name],"not found",0)</f>
        <v>Surly Ice Cream Truck Frameset - 2016</v>
      </c>
      <c r="I434" t="e">
        <f>VLOOKUP(products!D434,categories[#All],2,TRUE)</f>
        <v>#N/A</v>
      </c>
    </row>
    <row r="435" spans="1:9" x14ac:dyDescent="0.3">
      <c r="A435">
        <v>434</v>
      </c>
      <c r="B435">
        <v>1</v>
      </c>
      <c r="C435">
        <v>21</v>
      </c>
      <c r="D435">
        <v>1</v>
      </c>
      <c r="E435">
        <v>269.99</v>
      </c>
      <c r="F435">
        <v>0.05</v>
      </c>
      <c r="G435">
        <f t="shared" si="6"/>
        <v>269.94</v>
      </c>
      <c r="H435" t="str">
        <f>_xlfn.XLOOKUP(C435,products[Product_ID],products[Product_Name],"not found",0)</f>
        <v>Electra Cruiser 1 (24-Inch) - 2016</v>
      </c>
      <c r="I435" t="e">
        <f>VLOOKUP(products!D435,categories[#All],2,TRUE)</f>
        <v>#N/A</v>
      </c>
    </row>
    <row r="436" spans="1:9" x14ac:dyDescent="0.3">
      <c r="A436">
        <v>435</v>
      </c>
      <c r="B436">
        <v>1</v>
      </c>
      <c r="C436">
        <v>22</v>
      </c>
      <c r="D436">
        <v>1</v>
      </c>
      <c r="E436">
        <v>269.99</v>
      </c>
      <c r="F436">
        <v>0.05</v>
      </c>
      <c r="G436">
        <f t="shared" si="6"/>
        <v>269.94</v>
      </c>
      <c r="H436" t="str">
        <f>_xlfn.XLOOKUP(C436,products[Product_ID],products[Product_Name],"not found",0)</f>
        <v>Electra Girl's Hawaii 1 (16-inch) - 2015/2016</v>
      </c>
      <c r="I436" t="e">
        <f>VLOOKUP(products!D436,categories[#All],2,TRUE)</f>
        <v>#N/A</v>
      </c>
    </row>
    <row r="437" spans="1:9" x14ac:dyDescent="0.3">
      <c r="A437">
        <v>436</v>
      </c>
      <c r="B437">
        <v>1</v>
      </c>
      <c r="C437">
        <v>3</v>
      </c>
      <c r="D437">
        <v>1</v>
      </c>
      <c r="E437">
        <v>999.99</v>
      </c>
      <c r="F437">
        <v>0.05</v>
      </c>
      <c r="G437">
        <f t="shared" si="6"/>
        <v>999.94</v>
      </c>
      <c r="H437" t="str">
        <f>_xlfn.XLOOKUP(C437,products[Product_ID],products[Product_Name],"not found",0)</f>
        <v>Surly Wednesday Frameset - 2016</v>
      </c>
      <c r="I437" t="e">
        <f>VLOOKUP(products!D437,categories[#All],2,TRUE)</f>
        <v>#N/A</v>
      </c>
    </row>
    <row r="438" spans="1:9" x14ac:dyDescent="0.3">
      <c r="A438">
        <v>437</v>
      </c>
      <c r="B438">
        <v>1</v>
      </c>
      <c r="C438">
        <v>3</v>
      </c>
      <c r="D438">
        <v>1</v>
      </c>
      <c r="E438">
        <v>999.99</v>
      </c>
      <c r="F438">
        <v>0.05</v>
      </c>
      <c r="G438">
        <f t="shared" si="6"/>
        <v>999.94</v>
      </c>
      <c r="H438" t="str">
        <f>_xlfn.XLOOKUP(C438,products[Product_ID],products[Product_Name],"not found",0)</f>
        <v>Surly Wednesday Frameset - 2016</v>
      </c>
      <c r="I438" t="e">
        <f>VLOOKUP(products!D438,categories[#All],2,TRUE)</f>
        <v>#N/A</v>
      </c>
    </row>
    <row r="439" spans="1:9" x14ac:dyDescent="0.3">
      <c r="A439">
        <v>438</v>
      </c>
      <c r="B439">
        <v>1</v>
      </c>
      <c r="C439">
        <v>4</v>
      </c>
      <c r="D439">
        <v>1</v>
      </c>
      <c r="E439">
        <v>2899.99</v>
      </c>
      <c r="F439">
        <v>7.0000000000000007E-2</v>
      </c>
      <c r="G439">
        <f t="shared" si="6"/>
        <v>2899.9199999999996</v>
      </c>
      <c r="H439" t="str">
        <f>_xlfn.XLOOKUP(C439,products[Product_ID],products[Product_Name],"not found",0)</f>
        <v>Trek Fuel EX 8 29 - 2016</v>
      </c>
      <c r="I439" t="e">
        <f>VLOOKUP(products!D439,categories[#All],2,TRUE)</f>
        <v>#N/A</v>
      </c>
    </row>
    <row r="440" spans="1:9" x14ac:dyDescent="0.3">
      <c r="A440">
        <v>439</v>
      </c>
      <c r="B440">
        <v>1</v>
      </c>
      <c r="C440">
        <v>6</v>
      </c>
      <c r="D440">
        <v>2</v>
      </c>
      <c r="E440">
        <v>469.99</v>
      </c>
      <c r="F440">
        <v>7.0000000000000007E-2</v>
      </c>
      <c r="G440">
        <f t="shared" si="6"/>
        <v>939.91</v>
      </c>
      <c r="H440" t="str">
        <f>_xlfn.XLOOKUP(C440,products[Product_ID],products[Product_Name],"not found",0)</f>
        <v>Surly Ice Cream Truck Frameset - 2016</v>
      </c>
      <c r="I440" t="e">
        <f>VLOOKUP(products!D440,categories[#All],2,TRUE)</f>
        <v>#N/A</v>
      </c>
    </row>
    <row r="441" spans="1:9" x14ac:dyDescent="0.3">
      <c r="A441">
        <v>440</v>
      </c>
      <c r="B441">
        <v>1</v>
      </c>
      <c r="C441">
        <v>19</v>
      </c>
      <c r="D441">
        <v>2</v>
      </c>
      <c r="E441">
        <v>449</v>
      </c>
      <c r="F441">
        <v>7.0000000000000007E-2</v>
      </c>
      <c r="G441">
        <f t="shared" si="6"/>
        <v>897.93</v>
      </c>
      <c r="H441" t="str">
        <f>_xlfn.XLOOKUP(C441,products[Product_ID],products[Product_Name],"not found",0)</f>
        <v>Pure Cycles William 3-Speed - 2016</v>
      </c>
      <c r="I441" t="e">
        <f>VLOOKUP(products!D441,categories[#All],2,TRUE)</f>
        <v>#N/A</v>
      </c>
    </row>
    <row r="442" spans="1:9" x14ac:dyDescent="0.3">
      <c r="A442">
        <v>441</v>
      </c>
      <c r="B442">
        <v>1</v>
      </c>
      <c r="C442">
        <v>12</v>
      </c>
      <c r="D442">
        <v>1</v>
      </c>
      <c r="E442">
        <v>549.99</v>
      </c>
      <c r="F442">
        <v>7.0000000000000007E-2</v>
      </c>
      <c r="G442">
        <f t="shared" si="6"/>
        <v>549.91999999999996</v>
      </c>
      <c r="H442" t="str">
        <f>_xlfn.XLOOKUP(C442,products[Product_ID],products[Product_Name],"not found",0)</f>
        <v>Electra Townie Original 21D - 2016</v>
      </c>
      <c r="I442" t="e">
        <f>VLOOKUP(products!D442,categories[#All],2,TRUE)</f>
        <v>#N/A</v>
      </c>
    </row>
    <row r="443" spans="1:9" x14ac:dyDescent="0.3">
      <c r="A443">
        <v>442</v>
      </c>
      <c r="B443">
        <v>1</v>
      </c>
      <c r="C443">
        <v>16</v>
      </c>
      <c r="D443">
        <v>2</v>
      </c>
      <c r="E443">
        <v>599.99</v>
      </c>
      <c r="F443">
        <v>7.0000000000000007E-2</v>
      </c>
      <c r="G443">
        <f t="shared" si="6"/>
        <v>1199.9100000000001</v>
      </c>
      <c r="H443" t="str">
        <f>_xlfn.XLOOKUP(C443,products[Product_ID],products[Product_Name],"not found",0)</f>
        <v>Electra Townie Original 7D EQ - 2016</v>
      </c>
      <c r="I443" t="e">
        <f>VLOOKUP(products!D443,categories[#All],2,TRUE)</f>
        <v>#N/A</v>
      </c>
    </row>
    <row r="444" spans="1:9" x14ac:dyDescent="0.3">
      <c r="A444">
        <v>443</v>
      </c>
      <c r="B444">
        <v>1</v>
      </c>
      <c r="C444">
        <v>5</v>
      </c>
      <c r="D444">
        <v>1</v>
      </c>
      <c r="E444">
        <v>1320.99</v>
      </c>
      <c r="F444">
        <v>0.05</v>
      </c>
      <c r="G444">
        <f t="shared" si="6"/>
        <v>1320.94</v>
      </c>
      <c r="H444" t="str">
        <f>_xlfn.XLOOKUP(C444,products[Product_ID],products[Product_Name],"not found",0)</f>
        <v>Heller Shagamaw Frame - 2016</v>
      </c>
      <c r="I444" t="e">
        <f>VLOOKUP(products!D444,categories[#All],2,TRUE)</f>
        <v>#N/A</v>
      </c>
    </row>
    <row r="445" spans="1:9" x14ac:dyDescent="0.3">
      <c r="A445">
        <v>444</v>
      </c>
      <c r="B445">
        <v>1</v>
      </c>
      <c r="C445">
        <v>22</v>
      </c>
      <c r="D445">
        <v>1</v>
      </c>
      <c r="E445">
        <v>269.99</v>
      </c>
      <c r="F445">
        <v>7.0000000000000007E-2</v>
      </c>
      <c r="G445">
        <f t="shared" si="6"/>
        <v>269.92</v>
      </c>
      <c r="H445" t="str">
        <f>_xlfn.XLOOKUP(C445,products[Product_ID],products[Product_Name],"not found",0)</f>
        <v>Electra Girl's Hawaii 1 (16-inch) - 2015/2016</v>
      </c>
      <c r="I445" t="e">
        <f>VLOOKUP(products!D445,categories[#All],2,TRUE)</f>
        <v>#N/A</v>
      </c>
    </row>
    <row r="446" spans="1:9" x14ac:dyDescent="0.3">
      <c r="A446">
        <v>445</v>
      </c>
      <c r="B446">
        <v>1</v>
      </c>
      <c r="C446">
        <v>7</v>
      </c>
      <c r="D446">
        <v>1</v>
      </c>
      <c r="E446">
        <v>3999.99</v>
      </c>
      <c r="F446">
        <v>0.2</v>
      </c>
      <c r="G446">
        <f t="shared" si="6"/>
        <v>3999.79</v>
      </c>
      <c r="H446" t="str">
        <f>_xlfn.XLOOKUP(C446,products[Product_ID],products[Product_Name],"not found",0)</f>
        <v>Trek Slash 8 27.5 - 2016</v>
      </c>
      <c r="I446" t="e">
        <f>VLOOKUP(products!D446,categories[#All],2,TRUE)</f>
        <v>#N/A</v>
      </c>
    </row>
    <row r="447" spans="1:9" x14ac:dyDescent="0.3">
      <c r="A447">
        <v>446</v>
      </c>
      <c r="B447">
        <v>1</v>
      </c>
      <c r="C447">
        <v>22</v>
      </c>
      <c r="D447">
        <v>1</v>
      </c>
      <c r="E447">
        <v>269.99</v>
      </c>
      <c r="F447">
        <v>0.2</v>
      </c>
      <c r="G447">
        <f t="shared" si="6"/>
        <v>269.79000000000002</v>
      </c>
      <c r="H447" t="str">
        <f>_xlfn.XLOOKUP(C447,products[Product_ID],products[Product_Name],"not found",0)</f>
        <v>Electra Girl's Hawaii 1 (16-inch) - 2015/2016</v>
      </c>
      <c r="I447" t="e">
        <f>VLOOKUP(products!D447,categories[#All],2,TRUE)</f>
        <v>#N/A</v>
      </c>
    </row>
    <row r="448" spans="1:9" x14ac:dyDescent="0.3">
      <c r="A448">
        <v>447</v>
      </c>
      <c r="B448">
        <v>1</v>
      </c>
      <c r="C448">
        <v>4</v>
      </c>
      <c r="D448">
        <v>2</v>
      </c>
      <c r="E448">
        <v>2899.99</v>
      </c>
      <c r="F448">
        <v>0.05</v>
      </c>
      <c r="G448">
        <f t="shared" si="6"/>
        <v>5799.9299999999994</v>
      </c>
      <c r="H448" t="str">
        <f>_xlfn.XLOOKUP(C448,products[Product_ID],products[Product_Name],"not found",0)</f>
        <v>Trek Fuel EX 8 29 - 2016</v>
      </c>
      <c r="I448" t="e">
        <f>VLOOKUP(products!D448,categories[#All],2,TRUE)</f>
        <v>#N/A</v>
      </c>
    </row>
    <row r="449" spans="1:9" x14ac:dyDescent="0.3">
      <c r="A449">
        <v>448</v>
      </c>
      <c r="B449">
        <v>1</v>
      </c>
      <c r="C449">
        <v>13</v>
      </c>
      <c r="D449">
        <v>2</v>
      </c>
      <c r="E449">
        <v>269.99</v>
      </c>
      <c r="F449">
        <v>0.05</v>
      </c>
      <c r="G449">
        <f t="shared" si="6"/>
        <v>539.93000000000006</v>
      </c>
      <c r="H449" t="str">
        <f>_xlfn.XLOOKUP(C449,products[Product_ID],products[Product_Name],"not found",0)</f>
        <v>Electra Cruiser 1 (24-Inch) - 2016</v>
      </c>
      <c r="I449" t="e">
        <f>VLOOKUP(products!D449,categories[#All],2,TRUE)</f>
        <v>#N/A</v>
      </c>
    </row>
    <row r="450" spans="1:9" x14ac:dyDescent="0.3">
      <c r="A450">
        <v>449</v>
      </c>
      <c r="B450">
        <v>1</v>
      </c>
      <c r="C450">
        <v>17</v>
      </c>
      <c r="D450">
        <v>2</v>
      </c>
      <c r="E450">
        <v>429</v>
      </c>
      <c r="F450">
        <v>0.05</v>
      </c>
      <c r="G450">
        <f t="shared" ref="G450:G513" si="7">(E450*D450)-F450</f>
        <v>857.95</v>
      </c>
      <c r="H450" t="str">
        <f>_xlfn.XLOOKUP(C450,products[Product_ID],products[Product_Name],"not found",0)</f>
        <v>Pure Cycles Vine 8-Speed - 2016</v>
      </c>
      <c r="I450" t="e">
        <f>VLOOKUP(products!D450,categories[#All],2,TRUE)</f>
        <v>#N/A</v>
      </c>
    </row>
    <row r="451" spans="1:9" x14ac:dyDescent="0.3">
      <c r="A451">
        <v>450</v>
      </c>
      <c r="B451">
        <v>1</v>
      </c>
      <c r="C451">
        <v>24</v>
      </c>
      <c r="D451">
        <v>1</v>
      </c>
      <c r="E451">
        <v>549.99</v>
      </c>
      <c r="F451">
        <v>0.05</v>
      </c>
      <c r="G451">
        <f t="shared" si="7"/>
        <v>549.94000000000005</v>
      </c>
      <c r="H451" t="str">
        <f>_xlfn.XLOOKUP(C451,products[Product_ID],products[Product_Name],"not found",0)</f>
        <v>Electra Townie Original 21D - 2016</v>
      </c>
      <c r="I451" t="e">
        <f>VLOOKUP(products!D451,categories[#All],2,TRUE)</f>
        <v>#N/A</v>
      </c>
    </row>
    <row r="452" spans="1:9" x14ac:dyDescent="0.3">
      <c r="A452">
        <v>451</v>
      </c>
      <c r="B452">
        <v>1</v>
      </c>
      <c r="C452">
        <v>14</v>
      </c>
      <c r="D452">
        <v>2</v>
      </c>
      <c r="E452">
        <v>269.99</v>
      </c>
      <c r="F452">
        <v>0.05</v>
      </c>
      <c r="G452">
        <f t="shared" si="7"/>
        <v>539.93000000000006</v>
      </c>
      <c r="H452" t="str">
        <f>_xlfn.XLOOKUP(C452,products[Product_ID],products[Product_Name],"not found",0)</f>
        <v>Electra Girl's Hawaii 1 (16-inch) - 2015/2016</v>
      </c>
      <c r="I452" t="e">
        <f>VLOOKUP(products!D452,categories[#All],2,TRUE)</f>
        <v>#N/A</v>
      </c>
    </row>
    <row r="453" spans="1:9" x14ac:dyDescent="0.3">
      <c r="A453">
        <v>452</v>
      </c>
      <c r="B453">
        <v>1</v>
      </c>
      <c r="C453">
        <v>11</v>
      </c>
      <c r="D453">
        <v>1</v>
      </c>
      <c r="E453">
        <v>1680.99</v>
      </c>
      <c r="F453">
        <v>0.05</v>
      </c>
      <c r="G453">
        <f t="shared" si="7"/>
        <v>1680.94</v>
      </c>
      <c r="H453" t="str">
        <f>_xlfn.XLOOKUP(C453,products[Product_ID],products[Product_Name],"not found",0)</f>
        <v>Surly Straggler 650b - 2016</v>
      </c>
      <c r="I453" t="e">
        <f>VLOOKUP(products!D453,categories[#All],2,TRUE)</f>
        <v>#N/A</v>
      </c>
    </row>
    <row r="454" spans="1:9" x14ac:dyDescent="0.3">
      <c r="A454">
        <v>453</v>
      </c>
      <c r="B454">
        <v>1</v>
      </c>
      <c r="C454">
        <v>23</v>
      </c>
      <c r="D454">
        <v>1</v>
      </c>
      <c r="E454">
        <v>299.99</v>
      </c>
      <c r="F454">
        <v>0.05</v>
      </c>
      <c r="G454">
        <f t="shared" si="7"/>
        <v>299.94</v>
      </c>
      <c r="H454" t="str">
        <f>_xlfn.XLOOKUP(C454,products[Product_ID],products[Product_Name],"not found",0)</f>
        <v>Electra Girl's Hawaii 1 (20-inch) - 2015/2016</v>
      </c>
      <c r="I454" t="e">
        <f>VLOOKUP(products!D454,categories[#All],2,TRUE)</f>
        <v>#N/A</v>
      </c>
    </row>
    <row r="455" spans="1:9" x14ac:dyDescent="0.3">
      <c r="A455">
        <v>454</v>
      </c>
      <c r="B455">
        <v>1</v>
      </c>
      <c r="C455">
        <v>25</v>
      </c>
      <c r="D455">
        <v>2</v>
      </c>
      <c r="E455">
        <v>499.99</v>
      </c>
      <c r="F455">
        <v>7.0000000000000007E-2</v>
      </c>
      <c r="G455">
        <f t="shared" si="7"/>
        <v>999.91</v>
      </c>
      <c r="H455" t="str">
        <f>_xlfn.XLOOKUP(C455,products[Product_ID],products[Product_Name],"not found",0)</f>
        <v>Electra Townie Original 7D - 2015/2016</v>
      </c>
      <c r="I455" t="e">
        <f>VLOOKUP(products!D455,categories[#All],2,TRUE)</f>
        <v>#N/A</v>
      </c>
    </row>
    <row r="456" spans="1:9" x14ac:dyDescent="0.3">
      <c r="A456">
        <v>455</v>
      </c>
      <c r="B456">
        <v>1</v>
      </c>
      <c r="C456">
        <v>9</v>
      </c>
      <c r="D456">
        <v>1</v>
      </c>
      <c r="E456">
        <v>2999.99</v>
      </c>
      <c r="F456">
        <v>0.05</v>
      </c>
      <c r="G456">
        <f t="shared" si="7"/>
        <v>2999.9399999999996</v>
      </c>
      <c r="H456" t="str">
        <f>_xlfn.XLOOKUP(C456,products[Product_ID],products[Product_Name],"not found",0)</f>
        <v>Trek Conduit+ - 2016</v>
      </c>
      <c r="I456" t="e">
        <f>VLOOKUP(products!D456,categories[#All],2,TRUE)</f>
        <v>#N/A</v>
      </c>
    </row>
    <row r="457" spans="1:9" x14ac:dyDescent="0.3">
      <c r="A457">
        <v>456</v>
      </c>
      <c r="B457">
        <v>1</v>
      </c>
      <c r="C457">
        <v>17</v>
      </c>
      <c r="D457">
        <v>2</v>
      </c>
      <c r="E457">
        <v>429</v>
      </c>
      <c r="F457">
        <v>7.0000000000000007E-2</v>
      </c>
      <c r="G457">
        <f t="shared" si="7"/>
        <v>857.93</v>
      </c>
      <c r="H457" t="str">
        <f>_xlfn.XLOOKUP(C457,products[Product_ID],products[Product_Name],"not found",0)</f>
        <v>Pure Cycles Vine 8-Speed - 2016</v>
      </c>
      <c r="I457" t="e">
        <f>VLOOKUP(products!D457,categories[#All],2,TRUE)</f>
        <v>#N/A</v>
      </c>
    </row>
    <row r="458" spans="1:9" x14ac:dyDescent="0.3">
      <c r="A458">
        <v>457</v>
      </c>
      <c r="B458">
        <v>1</v>
      </c>
      <c r="C458">
        <v>24</v>
      </c>
      <c r="D458">
        <v>2</v>
      </c>
      <c r="E458">
        <v>549.99</v>
      </c>
      <c r="F458">
        <v>7.0000000000000007E-2</v>
      </c>
      <c r="G458">
        <f t="shared" si="7"/>
        <v>1099.9100000000001</v>
      </c>
      <c r="H458" t="str">
        <f>_xlfn.XLOOKUP(C458,products[Product_ID],products[Product_Name],"not found",0)</f>
        <v>Electra Townie Original 21D - 2016</v>
      </c>
      <c r="I458" t="e">
        <f>VLOOKUP(products!D458,categories[#All],2,TRUE)</f>
        <v>#N/A</v>
      </c>
    </row>
    <row r="459" spans="1:9" x14ac:dyDescent="0.3">
      <c r="A459">
        <v>458</v>
      </c>
      <c r="B459">
        <v>1</v>
      </c>
      <c r="C459">
        <v>2</v>
      </c>
      <c r="D459">
        <v>1</v>
      </c>
      <c r="E459">
        <v>749.99</v>
      </c>
      <c r="F459">
        <v>0.2</v>
      </c>
      <c r="G459">
        <f t="shared" si="7"/>
        <v>749.79</v>
      </c>
      <c r="H459" t="str">
        <f>_xlfn.XLOOKUP(C459,products[Product_ID],products[Product_Name],"not found",0)</f>
        <v>Ritchey Timberwolf Frameset - 2016</v>
      </c>
      <c r="I459" t="e">
        <f>VLOOKUP(products!D459,categories[#All],2,TRUE)</f>
        <v>#N/A</v>
      </c>
    </row>
    <row r="460" spans="1:9" x14ac:dyDescent="0.3">
      <c r="A460">
        <v>459</v>
      </c>
      <c r="B460">
        <v>1</v>
      </c>
      <c r="C460">
        <v>11</v>
      </c>
      <c r="D460">
        <v>1</v>
      </c>
      <c r="E460">
        <v>1680.99</v>
      </c>
      <c r="F460">
        <v>0.2</v>
      </c>
      <c r="G460">
        <f t="shared" si="7"/>
        <v>1680.79</v>
      </c>
      <c r="H460" t="str">
        <f>_xlfn.XLOOKUP(C460,products[Product_ID],products[Product_Name],"not found",0)</f>
        <v>Surly Straggler 650b - 2016</v>
      </c>
      <c r="I460" t="e">
        <f>VLOOKUP(products!D460,categories[#All],2,TRUE)</f>
        <v>#N/A</v>
      </c>
    </row>
    <row r="461" spans="1:9" x14ac:dyDescent="0.3">
      <c r="A461">
        <v>460</v>
      </c>
      <c r="B461">
        <v>1</v>
      </c>
      <c r="C461">
        <v>19</v>
      </c>
      <c r="D461">
        <v>1</v>
      </c>
      <c r="E461">
        <v>449</v>
      </c>
      <c r="F461">
        <v>0.05</v>
      </c>
      <c r="G461">
        <f t="shared" si="7"/>
        <v>448.95</v>
      </c>
      <c r="H461" t="str">
        <f>_xlfn.XLOOKUP(C461,products[Product_ID],products[Product_Name],"not found",0)</f>
        <v>Pure Cycles William 3-Speed - 2016</v>
      </c>
      <c r="I461" t="e">
        <f>VLOOKUP(products!D461,categories[#All],2,TRUE)</f>
        <v>#N/A</v>
      </c>
    </row>
    <row r="462" spans="1:9" x14ac:dyDescent="0.3">
      <c r="A462">
        <v>461</v>
      </c>
      <c r="B462">
        <v>1</v>
      </c>
      <c r="C462">
        <v>16</v>
      </c>
      <c r="D462">
        <v>1</v>
      </c>
      <c r="E462">
        <v>599.99</v>
      </c>
      <c r="F462">
        <v>7.0000000000000007E-2</v>
      </c>
      <c r="G462">
        <f t="shared" si="7"/>
        <v>599.91999999999996</v>
      </c>
      <c r="H462" t="str">
        <f>_xlfn.XLOOKUP(C462,products[Product_ID],products[Product_Name],"not found",0)</f>
        <v>Electra Townie Original 7D EQ - 2016</v>
      </c>
      <c r="I462" t="e">
        <f>VLOOKUP(products!D462,categories[#All],2,TRUE)</f>
        <v>#N/A</v>
      </c>
    </row>
    <row r="463" spans="1:9" x14ac:dyDescent="0.3">
      <c r="A463">
        <v>462</v>
      </c>
      <c r="B463">
        <v>1</v>
      </c>
      <c r="C463">
        <v>12</v>
      </c>
      <c r="D463">
        <v>2</v>
      </c>
      <c r="E463">
        <v>549.99</v>
      </c>
      <c r="F463">
        <v>0.1</v>
      </c>
      <c r="G463">
        <f t="shared" si="7"/>
        <v>1099.8800000000001</v>
      </c>
      <c r="H463" t="str">
        <f>_xlfn.XLOOKUP(C463,products[Product_ID],products[Product_Name],"not found",0)</f>
        <v>Electra Townie Original 21D - 2016</v>
      </c>
      <c r="I463" t="e">
        <f>VLOOKUP(products!D463,categories[#All],2,TRUE)</f>
        <v>#N/A</v>
      </c>
    </row>
    <row r="464" spans="1:9" x14ac:dyDescent="0.3">
      <c r="A464">
        <v>463</v>
      </c>
      <c r="B464">
        <v>1</v>
      </c>
      <c r="C464">
        <v>13</v>
      </c>
      <c r="D464">
        <v>2</v>
      </c>
      <c r="E464">
        <v>269.99</v>
      </c>
      <c r="F464">
        <v>7.0000000000000007E-2</v>
      </c>
      <c r="G464">
        <f t="shared" si="7"/>
        <v>539.91</v>
      </c>
      <c r="H464" t="str">
        <f>_xlfn.XLOOKUP(C464,products[Product_ID],products[Product_Name],"not found",0)</f>
        <v>Electra Cruiser 1 (24-Inch) - 2016</v>
      </c>
      <c r="I464" t="e">
        <f>VLOOKUP(products!D464,categories[#All],2,TRUE)</f>
        <v>#N/A</v>
      </c>
    </row>
    <row r="465" spans="1:9" x14ac:dyDescent="0.3">
      <c r="A465">
        <v>464</v>
      </c>
      <c r="B465">
        <v>1</v>
      </c>
      <c r="C465">
        <v>7</v>
      </c>
      <c r="D465">
        <v>1</v>
      </c>
      <c r="E465">
        <v>3999.99</v>
      </c>
      <c r="F465">
        <v>0.1</v>
      </c>
      <c r="G465">
        <f t="shared" si="7"/>
        <v>3999.89</v>
      </c>
      <c r="H465" t="str">
        <f>_xlfn.XLOOKUP(C465,products[Product_ID],products[Product_Name],"not found",0)</f>
        <v>Trek Slash 8 27.5 - 2016</v>
      </c>
      <c r="I465" t="e">
        <f>VLOOKUP(products!D465,categories[#All],2,TRUE)</f>
        <v>#N/A</v>
      </c>
    </row>
    <row r="466" spans="1:9" x14ac:dyDescent="0.3">
      <c r="A466">
        <v>465</v>
      </c>
      <c r="B466">
        <v>1</v>
      </c>
      <c r="C466">
        <v>6</v>
      </c>
      <c r="D466">
        <v>2</v>
      </c>
      <c r="E466">
        <v>469.99</v>
      </c>
      <c r="F466">
        <v>0.1</v>
      </c>
      <c r="G466">
        <f t="shared" si="7"/>
        <v>939.88</v>
      </c>
      <c r="H466" t="str">
        <f>_xlfn.XLOOKUP(C466,products[Product_ID],products[Product_Name],"not found",0)</f>
        <v>Surly Ice Cream Truck Frameset - 2016</v>
      </c>
      <c r="I466" t="e">
        <f>VLOOKUP(products!D466,categories[#All],2,TRUE)</f>
        <v>#N/A</v>
      </c>
    </row>
    <row r="467" spans="1:9" x14ac:dyDescent="0.3">
      <c r="A467">
        <v>466</v>
      </c>
      <c r="B467">
        <v>1</v>
      </c>
      <c r="C467">
        <v>19</v>
      </c>
      <c r="D467">
        <v>2</v>
      </c>
      <c r="E467">
        <v>449</v>
      </c>
      <c r="F467">
        <v>0.2</v>
      </c>
      <c r="G467">
        <f t="shared" si="7"/>
        <v>897.8</v>
      </c>
      <c r="H467" t="str">
        <f>_xlfn.XLOOKUP(C467,products[Product_ID],products[Product_Name],"not found",0)</f>
        <v>Pure Cycles William 3-Speed - 2016</v>
      </c>
      <c r="I467" t="e">
        <f>VLOOKUP(products!D467,categories[#All],2,TRUE)</f>
        <v>#N/A</v>
      </c>
    </row>
    <row r="468" spans="1:9" x14ac:dyDescent="0.3">
      <c r="A468">
        <v>467</v>
      </c>
      <c r="B468">
        <v>1</v>
      </c>
      <c r="C468">
        <v>19</v>
      </c>
      <c r="D468">
        <v>1</v>
      </c>
      <c r="E468">
        <v>449</v>
      </c>
      <c r="F468">
        <v>7.0000000000000007E-2</v>
      </c>
      <c r="G468">
        <f t="shared" si="7"/>
        <v>448.93</v>
      </c>
      <c r="H468" t="str">
        <f>_xlfn.XLOOKUP(C468,products[Product_ID],products[Product_Name],"not found",0)</f>
        <v>Pure Cycles William 3-Speed - 2016</v>
      </c>
      <c r="I468" t="e">
        <f>VLOOKUP(products!D468,categories[#All],2,TRUE)</f>
        <v>#N/A</v>
      </c>
    </row>
    <row r="469" spans="1:9" x14ac:dyDescent="0.3">
      <c r="A469">
        <v>468</v>
      </c>
      <c r="B469">
        <v>1</v>
      </c>
      <c r="C469">
        <v>19</v>
      </c>
      <c r="D469">
        <v>1</v>
      </c>
      <c r="E469">
        <v>449</v>
      </c>
      <c r="F469">
        <v>0.1</v>
      </c>
      <c r="G469">
        <f t="shared" si="7"/>
        <v>448.9</v>
      </c>
      <c r="H469" t="str">
        <f>_xlfn.XLOOKUP(C469,products[Product_ID],products[Product_Name],"not found",0)</f>
        <v>Pure Cycles William 3-Speed - 2016</v>
      </c>
      <c r="I469" t="e">
        <f>VLOOKUP(products!D469,categories[#All],2,TRUE)</f>
        <v>#N/A</v>
      </c>
    </row>
    <row r="470" spans="1:9" x14ac:dyDescent="0.3">
      <c r="A470">
        <v>469</v>
      </c>
      <c r="B470">
        <v>1</v>
      </c>
      <c r="C470">
        <v>8</v>
      </c>
      <c r="D470">
        <v>2</v>
      </c>
      <c r="E470">
        <v>1799.99</v>
      </c>
      <c r="F470">
        <v>0.1</v>
      </c>
      <c r="G470">
        <f t="shared" si="7"/>
        <v>3599.88</v>
      </c>
      <c r="H470" t="str">
        <f>_xlfn.XLOOKUP(C470,products[Product_ID],products[Product_Name],"not found",0)</f>
        <v>Trek Remedy 29 Carbon Frameset - 2016</v>
      </c>
      <c r="I470" t="e">
        <f>VLOOKUP(products!D470,categories[#All],2,TRUE)</f>
        <v>#N/A</v>
      </c>
    </row>
    <row r="471" spans="1:9" x14ac:dyDescent="0.3">
      <c r="A471">
        <v>470</v>
      </c>
      <c r="B471">
        <v>1</v>
      </c>
      <c r="C471">
        <v>18</v>
      </c>
      <c r="D471">
        <v>1</v>
      </c>
      <c r="E471">
        <v>449</v>
      </c>
      <c r="F471">
        <v>0.05</v>
      </c>
      <c r="G471">
        <f t="shared" si="7"/>
        <v>448.95</v>
      </c>
      <c r="H471" t="str">
        <f>_xlfn.XLOOKUP(C471,products[Product_ID],products[Product_Name],"not found",0)</f>
        <v>Pure Cycles Western 3-Speed - Women's - 2015/2016</v>
      </c>
      <c r="I471" t="e">
        <f>VLOOKUP(products!D471,categories[#All],2,TRUE)</f>
        <v>#N/A</v>
      </c>
    </row>
    <row r="472" spans="1:9" x14ac:dyDescent="0.3">
      <c r="A472">
        <v>471</v>
      </c>
      <c r="B472">
        <v>1</v>
      </c>
      <c r="C472">
        <v>14</v>
      </c>
      <c r="D472">
        <v>1</v>
      </c>
      <c r="E472">
        <v>269.99</v>
      </c>
      <c r="F472">
        <v>0.2</v>
      </c>
      <c r="G472">
        <f t="shared" si="7"/>
        <v>269.79000000000002</v>
      </c>
      <c r="H472" t="str">
        <f>_xlfn.XLOOKUP(C472,products[Product_ID],products[Product_Name],"not found",0)</f>
        <v>Electra Girl's Hawaii 1 (16-inch) - 2015/2016</v>
      </c>
      <c r="I472" t="e">
        <f>VLOOKUP(products!D472,categories[#All],2,TRUE)</f>
        <v>#N/A</v>
      </c>
    </row>
    <row r="473" spans="1:9" x14ac:dyDescent="0.3">
      <c r="A473">
        <v>472</v>
      </c>
      <c r="B473">
        <v>1</v>
      </c>
      <c r="C473">
        <v>15</v>
      </c>
      <c r="D473">
        <v>1</v>
      </c>
      <c r="E473">
        <v>529.99</v>
      </c>
      <c r="F473">
        <v>0.1</v>
      </c>
      <c r="G473">
        <f t="shared" si="7"/>
        <v>529.89</v>
      </c>
      <c r="H473" t="str">
        <f>_xlfn.XLOOKUP(C473,products[Product_ID],products[Product_Name],"not found",0)</f>
        <v>Electra Moto 1 - 2016</v>
      </c>
      <c r="I473" t="e">
        <f>VLOOKUP(products!D473,categories[#All],2,TRUE)</f>
        <v>#N/A</v>
      </c>
    </row>
    <row r="474" spans="1:9" x14ac:dyDescent="0.3">
      <c r="A474">
        <v>473</v>
      </c>
      <c r="B474">
        <v>1</v>
      </c>
      <c r="C474">
        <v>26</v>
      </c>
      <c r="D474">
        <v>1</v>
      </c>
      <c r="E474">
        <v>599.99</v>
      </c>
      <c r="F474">
        <v>7.0000000000000007E-2</v>
      </c>
      <c r="G474">
        <f t="shared" si="7"/>
        <v>599.91999999999996</v>
      </c>
      <c r="H474" t="str">
        <f>_xlfn.XLOOKUP(C474,products[Product_ID],products[Product_Name],"not found",0)</f>
        <v>Electra Townie Original 7D EQ - 2016</v>
      </c>
      <c r="I474" t="e">
        <f>VLOOKUP(products!D474,categories[#All],2,TRUE)</f>
        <v>#N/A</v>
      </c>
    </row>
    <row r="475" spans="1:9" x14ac:dyDescent="0.3">
      <c r="A475">
        <v>474</v>
      </c>
      <c r="B475">
        <v>1</v>
      </c>
      <c r="C475">
        <v>19</v>
      </c>
      <c r="D475">
        <v>2</v>
      </c>
      <c r="E475">
        <v>449</v>
      </c>
      <c r="F475">
        <v>0.05</v>
      </c>
      <c r="G475">
        <f t="shared" si="7"/>
        <v>897.95</v>
      </c>
      <c r="H475" t="str">
        <f>_xlfn.XLOOKUP(C475,products[Product_ID],products[Product_Name],"not found",0)</f>
        <v>Pure Cycles William 3-Speed - 2016</v>
      </c>
      <c r="I475" t="e">
        <f>VLOOKUP(products!D475,categories[#All],2,TRUE)</f>
        <v>#N/A</v>
      </c>
    </row>
    <row r="476" spans="1:9" x14ac:dyDescent="0.3">
      <c r="A476">
        <v>475</v>
      </c>
      <c r="B476">
        <v>1</v>
      </c>
      <c r="C476">
        <v>17</v>
      </c>
      <c r="D476">
        <v>2</v>
      </c>
      <c r="E476">
        <v>429</v>
      </c>
      <c r="F476">
        <v>7.0000000000000007E-2</v>
      </c>
      <c r="G476">
        <f t="shared" si="7"/>
        <v>857.93</v>
      </c>
      <c r="H476" t="str">
        <f>_xlfn.XLOOKUP(C476,products[Product_ID],products[Product_Name],"not found",0)</f>
        <v>Pure Cycles Vine 8-Speed - 2016</v>
      </c>
      <c r="I476" t="e">
        <f>VLOOKUP(products!D476,categories[#All],2,TRUE)</f>
        <v>#N/A</v>
      </c>
    </row>
    <row r="477" spans="1:9" x14ac:dyDescent="0.3">
      <c r="A477">
        <v>476</v>
      </c>
      <c r="B477">
        <v>1</v>
      </c>
      <c r="C477">
        <v>22</v>
      </c>
      <c r="D477">
        <v>2</v>
      </c>
      <c r="E477">
        <v>269.99</v>
      </c>
      <c r="F477">
        <v>7.0000000000000007E-2</v>
      </c>
      <c r="G477">
        <f t="shared" si="7"/>
        <v>539.91</v>
      </c>
      <c r="H477" t="str">
        <f>_xlfn.XLOOKUP(C477,products[Product_ID],products[Product_Name],"not found",0)</f>
        <v>Electra Girl's Hawaii 1 (16-inch) - 2015/2016</v>
      </c>
      <c r="I477" t="e">
        <f>VLOOKUP(products!D477,categories[#All],2,TRUE)</f>
        <v>#N/A</v>
      </c>
    </row>
    <row r="478" spans="1:9" x14ac:dyDescent="0.3">
      <c r="A478">
        <v>477</v>
      </c>
      <c r="B478">
        <v>1</v>
      </c>
      <c r="C478">
        <v>6</v>
      </c>
      <c r="D478">
        <v>1</v>
      </c>
      <c r="E478">
        <v>469.99</v>
      </c>
      <c r="F478">
        <v>0.1</v>
      </c>
      <c r="G478">
        <f t="shared" si="7"/>
        <v>469.89</v>
      </c>
      <c r="H478" t="str">
        <f>_xlfn.XLOOKUP(C478,products[Product_ID],products[Product_Name],"not found",0)</f>
        <v>Surly Ice Cream Truck Frameset - 2016</v>
      </c>
      <c r="I478" t="e">
        <f>VLOOKUP(products!D478,categories[#All],2,TRUE)</f>
        <v>#N/A</v>
      </c>
    </row>
    <row r="479" spans="1:9" x14ac:dyDescent="0.3">
      <c r="A479">
        <v>478</v>
      </c>
      <c r="B479">
        <v>1</v>
      </c>
      <c r="C479">
        <v>21</v>
      </c>
      <c r="D479">
        <v>2</v>
      </c>
      <c r="E479">
        <v>269.99</v>
      </c>
      <c r="F479">
        <v>7.0000000000000007E-2</v>
      </c>
      <c r="G479">
        <f t="shared" si="7"/>
        <v>539.91</v>
      </c>
      <c r="H479" t="str">
        <f>_xlfn.XLOOKUP(C479,products[Product_ID],products[Product_Name],"not found",0)</f>
        <v>Electra Cruiser 1 (24-Inch) - 2016</v>
      </c>
      <c r="I479" t="e">
        <f>VLOOKUP(products!D479,categories[#All],2,TRUE)</f>
        <v>#N/A</v>
      </c>
    </row>
    <row r="480" spans="1:9" x14ac:dyDescent="0.3">
      <c r="A480">
        <v>479</v>
      </c>
      <c r="B480">
        <v>1</v>
      </c>
      <c r="C480">
        <v>26</v>
      </c>
      <c r="D480">
        <v>1</v>
      </c>
      <c r="E480">
        <v>599.99</v>
      </c>
      <c r="F480">
        <v>7.0000000000000007E-2</v>
      </c>
      <c r="G480">
        <f t="shared" si="7"/>
        <v>599.91999999999996</v>
      </c>
      <c r="H480" t="str">
        <f>_xlfn.XLOOKUP(C480,products[Product_ID],products[Product_Name],"not found",0)</f>
        <v>Electra Townie Original 7D EQ - 2016</v>
      </c>
      <c r="I480" t="e">
        <f>VLOOKUP(products!D480,categories[#All],2,TRUE)</f>
        <v>#N/A</v>
      </c>
    </row>
    <row r="481" spans="1:9" x14ac:dyDescent="0.3">
      <c r="A481">
        <v>480</v>
      </c>
      <c r="B481">
        <v>1</v>
      </c>
      <c r="C481">
        <v>4</v>
      </c>
      <c r="D481">
        <v>1</v>
      </c>
      <c r="E481">
        <v>2899.99</v>
      </c>
      <c r="F481">
        <v>0.05</v>
      </c>
      <c r="G481">
        <f t="shared" si="7"/>
        <v>2899.9399999999996</v>
      </c>
      <c r="H481" t="str">
        <f>_xlfn.XLOOKUP(C481,products[Product_ID],products[Product_Name],"not found",0)</f>
        <v>Trek Fuel EX 8 29 - 2016</v>
      </c>
      <c r="I481" t="e">
        <f>VLOOKUP(products!D481,categories[#All],2,TRUE)</f>
        <v>#N/A</v>
      </c>
    </row>
    <row r="482" spans="1:9" x14ac:dyDescent="0.3">
      <c r="A482">
        <v>481</v>
      </c>
      <c r="B482">
        <v>1</v>
      </c>
      <c r="C482">
        <v>13</v>
      </c>
      <c r="D482">
        <v>2</v>
      </c>
      <c r="E482">
        <v>269.99</v>
      </c>
      <c r="F482">
        <v>0.2</v>
      </c>
      <c r="G482">
        <f t="shared" si="7"/>
        <v>539.78</v>
      </c>
      <c r="H482" t="str">
        <f>_xlfn.XLOOKUP(C482,products[Product_ID],products[Product_Name],"not found",0)</f>
        <v>Electra Cruiser 1 (24-Inch) - 2016</v>
      </c>
      <c r="I482" t="e">
        <f>VLOOKUP(products!D482,categories[#All],2,TRUE)</f>
        <v>#N/A</v>
      </c>
    </row>
    <row r="483" spans="1:9" x14ac:dyDescent="0.3">
      <c r="A483">
        <v>482</v>
      </c>
      <c r="B483">
        <v>1</v>
      </c>
      <c r="C483">
        <v>13</v>
      </c>
      <c r="D483">
        <v>1</v>
      </c>
      <c r="E483">
        <v>269.99</v>
      </c>
      <c r="F483">
        <v>0.2</v>
      </c>
      <c r="G483">
        <f t="shared" si="7"/>
        <v>269.79000000000002</v>
      </c>
      <c r="H483" t="str">
        <f>_xlfn.XLOOKUP(C483,products[Product_ID],products[Product_Name],"not found",0)</f>
        <v>Electra Cruiser 1 (24-Inch) - 2016</v>
      </c>
      <c r="I483" t="e">
        <f>VLOOKUP(products!D483,categories[#All],2,TRUE)</f>
        <v>#N/A</v>
      </c>
    </row>
    <row r="484" spans="1:9" x14ac:dyDescent="0.3">
      <c r="A484">
        <v>483</v>
      </c>
      <c r="B484">
        <v>1</v>
      </c>
      <c r="C484">
        <v>17</v>
      </c>
      <c r="D484">
        <v>1</v>
      </c>
      <c r="E484">
        <v>429</v>
      </c>
      <c r="F484">
        <v>7.0000000000000007E-2</v>
      </c>
      <c r="G484">
        <f t="shared" si="7"/>
        <v>428.93</v>
      </c>
      <c r="H484" t="str">
        <f>_xlfn.XLOOKUP(C484,products[Product_ID],products[Product_Name],"not found",0)</f>
        <v>Pure Cycles Vine 8-Speed - 2016</v>
      </c>
      <c r="I484" t="e">
        <f>VLOOKUP(products!D484,categories[#All],2,TRUE)</f>
        <v>#N/A</v>
      </c>
    </row>
    <row r="485" spans="1:9" x14ac:dyDescent="0.3">
      <c r="A485">
        <v>484</v>
      </c>
      <c r="B485">
        <v>1</v>
      </c>
      <c r="C485">
        <v>8</v>
      </c>
      <c r="D485">
        <v>2</v>
      </c>
      <c r="E485">
        <v>1799.99</v>
      </c>
      <c r="F485">
        <v>0.1</v>
      </c>
      <c r="G485">
        <f t="shared" si="7"/>
        <v>3599.88</v>
      </c>
      <c r="H485" t="str">
        <f>_xlfn.XLOOKUP(C485,products[Product_ID],products[Product_Name],"not found",0)</f>
        <v>Trek Remedy 29 Carbon Frameset - 2016</v>
      </c>
      <c r="I485" t="e">
        <f>VLOOKUP(products!D485,categories[#All],2,TRUE)</f>
        <v>#N/A</v>
      </c>
    </row>
    <row r="486" spans="1:9" x14ac:dyDescent="0.3">
      <c r="A486">
        <v>485</v>
      </c>
      <c r="B486">
        <v>1</v>
      </c>
      <c r="C486">
        <v>13</v>
      </c>
      <c r="D486">
        <v>1</v>
      </c>
      <c r="E486">
        <v>269.99</v>
      </c>
      <c r="F486">
        <v>0.1</v>
      </c>
      <c r="G486">
        <f t="shared" si="7"/>
        <v>269.89</v>
      </c>
      <c r="H486" t="str">
        <f>_xlfn.XLOOKUP(C486,products[Product_ID],products[Product_Name],"not found",0)</f>
        <v>Electra Cruiser 1 (24-Inch) - 2016</v>
      </c>
      <c r="I486" t="e">
        <f>VLOOKUP(products!D486,categories[#All],2,TRUE)</f>
        <v>#N/A</v>
      </c>
    </row>
    <row r="487" spans="1:9" x14ac:dyDescent="0.3">
      <c r="A487">
        <v>486</v>
      </c>
      <c r="B487">
        <v>1</v>
      </c>
      <c r="C487">
        <v>9</v>
      </c>
      <c r="D487">
        <v>1</v>
      </c>
      <c r="E487">
        <v>2999.99</v>
      </c>
      <c r="F487">
        <v>7.0000000000000007E-2</v>
      </c>
      <c r="G487">
        <f t="shared" si="7"/>
        <v>2999.9199999999996</v>
      </c>
      <c r="H487" t="str">
        <f>_xlfn.XLOOKUP(C487,products[Product_ID],products[Product_Name],"not found",0)</f>
        <v>Trek Conduit+ - 2016</v>
      </c>
      <c r="I487" t="e">
        <f>VLOOKUP(products!D487,categories[#All],2,TRUE)</f>
        <v>#N/A</v>
      </c>
    </row>
    <row r="488" spans="1:9" x14ac:dyDescent="0.3">
      <c r="A488">
        <v>487</v>
      </c>
      <c r="B488">
        <v>1</v>
      </c>
      <c r="C488">
        <v>6</v>
      </c>
      <c r="D488">
        <v>1</v>
      </c>
      <c r="E488">
        <v>469.99</v>
      </c>
      <c r="F488">
        <v>0.2</v>
      </c>
      <c r="G488">
        <f t="shared" si="7"/>
        <v>469.79</v>
      </c>
      <c r="H488" t="str">
        <f>_xlfn.XLOOKUP(C488,products[Product_ID],products[Product_Name],"not found",0)</f>
        <v>Surly Ice Cream Truck Frameset - 2016</v>
      </c>
      <c r="I488" t="e">
        <f>VLOOKUP(products!D488,categories[#All],2,TRUE)</f>
        <v>#N/A</v>
      </c>
    </row>
    <row r="489" spans="1:9" x14ac:dyDescent="0.3">
      <c r="A489">
        <v>488</v>
      </c>
      <c r="B489">
        <v>1</v>
      </c>
      <c r="C489">
        <v>13</v>
      </c>
      <c r="D489">
        <v>2</v>
      </c>
      <c r="E489">
        <v>269.99</v>
      </c>
      <c r="F489">
        <v>7.0000000000000007E-2</v>
      </c>
      <c r="G489">
        <f t="shared" si="7"/>
        <v>539.91</v>
      </c>
      <c r="H489" t="str">
        <f>_xlfn.XLOOKUP(C489,products[Product_ID],products[Product_Name],"not found",0)</f>
        <v>Electra Cruiser 1 (24-Inch) - 2016</v>
      </c>
      <c r="I489" t="e">
        <f>VLOOKUP(products!D489,categories[#All],2,TRUE)</f>
        <v>#N/A</v>
      </c>
    </row>
    <row r="490" spans="1:9" x14ac:dyDescent="0.3">
      <c r="A490">
        <v>489</v>
      </c>
      <c r="B490">
        <v>1</v>
      </c>
      <c r="C490">
        <v>8</v>
      </c>
      <c r="D490">
        <v>2</v>
      </c>
      <c r="E490">
        <v>1799.99</v>
      </c>
      <c r="F490">
        <v>0.1</v>
      </c>
      <c r="G490">
        <f t="shared" si="7"/>
        <v>3599.88</v>
      </c>
      <c r="H490" t="str">
        <f>_xlfn.XLOOKUP(C490,products[Product_ID],products[Product_Name],"not found",0)</f>
        <v>Trek Remedy 29 Carbon Frameset - 2016</v>
      </c>
      <c r="I490" t="e">
        <f>VLOOKUP(products!D490,categories[#All],2,TRUE)</f>
        <v>#N/A</v>
      </c>
    </row>
    <row r="491" spans="1:9" x14ac:dyDescent="0.3">
      <c r="A491">
        <v>490</v>
      </c>
      <c r="B491">
        <v>1</v>
      </c>
      <c r="C491">
        <v>12</v>
      </c>
      <c r="D491">
        <v>1</v>
      </c>
      <c r="E491">
        <v>549.99</v>
      </c>
      <c r="F491">
        <v>0.1</v>
      </c>
      <c r="G491">
        <f t="shared" si="7"/>
        <v>549.89</v>
      </c>
      <c r="H491" t="str">
        <f>_xlfn.XLOOKUP(C491,products[Product_ID],products[Product_Name],"not found",0)</f>
        <v>Electra Townie Original 21D - 2016</v>
      </c>
      <c r="I491" t="e">
        <f>VLOOKUP(products!D491,categories[#All],2,TRUE)</f>
        <v>#N/A</v>
      </c>
    </row>
    <row r="492" spans="1:9" x14ac:dyDescent="0.3">
      <c r="A492">
        <v>491</v>
      </c>
      <c r="B492">
        <v>1</v>
      </c>
      <c r="C492">
        <v>9</v>
      </c>
      <c r="D492">
        <v>2</v>
      </c>
      <c r="E492">
        <v>2999.99</v>
      </c>
      <c r="F492">
        <v>0.2</v>
      </c>
      <c r="G492">
        <f t="shared" si="7"/>
        <v>5999.78</v>
      </c>
      <c r="H492" t="str">
        <f>_xlfn.XLOOKUP(C492,products[Product_ID],products[Product_Name],"not found",0)</f>
        <v>Trek Conduit+ - 2016</v>
      </c>
      <c r="I492" t="e">
        <f>VLOOKUP(products!D492,categories[#All],2,TRUE)</f>
        <v>#N/A</v>
      </c>
    </row>
    <row r="493" spans="1:9" x14ac:dyDescent="0.3">
      <c r="A493">
        <v>492</v>
      </c>
      <c r="B493">
        <v>1</v>
      </c>
      <c r="C493">
        <v>6</v>
      </c>
      <c r="D493">
        <v>1</v>
      </c>
      <c r="E493">
        <v>469.99</v>
      </c>
      <c r="F493">
        <v>0.1</v>
      </c>
      <c r="G493">
        <f t="shared" si="7"/>
        <v>469.89</v>
      </c>
      <c r="H493" t="str">
        <f>_xlfn.XLOOKUP(C493,products[Product_ID],products[Product_Name],"not found",0)</f>
        <v>Surly Ice Cream Truck Frameset - 2016</v>
      </c>
      <c r="I493" t="e">
        <f>VLOOKUP(products!D493,categories[#All],2,TRUE)</f>
        <v>#N/A</v>
      </c>
    </row>
    <row r="494" spans="1:9" x14ac:dyDescent="0.3">
      <c r="A494">
        <v>493</v>
      </c>
      <c r="B494">
        <v>1</v>
      </c>
      <c r="C494">
        <v>15</v>
      </c>
      <c r="D494">
        <v>1</v>
      </c>
      <c r="E494">
        <v>529.99</v>
      </c>
      <c r="F494">
        <v>0.05</v>
      </c>
      <c r="G494">
        <f t="shared" si="7"/>
        <v>529.94000000000005</v>
      </c>
      <c r="H494" t="str">
        <f>_xlfn.XLOOKUP(C494,products[Product_ID],products[Product_Name],"not found",0)</f>
        <v>Electra Moto 1 - 2016</v>
      </c>
      <c r="I494" t="e">
        <f>VLOOKUP(products!D494,categories[#All],2,TRUE)</f>
        <v>#N/A</v>
      </c>
    </row>
    <row r="495" spans="1:9" x14ac:dyDescent="0.3">
      <c r="A495">
        <v>494</v>
      </c>
      <c r="B495">
        <v>1</v>
      </c>
      <c r="C495">
        <v>23</v>
      </c>
      <c r="D495">
        <v>1</v>
      </c>
      <c r="E495">
        <v>299.99</v>
      </c>
      <c r="F495">
        <v>0.1</v>
      </c>
      <c r="G495">
        <f t="shared" si="7"/>
        <v>299.89</v>
      </c>
      <c r="H495" t="str">
        <f>_xlfn.XLOOKUP(C495,products[Product_ID],products[Product_Name],"not found",0)</f>
        <v>Electra Girl's Hawaii 1 (20-inch) - 2015/2016</v>
      </c>
      <c r="I495" t="e">
        <f>VLOOKUP(products!D495,categories[#All],2,TRUE)</f>
        <v>#N/A</v>
      </c>
    </row>
    <row r="496" spans="1:9" x14ac:dyDescent="0.3">
      <c r="A496">
        <v>495</v>
      </c>
      <c r="B496">
        <v>1</v>
      </c>
      <c r="C496">
        <v>22</v>
      </c>
      <c r="D496">
        <v>1</v>
      </c>
      <c r="E496">
        <v>269.99</v>
      </c>
      <c r="F496">
        <v>0.2</v>
      </c>
      <c r="G496">
        <f t="shared" si="7"/>
        <v>269.79000000000002</v>
      </c>
      <c r="H496" t="str">
        <f>_xlfn.XLOOKUP(C496,products[Product_ID],products[Product_Name],"not found",0)</f>
        <v>Electra Girl's Hawaii 1 (16-inch) - 2015/2016</v>
      </c>
      <c r="I496" t="e">
        <f>VLOOKUP(products!D496,categories[#All],2,TRUE)</f>
        <v>#N/A</v>
      </c>
    </row>
    <row r="497" spans="1:9" x14ac:dyDescent="0.3">
      <c r="A497">
        <v>496</v>
      </c>
      <c r="B497">
        <v>1</v>
      </c>
      <c r="C497">
        <v>23</v>
      </c>
      <c r="D497">
        <v>1</v>
      </c>
      <c r="E497">
        <v>299.99</v>
      </c>
      <c r="F497">
        <v>0.2</v>
      </c>
      <c r="G497">
        <f t="shared" si="7"/>
        <v>299.79000000000002</v>
      </c>
      <c r="H497" t="str">
        <f>_xlfn.XLOOKUP(C497,products[Product_ID],products[Product_Name],"not found",0)</f>
        <v>Electra Girl's Hawaii 1 (20-inch) - 2015/2016</v>
      </c>
      <c r="I497" t="e">
        <f>VLOOKUP(products!D497,categories[#All],2,TRUE)</f>
        <v>#N/A</v>
      </c>
    </row>
    <row r="498" spans="1:9" x14ac:dyDescent="0.3">
      <c r="A498">
        <v>497</v>
      </c>
      <c r="B498">
        <v>1</v>
      </c>
      <c r="C498">
        <v>25</v>
      </c>
      <c r="D498">
        <v>2</v>
      </c>
      <c r="E498">
        <v>499.99</v>
      </c>
      <c r="F498">
        <v>7.0000000000000007E-2</v>
      </c>
      <c r="G498">
        <f t="shared" si="7"/>
        <v>999.91</v>
      </c>
      <c r="H498" t="str">
        <f>_xlfn.XLOOKUP(C498,products[Product_ID],products[Product_Name],"not found",0)</f>
        <v>Electra Townie Original 7D - 2015/2016</v>
      </c>
      <c r="I498" t="e">
        <f>VLOOKUP(products!D498,categories[#All],2,TRUE)</f>
        <v>#N/A</v>
      </c>
    </row>
    <row r="499" spans="1:9" x14ac:dyDescent="0.3">
      <c r="A499">
        <v>498</v>
      </c>
      <c r="B499">
        <v>1</v>
      </c>
      <c r="C499">
        <v>24</v>
      </c>
      <c r="D499">
        <v>1</v>
      </c>
      <c r="E499">
        <v>549.99</v>
      </c>
      <c r="F499">
        <v>7.0000000000000007E-2</v>
      </c>
      <c r="G499">
        <f t="shared" si="7"/>
        <v>549.91999999999996</v>
      </c>
      <c r="H499" t="str">
        <f>_xlfn.XLOOKUP(C499,products[Product_ID],products[Product_Name],"not found",0)</f>
        <v>Electra Townie Original 21D - 2016</v>
      </c>
      <c r="I499" t="e">
        <f>VLOOKUP(products!D499,categories[#All],2,TRUE)</f>
        <v>#N/A</v>
      </c>
    </row>
    <row r="500" spans="1:9" x14ac:dyDescent="0.3">
      <c r="A500">
        <v>499</v>
      </c>
      <c r="B500">
        <v>1</v>
      </c>
      <c r="C500">
        <v>11</v>
      </c>
      <c r="D500">
        <v>1</v>
      </c>
      <c r="E500">
        <v>1680.99</v>
      </c>
      <c r="F500">
        <v>0.2</v>
      </c>
      <c r="G500">
        <f t="shared" si="7"/>
        <v>1680.79</v>
      </c>
      <c r="H500" t="str">
        <f>_xlfn.XLOOKUP(C500,products[Product_ID],products[Product_Name],"not found",0)</f>
        <v>Surly Straggler 650b - 2016</v>
      </c>
      <c r="I500" t="e">
        <f>VLOOKUP(products!D500,categories[#All],2,TRUE)</f>
        <v>#N/A</v>
      </c>
    </row>
    <row r="501" spans="1:9" x14ac:dyDescent="0.3">
      <c r="A501">
        <v>500</v>
      </c>
      <c r="B501">
        <v>1</v>
      </c>
      <c r="C501">
        <v>12</v>
      </c>
      <c r="D501">
        <v>2</v>
      </c>
      <c r="E501">
        <v>549.99</v>
      </c>
      <c r="F501">
        <v>0.05</v>
      </c>
      <c r="G501">
        <f t="shared" si="7"/>
        <v>1099.93</v>
      </c>
      <c r="H501" t="str">
        <f>_xlfn.XLOOKUP(C501,products[Product_ID],products[Product_Name],"not found",0)</f>
        <v>Electra Townie Original 21D - 2016</v>
      </c>
      <c r="I501" t="e">
        <f>VLOOKUP(products!D501,categories[#All],2,TRUE)</f>
        <v>#N/A</v>
      </c>
    </row>
    <row r="502" spans="1:9" x14ac:dyDescent="0.3">
      <c r="A502">
        <v>501</v>
      </c>
      <c r="B502">
        <v>1</v>
      </c>
      <c r="C502">
        <v>19</v>
      </c>
      <c r="D502">
        <v>2</v>
      </c>
      <c r="E502">
        <v>449</v>
      </c>
      <c r="F502">
        <v>0.05</v>
      </c>
      <c r="G502">
        <f t="shared" si="7"/>
        <v>897.95</v>
      </c>
      <c r="H502" t="str">
        <f>_xlfn.XLOOKUP(C502,products[Product_ID],products[Product_Name],"not found",0)</f>
        <v>Pure Cycles William 3-Speed - 2016</v>
      </c>
      <c r="I502" t="e">
        <f>VLOOKUP(products!D502,categories[#All],2,TRUE)</f>
        <v>#N/A</v>
      </c>
    </row>
    <row r="503" spans="1:9" x14ac:dyDescent="0.3">
      <c r="A503">
        <v>502</v>
      </c>
      <c r="B503">
        <v>1</v>
      </c>
      <c r="C503">
        <v>13</v>
      </c>
      <c r="D503">
        <v>1</v>
      </c>
      <c r="E503">
        <v>269.99</v>
      </c>
      <c r="F503">
        <v>0.05</v>
      </c>
      <c r="G503">
        <f t="shared" si="7"/>
        <v>269.94</v>
      </c>
      <c r="H503" t="str">
        <f>_xlfn.XLOOKUP(C503,products[Product_ID],products[Product_Name],"not found",0)</f>
        <v>Electra Cruiser 1 (24-Inch) - 2016</v>
      </c>
      <c r="I503" t="e">
        <f>VLOOKUP(products!D503,categories[#All],2,TRUE)</f>
        <v>#N/A</v>
      </c>
    </row>
    <row r="504" spans="1:9" x14ac:dyDescent="0.3">
      <c r="A504">
        <v>503</v>
      </c>
      <c r="B504">
        <v>1</v>
      </c>
      <c r="C504">
        <v>13</v>
      </c>
      <c r="D504">
        <v>2</v>
      </c>
      <c r="E504">
        <v>269.99</v>
      </c>
      <c r="F504">
        <v>7.0000000000000007E-2</v>
      </c>
      <c r="G504">
        <f t="shared" si="7"/>
        <v>539.91</v>
      </c>
      <c r="H504" t="str">
        <f>_xlfn.XLOOKUP(C504,products[Product_ID],products[Product_Name],"not found",0)</f>
        <v>Electra Cruiser 1 (24-Inch) - 2016</v>
      </c>
      <c r="I504" t="e">
        <f>VLOOKUP(products!D504,categories[#All],2,TRUE)</f>
        <v>#N/A</v>
      </c>
    </row>
    <row r="505" spans="1:9" x14ac:dyDescent="0.3">
      <c r="A505">
        <v>504</v>
      </c>
      <c r="B505">
        <v>1</v>
      </c>
      <c r="C505">
        <v>24</v>
      </c>
      <c r="D505">
        <v>2</v>
      </c>
      <c r="E505">
        <v>549.99</v>
      </c>
      <c r="F505">
        <v>0.1</v>
      </c>
      <c r="G505">
        <f t="shared" si="7"/>
        <v>1099.8800000000001</v>
      </c>
      <c r="H505" t="str">
        <f>_xlfn.XLOOKUP(C505,products[Product_ID],products[Product_Name],"not found",0)</f>
        <v>Electra Townie Original 21D - 2016</v>
      </c>
      <c r="I505" t="e">
        <f>VLOOKUP(products!D505,categories[#All],2,TRUE)</f>
        <v>#N/A</v>
      </c>
    </row>
    <row r="506" spans="1:9" x14ac:dyDescent="0.3">
      <c r="A506">
        <v>505</v>
      </c>
      <c r="B506">
        <v>1</v>
      </c>
      <c r="C506">
        <v>26</v>
      </c>
      <c r="D506">
        <v>1</v>
      </c>
      <c r="E506">
        <v>599.99</v>
      </c>
      <c r="F506">
        <v>0.2</v>
      </c>
      <c r="G506">
        <f t="shared" si="7"/>
        <v>599.79</v>
      </c>
      <c r="H506" t="str">
        <f>_xlfn.XLOOKUP(C506,products[Product_ID],products[Product_Name],"not found",0)</f>
        <v>Electra Townie Original 7D EQ - 2016</v>
      </c>
      <c r="I506" t="e">
        <f>VLOOKUP(products!D506,categories[#All],2,TRUE)</f>
        <v>#N/A</v>
      </c>
    </row>
    <row r="507" spans="1:9" x14ac:dyDescent="0.3">
      <c r="A507">
        <v>506</v>
      </c>
      <c r="B507">
        <v>1</v>
      </c>
      <c r="C507">
        <v>25</v>
      </c>
      <c r="D507">
        <v>1</v>
      </c>
      <c r="E507">
        <v>499.99</v>
      </c>
      <c r="F507">
        <v>0.1</v>
      </c>
      <c r="G507">
        <f t="shared" si="7"/>
        <v>499.89</v>
      </c>
      <c r="H507" t="str">
        <f>_xlfn.XLOOKUP(C507,products[Product_ID],products[Product_Name],"not found",0)</f>
        <v>Electra Townie Original 7D - 2015/2016</v>
      </c>
      <c r="I507" t="e">
        <f>VLOOKUP(products!D507,categories[#All],2,TRUE)</f>
        <v>#N/A</v>
      </c>
    </row>
    <row r="508" spans="1:9" x14ac:dyDescent="0.3">
      <c r="A508">
        <v>507</v>
      </c>
      <c r="B508">
        <v>1</v>
      </c>
      <c r="C508">
        <v>11</v>
      </c>
      <c r="D508">
        <v>2</v>
      </c>
      <c r="E508">
        <v>1680.99</v>
      </c>
      <c r="F508">
        <v>0.05</v>
      </c>
      <c r="G508">
        <f t="shared" si="7"/>
        <v>3361.93</v>
      </c>
      <c r="H508" t="str">
        <f>_xlfn.XLOOKUP(C508,products[Product_ID],products[Product_Name],"not found",0)</f>
        <v>Surly Straggler 650b - 2016</v>
      </c>
      <c r="I508" t="e">
        <f>VLOOKUP(products!D508,categories[#All],2,TRUE)</f>
        <v>#N/A</v>
      </c>
    </row>
    <row r="509" spans="1:9" x14ac:dyDescent="0.3">
      <c r="A509">
        <v>508</v>
      </c>
      <c r="B509">
        <v>1</v>
      </c>
      <c r="C509">
        <v>8</v>
      </c>
      <c r="D509">
        <v>1</v>
      </c>
      <c r="E509">
        <v>1799.99</v>
      </c>
      <c r="F509">
        <v>0.05</v>
      </c>
      <c r="G509">
        <f t="shared" si="7"/>
        <v>1799.94</v>
      </c>
      <c r="H509" t="str">
        <f>_xlfn.XLOOKUP(C509,products[Product_ID],products[Product_Name],"not found",0)</f>
        <v>Trek Remedy 29 Carbon Frameset - 2016</v>
      </c>
      <c r="I509" t="e">
        <f>VLOOKUP(products!D509,categories[#All],2,TRUE)</f>
        <v>#N/A</v>
      </c>
    </row>
    <row r="510" spans="1:9" x14ac:dyDescent="0.3">
      <c r="A510">
        <v>509</v>
      </c>
      <c r="B510">
        <v>1</v>
      </c>
      <c r="C510">
        <v>23</v>
      </c>
      <c r="D510">
        <v>2</v>
      </c>
      <c r="E510">
        <v>299.99</v>
      </c>
      <c r="F510">
        <v>0.2</v>
      </c>
      <c r="G510">
        <f t="shared" si="7"/>
        <v>599.78</v>
      </c>
      <c r="H510" t="str">
        <f>_xlfn.XLOOKUP(C510,products[Product_ID],products[Product_Name],"not found",0)</f>
        <v>Electra Girl's Hawaii 1 (20-inch) - 2015/2016</v>
      </c>
      <c r="I510" t="e">
        <f>VLOOKUP(products!D510,categories[#All],2,TRUE)</f>
        <v>#N/A</v>
      </c>
    </row>
    <row r="511" spans="1:9" x14ac:dyDescent="0.3">
      <c r="A511">
        <v>510</v>
      </c>
      <c r="B511">
        <v>1</v>
      </c>
      <c r="C511">
        <v>17</v>
      </c>
      <c r="D511">
        <v>1</v>
      </c>
      <c r="E511">
        <v>429</v>
      </c>
      <c r="F511">
        <v>0.1</v>
      </c>
      <c r="G511">
        <f t="shared" si="7"/>
        <v>428.9</v>
      </c>
      <c r="H511" t="str">
        <f>_xlfn.XLOOKUP(C511,products[Product_ID],products[Product_Name],"not found",0)</f>
        <v>Pure Cycles Vine 8-Speed - 2016</v>
      </c>
      <c r="I511" t="e">
        <f>VLOOKUP(products!D511,categories[#All],2,TRUE)</f>
        <v>#N/A</v>
      </c>
    </row>
    <row r="512" spans="1:9" x14ac:dyDescent="0.3">
      <c r="A512">
        <v>511</v>
      </c>
      <c r="B512">
        <v>1</v>
      </c>
      <c r="C512">
        <v>22</v>
      </c>
      <c r="D512">
        <v>2</v>
      </c>
      <c r="E512">
        <v>269.99</v>
      </c>
      <c r="F512">
        <v>0.05</v>
      </c>
      <c r="G512">
        <f t="shared" si="7"/>
        <v>539.93000000000006</v>
      </c>
      <c r="H512" t="str">
        <f>_xlfn.XLOOKUP(C512,products[Product_ID],products[Product_Name],"not found",0)</f>
        <v>Electra Girl's Hawaii 1 (16-inch) - 2015/2016</v>
      </c>
      <c r="I512" t="e">
        <f>VLOOKUP(products!D512,categories[#All],2,TRUE)</f>
        <v>#N/A</v>
      </c>
    </row>
    <row r="513" spans="1:9" x14ac:dyDescent="0.3">
      <c r="A513">
        <v>512</v>
      </c>
      <c r="B513">
        <v>1</v>
      </c>
      <c r="C513">
        <v>21</v>
      </c>
      <c r="D513">
        <v>1</v>
      </c>
      <c r="E513">
        <v>269.99</v>
      </c>
      <c r="F513">
        <v>7.0000000000000007E-2</v>
      </c>
      <c r="G513">
        <f t="shared" si="7"/>
        <v>269.92</v>
      </c>
      <c r="H513" t="str">
        <f>_xlfn.XLOOKUP(C513,products[Product_ID],products[Product_Name],"not found",0)</f>
        <v>Electra Cruiser 1 (24-Inch) - 2016</v>
      </c>
      <c r="I513" t="e">
        <f>VLOOKUP(products!D513,categories[#All],2,TRUE)</f>
        <v>#N/A</v>
      </c>
    </row>
    <row r="514" spans="1:9" x14ac:dyDescent="0.3">
      <c r="A514">
        <v>513</v>
      </c>
      <c r="B514">
        <v>1</v>
      </c>
      <c r="C514">
        <v>7</v>
      </c>
      <c r="D514">
        <v>1</v>
      </c>
      <c r="E514">
        <v>3999.99</v>
      </c>
      <c r="F514">
        <v>7.0000000000000007E-2</v>
      </c>
      <c r="G514">
        <f t="shared" ref="G514:G577" si="8">(E514*D514)-F514</f>
        <v>3999.9199999999996</v>
      </c>
      <c r="H514" t="str">
        <f>_xlfn.XLOOKUP(C514,products[Product_ID],products[Product_Name],"not found",0)</f>
        <v>Trek Slash 8 27.5 - 2016</v>
      </c>
      <c r="I514" t="e">
        <f>VLOOKUP(products!D514,categories[#All],2,TRUE)</f>
        <v>#N/A</v>
      </c>
    </row>
    <row r="515" spans="1:9" x14ac:dyDescent="0.3">
      <c r="A515">
        <v>514</v>
      </c>
      <c r="B515">
        <v>1</v>
      </c>
      <c r="C515">
        <v>18</v>
      </c>
      <c r="D515">
        <v>2</v>
      </c>
      <c r="E515">
        <v>449</v>
      </c>
      <c r="F515">
        <v>0.2</v>
      </c>
      <c r="G515">
        <f t="shared" si="8"/>
        <v>897.8</v>
      </c>
      <c r="H515" t="str">
        <f>_xlfn.XLOOKUP(C515,products[Product_ID],products[Product_Name],"not found",0)</f>
        <v>Pure Cycles Western 3-Speed - Women's - 2015/2016</v>
      </c>
      <c r="I515" t="e">
        <f>VLOOKUP(products!D515,categories[#All],2,TRUE)</f>
        <v>#N/A</v>
      </c>
    </row>
    <row r="516" spans="1:9" x14ac:dyDescent="0.3">
      <c r="A516">
        <v>515</v>
      </c>
      <c r="B516">
        <v>1</v>
      </c>
      <c r="C516">
        <v>8</v>
      </c>
      <c r="D516">
        <v>1</v>
      </c>
      <c r="E516">
        <v>1799.99</v>
      </c>
      <c r="F516">
        <v>7.0000000000000007E-2</v>
      </c>
      <c r="G516">
        <f t="shared" si="8"/>
        <v>1799.92</v>
      </c>
      <c r="H516" t="str">
        <f>_xlfn.XLOOKUP(C516,products[Product_ID],products[Product_Name],"not found",0)</f>
        <v>Trek Remedy 29 Carbon Frameset - 2016</v>
      </c>
      <c r="I516" t="e">
        <f>VLOOKUP(products!D516,categories[#All],2,TRUE)</f>
        <v>#N/A</v>
      </c>
    </row>
    <row r="517" spans="1:9" x14ac:dyDescent="0.3">
      <c r="A517">
        <v>516</v>
      </c>
      <c r="B517">
        <v>1</v>
      </c>
      <c r="C517">
        <v>7</v>
      </c>
      <c r="D517">
        <v>1</v>
      </c>
      <c r="E517">
        <v>3999.99</v>
      </c>
      <c r="F517">
        <v>0.05</v>
      </c>
      <c r="G517">
        <f t="shared" si="8"/>
        <v>3999.9399999999996</v>
      </c>
      <c r="H517" t="str">
        <f>_xlfn.XLOOKUP(C517,products[Product_ID],products[Product_Name],"not found",0)</f>
        <v>Trek Slash 8 27.5 - 2016</v>
      </c>
      <c r="I517" t="e">
        <f>VLOOKUP(products!D517,categories[#All],2,TRUE)</f>
        <v>#N/A</v>
      </c>
    </row>
    <row r="518" spans="1:9" x14ac:dyDescent="0.3">
      <c r="A518">
        <v>517</v>
      </c>
      <c r="B518">
        <v>1</v>
      </c>
      <c r="C518">
        <v>21</v>
      </c>
      <c r="D518">
        <v>2</v>
      </c>
      <c r="E518">
        <v>269.99</v>
      </c>
      <c r="F518">
        <v>7.0000000000000007E-2</v>
      </c>
      <c r="G518">
        <f t="shared" si="8"/>
        <v>539.91</v>
      </c>
      <c r="H518" t="str">
        <f>_xlfn.XLOOKUP(C518,products[Product_ID],products[Product_Name],"not found",0)</f>
        <v>Electra Cruiser 1 (24-Inch) - 2016</v>
      </c>
      <c r="I518" t="e">
        <f>VLOOKUP(products!D518,categories[#All],2,TRUE)</f>
        <v>#N/A</v>
      </c>
    </row>
    <row r="519" spans="1:9" x14ac:dyDescent="0.3">
      <c r="A519">
        <v>518</v>
      </c>
      <c r="B519">
        <v>1</v>
      </c>
      <c r="C519">
        <v>16</v>
      </c>
      <c r="D519">
        <v>2</v>
      </c>
      <c r="E519">
        <v>599.99</v>
      </c>
      <c r="F519">
        <v>0.2</v>
      </c>
      <c r="G519">
        <f t="shared" si="8"/>
        <v>1199.78</v>
      </c>
      <c r="H519" t="str">
        <f>_xlfn.XLOOKUP(C519,products[Product_ID],products[Product_Name],"not found",0)</f>
        <v>Electra Townie Original 7D EQ - 2016</v>
      </c>
      <c r="I519" t="e">
        <f>VLOOKUP(products!D519,categories[#All],2,TRUE)</f>
        <v>#N/A</v>
      </c>
    </row>
    <row r="520" spans="1:9" x14ac:dyDescent="0.3">
      <c r="A520">
        <v>519</v>
      </c>
      <c r="B520">
        <v>1</v>
      </c>
      <c r="C520">
        <v>6</v>
      </c>
      <c r="D520">
        <v>1</v>
      </c>
      <c r="E520">
        <v>469.99</v>
      </c>
      <c r="F520">
        <v>7.0000000000000007E-2</v>
      </c>
      <c r="G520">
        <f t="shared" si="8"/>
        <v>469.92</v>
      </c>
      <c r="H520" t="str">
        <f>_xlfn.XLOOKUP(C520,products[Product_ID],products[Product_Name],"not found",0)</f>
        <v>Surly Ice Cream Truck Frameset - 2016</v>
      </c>
      <c r="I520" t="e">
        <f>VLOOKUP(products!D520,categories[#All],2,TRUE)</f>
        <v>#N/A</v>
      </c>
    </row>
    <row r="521" spans="1:9" x14ac:dyDescent="0.3">
      <c r="A521">
        <v>520</v>
      </c>
      <c r="B521">
        <v>1</v>
      </c>
      <c r="C521">
        <v>26</v>
      </c>
      <c r="D521">
        <v>1</v>
      </c>
      <c r="E521">
        <v>599.99</v>
      </c>
      <c r="F521">
        <v>0.1</v>
      </c>
      <c r="G521">
        <f t="shared" si="8"/>
        <v>599.89</v>
      </c>
      <c r="H521" t="str">
        <f>_xlfn.XLOOKUP(C521,products[Product_ID],products[Product_Name],"not found",0)</f>
        <v>Electra Townie Original 7D EQ - 2016</v>
      </c>
      <c r="I521" t="e">
        <f>VLOOKUP(products!D521,categories[#All],2,TRUE)</f>
        <v>#N/A</v>
      </c>
    </row>
    <row r="522" spans="1:9" x14ac:dyDescent="0.3">
      <c r="A522">
        <v>521</v>
      </c>
      <c r="B522">
        <v>1</v>
      </c>
      <c r="C522">
        <v>5</v>
      </c>
      <c r="D522">
        <v>1</v>
      </c>
      <c r="E522">
        <v>1320.99</v>
      </c>
      <c r="F522">
        <v>0.2</v>
      </c>
      <c r="G522">
        <f t="shared" si="8"/>
        <v>1320.79</v>
      </c>
      <c r="H522" t="str">
        <f>_xlfn.XLOOKUP(C522,products[Product_ID],products[Product_Name],"not found",0)</f>
        <v>Heller Shagamaw Frame - 2016</v>
      </c>
      <c r="I522" t="e">
        <f>VLOOKUP(products!D522,categories[#All],2,TRUE)</f>
        <v>#N/A</v>
      </c>
    </row>
    <row r="523" spans="1:9" x14ac:dyDescent="0.3">
      <c r="A523">
        <v>522</v>
      </c>
      <c r="B523">
        <v>1</v>
      </c>
      <c r="C523">
        <v>4</v>
      </c>
      <c r="D523">
        <v>2</v>
      </c>
      <c r="E523">
        <v>2899.99</v>
      </c>
      <c r="F523">
        <v>7.0000000000000007E-2</v>
      </c>
      <c r="G523">
        <f t="shared" si="8"/>
        <v>5799.91</v>
      </c>
      <c r="H523" t="str">
        <f>_xlfn.XLOOKUP(C523,products[Product_ID],products[Product_Name],"not found",0)</f>
        <v>Trek Fuel EX 8 29 - 2016</v>
      </c>
      <c r="I523" t="e">
        <f>VLOOKUP(products!D523,categories[#All],2,TRUE)</f>
        <v>#N/A</v>
      </c>
    </row>
    <row r="524" spans="1:9" x14ac:dyDescent="0.3">
      <c r="A524">
        <v>523</v>
      </c>
      <c r="B524">
        <v>1</v>
      </c>
      <c r="C524">
        <v>12</v>
      </c>
      <c r="D524">
        <v>1</v>
      </c>
      <c r="E524">
        <v>549.99</v>
      </c>
      <c r="F524">
        <v>0.2</v>
      </c>
      <c r="G524">
        <f t="shared" si="8"/>
        <v>549.79</v>
      </c>
      <c r="H524" t="str">
        <f>_xlfn.XLOOKUP(C524,products[Product_ID],products[Product_Name],"not found",0)</f>
        <v>Electra Townie Original 21D - 2016</v>
      </c>
      <c r="I524" t="e">
        <f>VLOOKUP(products!D524,categories[#All],2,TRUE)</f>
        <v>#N/A</v>
      </c>
    </row>
    <row r="525" spans="1:9" x14ac:dyDescent="0.3">
      <c r="A525">
        <v>524</v>
      </c>
      <c r="B525">
        <v>1</v>
      </c>
      <c r="C525">
        <v>11</v>
      </c>
      <c r="D525">
        <v>1</v>
      </c>
      <c r="E525">
        <v>1680.99</v>
      </c>
      <c r="F525">
        <v>7.0000000000000007E-2</v>
      </c>
      <c r="G525">
        <f t="shared" si="8"/>
        <v>1680.92</v>
      </c>
      <c r="H525" t="str">
        <f>_xlfn.XLOOKUP(C525,products[Product_ID],products[Product_Name],"not found",0)</f>
        <v>Surly Straggler 650b - 2016</v>
      </c>
      <c r="I525" t="e">
        <f>VLOOKUP(products!D525,categories[#All],2,TRUE)</f>
        <v>#N/A</v>
      </c>
    </row>
    <row r="526" spans="1:9" x14ac:dyDescent="0.3">
      <c r="A526">
        <v>525</v>
      </c>
      <c r="B526">
        <v>1</v>
      </c>
      <c r="C526">
        <v>9</v>
      </c>
      <c r="D526">
        <v>2</v>
      </c>
      <c r="E526">
        <v>2999.99</v>
      </c>
      <c r="F526">
        <v>7.0000000000000007E-2</v>
      </c>
      <c r="G526">
        <f t="shared" si="8"/>
        <v>5999.91</v>
      </c>
      <c r="H526" t="str">
        <f>_xlfn.XLOOKUP(C526,products[Product_ID],products[Product_Name],"not found",0)</f>
        <v>Trek Conduit+ - 2016</v>
      </c>
      <c r="I526" t="e">
        <f>VLOOKUP(products!D526,categories[#All],2,TRUE)</f>
        <v>#N/A</v>
      </c>
    </row>
    <row r="527" spans="1:9" x14ac:dyDescent="0.3">
      <c r="A527">
        <v>526</v>
      </c>
      <c r="B527">
        <v>1</v>
      </c>
      <c r="C527">
        <v>3</v>
      </c>
      <c r="D527">
        <v>2</v>
      </c>
      <c r="E527">
        <v>999.99</v>
      </c>
      <c r="F527">
        <v>0.1</v>
      </c>
      <c r="G527">
        <f t="shared" si="8"/>
        <v>1999.88</v>
      </c>
      <c r="H527" t="str">
        <f>_xlfn.XLOOKUP(C527,products[Product_ID],products[Product_Name],"not found",0)</f>
        <v>Surly Wednesday Frameset - 2016</v>
      </c>
      <c r="I527" t="e">
        <f>VLOOKUP(products!D527,categories[#All],2,TRUE)</f>
        <v>#N/A</v>
      </c>
    </row>
    <row r="528" spans="1:9" x14ac:dyDescent="0.3">
      <c r="A528">
        <v>527</v>
      </c>
      <c r="B528">
        <v>1</v>
      </c>
      <c r="C528">
        <v>18</v>
      </c>
      <c r="D528">
        <v>2</v>
      </c>
      <c r="E528">
        <v>449</v>
      </c>
      <c r="F528">
        <v>7.0000000000000007E-2</v>
      </c>
      <c r="G528">
        <f t="shared" si="8"/>
        <v>897.93</v>
      </c>
      <c r="H528" t="str">
        <f>_xlfn.XLOOKUP(C528,products[Product_ID],products[Product_Name],"not found",0)</f>
        <v>Pure Cycles Western 3-Speed - Women's - 2015/2016</v>
      </c>
      <c r="I528" t="e">
        <f>VLOOKUP(products!D528,categories[#All],2,TRUE)</f>
        <v>#N/A</v>
      </c>
    </row>
    <row r="529" spans="1:9" x14ac:dyDescent="0.3">
      <c r="A529">
        <v>528</v>
      </c>
      <c r="B529">
        <v>1</v>
      </c>
      <c r="C529">
        <v>21</v>
      </c>
      <c r="D529">
        <v>2</v>
      </c>
      <c r="E529">
        <v>269.99</v>
      </c>
      <c r="F529">
        <v>0.05</v>
      </c>
      <c r="G529">
        <f t="shared" si="8"/>
        <v>539.93000000000006</v>
      </c>
      <c r="H529" t="str">
        <f>_xlfn.XLOOKUP(C529,products[Product_ID],products[Product_Name],"not found",0)</f>
        <v>Electra Cruiser 1 (24-Inch) - 2016</v>
      </c>
      <c r="I529" t="e">
        <f>VLOOKUP(products!D529,categories[#All],2,TRUE)</f>
        <v>#N/A</v>
      </c>
    </row>
    <row r="530" spans="1:9" x14ac:dyDescent="0.3">
      <c r="A530">
        <v>529</v>
      </c>
      <c r="B530">
        <v>1</v>
      </c>
      <c r="C530">
        <v>12</v>
      </c>
      <c r="D530">
        <v>2</v>
      </c>
      <c r="E530">
        <v>549.99</v>
      </c>
      <c r="F530">
        <v>7.0000000000000007E-2</v>
      </c>
      <c r="G530">
        <f t="shared" si="8"/>
        <v>1099.9100000000001</v>
      </c>
      <c r="H530" t="str">
        <f>_xlfn.XLOOKUP(C530,products[Product_ID],products[Product_Name],"not found",0)</f>
        <v>Electra Townie Original 21D - 2016</v>
      </c>
      <c r="I530" t="e">
        <f>VLOOKUP(products!D530,categories[#All],2,TRUE)</f>
        <v>#N/A</v>
      </c>
    </row>
    <row r="531" spans="1:9" x14ac:dyDescent="0.3">
      <c r="A531">
        <v>530</v>
      </c>
      <c r="B531">
        <v>1</v>
      </c>
      <c r="C531">
        <v>2</v>
      </c>
      <c r="D531">
        <v>2</v>
      </c>
      <c r="E531">
        <v>749.99</v>
      </c>
      <c r="F531">
        <v>0.05</v>
      </c>
      <c r="G531">
        <f t="shared" si="8"/>
        <v>1499.93</v>
      </c>
      <c r="H531" t="str">
        <f>_xlfn.XLOOKUP(C531,products[Product_ID],products[Product_Name],"not found",0)</f>
        <v>Ritchey Timberwolf Frameset - 2016</v>
      </c>
      <c r="I531" t="e">
        <f>VLOOKUP(products!D531,categories[#All],2,TRUE)</f>
        <v>#N/A</v>
      </c>
    </row>
    <row r="532" spans="1:9" x14ac:dyDescent="0.3">
      <c r="A532">
        <v>531</v>
      </c>
      <c r="B532">
        <v>1</v>
      </c>
      <c r="C532">
        <v>6</v>
      </c>
      <c r="D532">
        <v>1</v>
      </c>
      <c r="E532">
        <v>469.99</v>
      </c>
      <c r="F532">
        <v>0.2</v>
      </c>
      <c r="G532">
        <f t="shared" si="8"/>
        <v>469.79</v>
      </c>
      <c r="H532" t="str">
        <f>_xlfn.XLOOKUP(C532,products[Product_ID],products[Product_Name],"not found",0)</f>
        <v>Surly Ice Cream Truck Frameset - 2016</v>
      </c>
      <c r="I532" t="e">
        <f>VLOOKUP(products!D532,categories[#All],2,TRUE)</f>
        <v>#N/A</v>
      </c>
    </row>
    <row r="533" spans="1:9" x14ac:dyDescent="0.3">
      <c r="A533">
        <v>532</v>
      </c>
      <c r="B533">
        <v>1</v>
      </c>
      <c r="C533">
        <v>17</v>
      </c>
      <c r="D533">
        <v>2</v>
      </c>
      <c r="E533">
        <v>429</v>
      </c>
      <c r="F533">
        <v>7.0000000000000007E-2</v>
      </c>
      <c r="G533">
        <f t="shared" si="8"/>
        <v>857.93</v>
      </c>
      <c r="H533" t="str">
        <f>_xlfn.XLOOKUP(C533,products[Product_ID],products[Product_Name],"not found",0)</f>
        <v>Pure Cycles Vine 8-Speed - 2016</v>
      </c>
      <c r="I533" t="e">
        <f>VLOOKUP(products!D533,categories[#All],2,TRUE)</f>
        <v>#N/A</v>
      </c>
    </row>
    <row r="534" spans="1:9" x14ac:dyDescent="0.3">
      <c r="A534">
        <v>533</v>
      </c>
      <c r="B534">
        <v>1</v>
      </c>
      <c r="C534">
        <v>4</v>
      </c>
      <c r="D534">
        <v>1</v>
      </c>
      <c r="E534">
        <v>2899.99</v>
      </c>
      <c r="F534">
        <v>0.2</v>
      </c>
      <c r="G534">
        <f t="shared" si="8"/>
        <v>2899.79</v>
      </c>
      <c r="H534" t="str">
        <f>_xlfn.XLOOKUP(C534,products[Product_ID],products[Product_Name],"not found",0)</f>
        <v>Trek Fuel EX 8 29 - 2016</v>
      </c>
      <c r="I534" t="e">
        <f>VLOOKUP(products!D534,categories[#All],2,TRUE)</f>
        <v>#N/A</v>
      </c>
    </row>
    <row r="535" spans="1:9" x14ac:dyDescent="0.3">
      <c r="A535">
        <v>534</v>
      </c>
      <c r="B535">
        <v>1</v>
      </c>
      <c r="C535">
        <v>21</v>
      </c>
      <c r="D535">
        <v>2</v>
      </c>
      <c r="E535">
        <v>269.99</v>
      </c>
      <c r="F535">
        <v>0.05</v>
      </c>
      <c r="G535">
        <f t="shared" si="8"/>
        <v>539.93000000000006</v>
      </c>
      <c r="H535" t="str">
        <f>_xlfn.XLOOKUP(C535,products[Product_ID],products[Product_Name],"not found",0)</f>
        <v>Electra Cruiser 1 (24-Inch) - 2016</v>
      </c>
      <c r="I535" t="e">
        <f>VLOOKUP(products!D535,categories[#All],2,TRUE)</f>
        <v>#N/A</v>
      </c>
    </row>
    <row r="536" spans="1:9" x14ac:dyDescent="0.3">
      <c r="A536">
        <v>535</v>
      </c>
      <c r="B536">
        <v>1</v>
      </c>
      <c r="C536">
        <v>24</v>
      </c>
      <c r="D536">
        <v>1</v>
      </c>
      <c r="E536">
        <v>549.99</v>
      </c>
      <c r="F536">
        <v>0.05</v>
      </c>
      <c r="G536">
        <f t="shared" si="8"/>
        <v>549.94000000000005</v>
      </c>
      <c r="H536" t="str">
        <f>_xlfn.XLOOKUP(C536,products[Product_ID],products[Product_Name],"not found",0)</f>
        <v>Electra Townie Original 21D - 2016</v>
      </c>
      <c r="I536" t="e">
        <f>VLOOKUP(products!D536,categories[#All],2,TRUE)</f>
        <v>#N/A</v>
      </c>
    </row>
    <row r="537" spans="1:9" x14ac:dyDescent="0.3">
      <c r="A537">
        <v>536</v>
      </c>
      <c r="B537">
        <v>1</v>
      </c>
      <c r="C537">
        <v>22</v>
      </c>
      <c r="D537">
        <v>1</v>
      </c>
      <c r="E537">
        <v>269.99</v>
      </c>
      <c r="F537">
        <v>0.1</v>
      </c>
      <c r="G537">
        <f t="shared" si="8"/>
        <v>269.89</v>
      </c>
      <c r="H537" t="str">
        <f>_xlfn.XLOOKUP(C537,products[Product_ID],products[Product_Name],"not found",0)</f>
        <v>Electra Girl's Hawaii 1 (16-inch) - 2015/2016</v>
      </c>
      <c r="I537" t="e">
        <f>VLOOKUP(products!D537,categories[#All],2,TRUE)</f>
        <v>#N/A</v>
      </c>
    </row>
    <row r="538" spans="1:9" x14ac:dyDescent="0.3">
      <c r="A538">
        <v>537</v>
      </c>
      <c r="B538">
        <v>1</v>
      </c>
      <c r="C538">
        <v>10</v>
      </c>
      <c r="D538">
        <v>1</v>
      </c>
      <c r="E538">
        <v>1549</v>
      </c>
      <c r="F538">
        <v>0.05</v>
      </c>
      <c r="G538">
        <f t="shared" si="8"/>
        <v>1548.95</v>
      </c>
      <c r="H538" t="str">
        <f>_xlfn.XLOOKUP(C538,products[Product_ID],products[Product_Name],"not found",0)</f>
        <v>Surly Straggler - 2016</v>
      </c>
      <c r="I538" t="e">
        <f>VLOOKUP(products!D538,categories[#All],2,TRUE)</f>
        <v>#N/A</v>
      </c>
    </row>
    <row r="539" spans="1:9" x14ac:dyDescent="0.3">
      <c r="A539">
        <v>538</v>
      </c>
      <c r="B539">
        <v>1</v>
      </c>
      <c r="C539">
        <v>2</v>
      </c>
      <c r="D539">
        <v>2</v>
      </c>
      <c r="E539">
        <v>749.99</v>
      </c>
      <c r="F539">
        <v>0.2</v>
      </c>
      <c r="G539">
        <f t="shared" si="8"/>
        <v>1499.78</v>
      </c>
      <c r="H539" t="str">
        <f>_xlfn.XLOOKUP(C539,products[Product_ID],products[Product_Name],"not found",0)</f>
        <v>Ritchey Timberwolf Frameset - 2016</v>
      </c>
      <c r="I539" t="e">
        <f>VLOOKUP(products!D539,categories[#All],2,TRUE)</f>
        <v>#N/A</v>
      </c>
    </row>
    <row r="540" spans="1:9" x14ac:dyDescent="0.3">
      <c r="A540">
        <v>539</v>
      </c>
      <c r="B540">
        <v>1</v>
      </c>
      <c r="C540">
        <v>9</v>
      </c>
      <c r="D540">
        <v>2</v>
      </c>
      <c r="E540">
        <v>2999.99</v>
      </c>
      <c r="F540">
        <v>0.1</v>
      </c>
      <c r="G540">
        <f t="shared" si="8"/>
        <v>5999.8799999999992</v>
      </c>
      <c r="H540" t="str">
        <f>_xlfn.XLOOKUP(C540,products[Product_ID],products[Product_Name],"not found",0)</f>
        <v>Trek Conduit+ - 2016</v>
      </c>
      <c r="I540" t="e">
        <f>VLOOKUP(products!D540,categories[#All],2,TRUE)</f>
        <v>#N/A</v>
      </c>
    </row>
    <row r="541" spans="1:9" x14ac:dyDescent="0.3">
      <c r="A541">
        <v>540</v>
      </c>
      <c r="B541">
        <v>1</v>
      </c>
      <c r="C541">
        <v>19</v>
      </c>
      <c r="D541">
        <v>1</v>
      </c>
      <c r="E541">
        <v>449</v>
      </c>
      <c r="F541">
        <v>0.1</v>
      </c>
      <c r="G541">
        <f t="shared" si="8"/>
        <v>448.9</v>
      </c>
      <c r="H541" t="str">
        <f>_xlfn.XLOOKUP(C541,products[Product_ID],products[Product_Name],"not found",0)</f>
        <v>Pure Cycles William 3-Speed - 2016</v>
      </c>
      <c r="I541" t="e">
        <f>VLOOKUP(products!D541,categories[#All],2,TRUE)</f>
        <v>#N/A</v>
      </c>
    </row>
    <row r="542" spans="1:9" x14ac:dyDescent="0.3">
      <c r="A542">
        <v>541</v>
      </c>
      <c r="B542">
        <v>1</v>
      </c>
      <c r="C542">
        <v>22</v>
      </c>
      <c r="D542">
        <v>2</v>
      </c>
      <c r="E542">
        <v>269.99</v>
      </c>
      <c r="F542">
        <v>0.05</v>
      </c>
      <c r="G542">
        <f t="shared" si="8"/>
        <v>539.93000000000006</v>
      </c>
      <c r="H542" t="str">
        <f>_xlfn.XLOOKUP(C542,products[Product_ID],products[Product_Name],"not found",0)</f>
        <v>Electra Girl's Hawaii 1 (16-inch) - 2015/2016</v>
      </c>
      <c r="I542" t="e">
        <f>VLOOKUP(products!D542,categories[#All],2,TRUE)</f>
        <v>#N/A</v>
      </c>
    </row>
    <row r="543" spans="1:9" x14ac:dyDescent="0.3">
      <c r="A543">
        <v>542</v>
      </c>
      <c r="B543">
        <v>1</v>
      </c>
      <c r="C543">
        <v>16</v>
      </c>
      <c r="D543">
        <v>2</v>
      </c>
      <c r="E543">
        <v>599.99</v>
      </c>
      <c r="F543">
        <v>0.2</v>
      </c>
      <c r="G543">
        <f t="shared" si="8"/>
        <v>1199.78</v>
      </c>
      <c r="H543" t="str">
        <f>_xlfn.XLOOKUP(C543,products[Product_ID],products[Product_Name],"not found",0)</f>
        <v>Electra Townie Original 7D EQ - 2016</v>
      </c>
      <c r="I543" t="e">
        <f>VLOOKUP(products!D543,categories[#All],2,TRUE)</f>
        <v>#N/A</v>
      </c>
    </row>
    <row r="544" spans="1:9" x14ac:dyDescent="0.3">
      <c r="A544">
        <v>543</v>
      </c>
      <c r="B544">
        <v>1</v>
      </c>
      <c r="C544">
        <v>25</v>
      </c>
      <c r="D544">
        <v>1</v>
      </c>
      <c r="E544">
        <v>499.99</v>
      </c>
      <c r="F544">
        <v>0.2</v>
      </c>
      <c r="G544">
        <f t="shared" si="8"/>
        <v>499.79</v>
      </c>
      <c r="H544" t="str">
        <f>_xlfn.XLOOKUP(C544,products[Product_ID],products[Product_Name],"not found",0)</f>
        <v>Electra Townie Original 7D - 2015/2016</v>
      </c>
      <c r="I544" t="e">
        <f>VLOOKUP(products!D544,categories[#All],2,TRUE)</f>
        <v>#N/A</v>
      </c>
    </row>
    <row r="545" spans="1:9" x14ac:dyDescent="0.3">
      <c r="A545">
        <v>544</v>
      </c>
      <c r="B545">
        <v>1</v>
      </c>
      <c r="C545">
        <v>12</v>
      </c>
      <c r="D545">
        <v>1</v>
      </c>
      <c r="E545">
        <v>549.99</v>
      </c>
      <c r="F545">
        <v>0.05</v>
      </c>
      <c r="G545">
        <f t="shared" si="8"/>
        <v>549.94000000000005</v>
      </c>
      <c r="H545" t="str">
        <f>_xlfn.XLOOKUP(C545,products[Product_ID],products[Product_Name],"not found",0)</f>
        <v>Electra Townie Original 21D - 2016</v>
      </c>
      <c r="I545" t="e">
        <f>VLOOKUP(products!D545,categories[#All],2,TRUE)</f>
        <v>#N/A</v>
      </c>
    </row>
    <row r="546" spans="1:9" x14ac:dyDescent="0.3">
      <c r="A546">
        <v>545</v>
      </c>
      <c r="B546">
        <v>1</v>
      </c>
      <c r="C546">
        <v>25</v>
      </c>
      <c r="D546">
        <v>2</v>
      </c>
      <c r="E546">
        <v>499.99</v>
      </c>
      <c r="F546">
        <v>0.2</v>
      </c>
      <c r="G546">
        <f t="shared" si="8"/>
        <v>999.78</v>
      </c>
      <c r="H546" t="str">
        <f>_xlfn.XLOOKUP(C546,products[Product_ID],products[Product_Name],"not found",0)</f>
        <v>Electra Townie Original 7D - 2015/2016</v>
      </c>
      <c r="I546" t="e">
        <f>VLOOKUP(products!D546,categories[#All],2,TRUE)</f>
        <v>#N/A</v>
      </c>
    </row>
    <row r="547" spans="1:9" x14ac:dyDescent="0.3">
      <c r="A547">
        <v>546</v>
      </c>
      <c r="B547">
        <v>1</v>
      </c>
      <c r="C547">
        <v>17</v>
      </c>
      <c r="D547">
        <v>2</v>
      </c>
      <c r="E547">
        <v>429</v>
      </c>
      <c r="F547">
        <v>0.05</v>
      </c>
      <c r="G547">
        <f t="shared" si="8"/>
        <v>857.95</v>
      </c>
      <c r="H547" t="str">
        <f>_xlfn.XLOOKUP(C547,products[Product_ID],products[Product_Name],"not found",0)</f>
        <v>Pure Cycles Vine 8-Speed - 2016</v>
      </c>
      <c r="I547" t="e">
        <f>VLOOKUP(products!D547,categories[#All],2,TRUE)</f>
        <v>#N/A</v>
      </c>
    </row>
    <row r="548" spans="1:9" x14ac:dyDescent="0.3">
      <c r="A548">
        <v>547</v>
      </c>
      <c r="B548">
        <v>1</v>
      </c>
      <c r="C548">
        <v>11</v>
      </c>
      <c r="D548">
        <v>2</v>
      </c>
      <c r="E548">
        <v>1680.99</v>
      </c>
      <c r="F548">
        <v>0.05</v>
      </c>
      <c r="G548">
        <f t="shared" si="8"/>
        <v>3361.93</v>
      </c>
      <c r="H548" t="str">
        <f>_xlfn.XLOOKUP(C548,products[Product_ID],products[Product_Name],"not found",0)</f>
        <v>Surly Straggler 650b - 2016</v>
      </c>
      <c r="I548" t="e">
        <f>VLOOKUP(products!D548,categories[#All],2,TRUE)</f>
        <v>#N/A</v>
      </c>
    </row>
    <row r="549" spans="1:9" x14ac:dyDescent="0.3">
      <c r="A549">
        <v>548</v>
      </c>
      <c r="B549">
        <v>1</v>
      </c>
      <c r="C549">
        <v>8</v>
      </c>
      <c r="D549">
        <v>1</v>
      </c>
      <c r="E549">
        <v>1799.99</v>
      </c>
      <c r="F549">
        <v>0.1</v>
      </c>
      <c r="G549">
        <f t="shared" si="8"/>
        <v>1799.89</v>
      </c>
      <c r="H549" t="str">
        <f>_xlfn.XLOOKUP(C549,products[Product_ID],products[Product_Name],"not found",0)</f>
        <v>Trek Remedy 29 Carbon Frameset - 2016</v>
      </c>
      <c r="I549" t="e">
        <f>VLOOKUP(products!D549,categories[#All],2,TRUE)</f>
        <v>#N/A</v>
      </c>
    </row>
    <row r="550" spans="1:9" x14ac:dyDescent="0.3">
      <c r="A550">
        <v>549</v>
      </c>
      <c r="B550">
        <v>1</v>
      </c>
      <c r="C550">
        <v>15</v>
      </c>
      <c r="D550">
        <v>1</v>
      </c>
      <c r="E550">
        <v>529.99</v>
      </c>
      <c r="F550">
        <v>7.0000000000000007E-2</v>
      </c>
      <c r="G550">
        <f t="shared" si="8"/>
        <v>529.91999999999996</v>
      </c>
      <c r="H550" t="str">
        <f>_xlfn.XLOOKUP(C550,products[Product_ID],products[Product_Name],"not found",0)</f>
        <v>Electra Moto 1 - 2016</v>
      </c>
      <c r="I550" t="e">
        <f>VLOOKUP(products!D550,categories[#All],2,TRUE)</f>
        <v>#N/A</v>
      </c>
    </row>
    <row r="551" spans="1:9" x14ac:dyDescent="0.3">
      <c r="A551">
        <v>550</v>
      </c>
      <c r="B551">
        <v>1</v>
      </c>
      <c r="C551">
        <v>4</v>
      </c>
      <c r="D551">
        <v>1</v>
      </c>
      <c r="E551">
        <v>2899.99</v>
      </c>
      <c r="F551">
        <v>0.05</v>
      </c>
      <c r="G551">
        <f t="shared" si="8"/>
        <v>2899.9399999999996</v>
      </c>
      <c r="H551" t="str">
        <f>_xlfn.XLOOKUP(C551,products[Product_ID],products[Product_Name],"not found",0)</f>
        <v>Trek Fuel EX 8 29 - 2016</v>
      </c>
      <c r="I551" t="e">
        <f>VLOOKUP(products!D551,categories[#All],2,TRUE)</f>
        <v>#N/A</v>
      </c>
    </row>
    <row r="552" spans="1:9" x14ac:dyDescent="0.3">
      <c r="A552">
        <v>551</v>
      </c>
      <c r="B552">
        <v>1</v>
      </c>
      <c r="C552">
        <v>16</v>
      </c>
      <c r="D552">
        <v>1</v>
      </c>
      <c r="E552">
        <v>599.99</v>
      </c>
      <c r="F552">
        <v>0.05</v>
      </c>
      <c r="G552">
        <f t="shared" si="8"/>
        <v>599.94000000000005</v>
      </c>
      <c r="H552" t="str">
        <f>_xlfn.XLOOKUP(C552,products[Product_ID],products[Product_Name],"not found",0)</f>
        <v>Electra Townie Original 7D EQ - 2016</v>
      </c>
      <c r="I552" t="e">
        <f>VLOOKUP(products!D552,categories[#All],2,TRUE)</f>
        <v>#N/A</v>
      </c>
    </row>
    <row r="553" spans="1:9" x14ac:dyDescent="0.3">
      <c r="A553">
        <v>552</v>
      </c>
      <c r="B553">
        <v>1</v>
      </c>
      <c r="C553">
        <v>23</v>
      </c>
      <c r="D553">
        <v>1</v>
      </c>
      <c r="E553">
        <v>299.99</v>
      </c>
      <c r="F553">
        <v>0.2</v>
      </c>
      <c r="G553">
        <f t="shared" si="8"/>
        <v>299.79000000000002</v>
      </c>
      <c r="H553" t="str">
        <f>_xlfn.XLOOKUP(C553,products[Product_ID],products[Product_Name],"not found",0)</f>
        <v>Electra Girl's Hawaii 1 (20-inch) - 2015/2016</v>
      </c>
      <c r="I553" t="e">
        <f>VLOOKUP(products!D553,categories[#All],2,TRUE)</f>
        <v>#N/A</v>
      </c>
    </row>
    <row r="554" spans="1:9" x14ac:dyDescent="0.3">
      <c r="A554">
        <v>553</v>
      </c>
      <c r="B554">
        <v>1</v>
      </c>
      <c r="C554">
        <v>24</v>
      </c>
      <c r="D554">
        <v>1</v>
      </c>
      <c r="E554">
        <v>549.99</v>
      </c>
      <c r="F554">
        <v>0.1</v>
      </c>
      <c r="G554">
        <f t="shared" si="8"/>
        <v>549.89</v>
      </c>
      <c r="H554" t="str">
        <f>_xlfn.XLOOKUP(C554,products[Product_ID],products[Product_Name],"not found",0)</f>
        <v>Electra Townie Original 21D - 2016</v>
      </c>
      <c r="I554" t="e">
        <f>VLOOKUP(products!D554,categories[#All],2,TRUE)</f>
        <v>#N/A</v>
      </c>
    </row>
    <row r="555" spans="1:9" x14ac:dyDescent="0.3">
      <c r="A555">
        <v>554</v>
      </c>
      <c r="B555">
        <v>1</v>
      </c>
      <c r="C555">
        <v>3</v>
      </c>
      <c r="D555">
        <v>2</v>
      </c>
      <c r="E555">
        <v>999.99</v>
      </c>
      <c r="F555">
        <v>7.0000000000000007E-2</v>
      </c>
      <c r="G555">
        <f t="shared" si="8"/>
        <v>1999.91</v>
      </c>
      <c r="H555" t="str">
        <f>_xlfn.XLOOKUP(C555,products[Product_ID],products[Product_Name],"not found",0)</f>
        <v>Surly Wednesday Frameset - 2016</v>
      </c>
      <c r="I555" t="e">
        <f>VLOOKUP(products!D555,categories[#All],2,TRUE)</f>
        <v>#N/A</v>
      </c>
    </row>
    <row r="556" spans="1:9" x14ac:dyDescent="0.3">
      <c r="A556">
        <v>555</v>
      </c>
      <c r="B556">
        <v>1</v>
      </c>
      <c r="C556">
        <v>8</v>
      </c>
      <c r="D556">
        <v>1</v>
      </c>
      <c r="E556">
        <v>1799.99</v>
      </c>
      <c r="F556">
        <v>0.2</v>
      </c>
      <c r="G556">
        <f t="shared" si="8"/>
        <v>1799.79</v>
      </c>
      <c r="H556" t="str">
        <f>_xlfn.XLOOKUP(C556,products[Product_ID],products[Product_Name],"not found",0)</f>
        <v>Trek Remedy 29 Carbon Frameset - 2016</v>
      </c>
      <c r="I556" t="e">
        <f>VLOOKUP(products!D556,categories[#All],2,TRUE)</f>
        <v>#N/A</v>
      </c>
    </row>
    <row r="557" spans="1:9" x14ac:dyDescent="0.3">
      <c r="A557">
        <v>556</v>
      </c>
      <c r="B557">
        <v>1</v>
      </c>
      <c r="C557">
        <v>16</v>
      </c>
      <c r="D557">
        <v>1</v>
      </c>
      <c r="E557">
        <v>599.99</v>
      </c>
      <c r="F557">
        <v>0.1</v>
      </c>
      <c r="G557">
        <f t="shared" si="8"/>
        <v>599.89</v>
      </c>
      <c r="H557" t="str">
        <f>_xlfn.XLOOKUP(C557,products[Product_ID],products[Product_Name],"not found",0)</f>
        <v>Electra Townie Original 7D EQ - 2016</v>
      </c>
      <c r="I557" t="e">
        <f>VLOOKUP(products!D557,categories[#All],2,TRUE)</f>
        <v>#N/A</v>
      </c>
    </row>
    <row r="558" spans="1:9" x14ac:dyDescent="0.3">
      <c r="A558">
        <v>557</v>
      </c>
      <c r="B558">
        <v>1</v>
      </c>
      <c r="C558">
        <v>9</v>
      </c>
      <c r="D558">
        <v>2</v>
      </c>
      <c r="E558">
        <v>2999.99</v>
      </c>
      <c r="F558">
        <v>0.1</v>
      </c>
      <c r="G558">
        <f t="shared" si="8"/>
        <v>5999.8799999999992</v>
      </c>
      <c r="H558" t="str">
        <f>_xlfn.XLOOKUP(C558,products[Product_ID],products[Product_Name],"not found",0)</f>
        <v>Trek Conduit+ - 2016</v>
      </c>
      <c r="I558" t="e">
        <f>VLOOKUP(products!D558,categories[#All],2,TRUE)</f>
        <v>#N/A</v>
      </c>
    </row>
    <row r="559" spans="1:9" x14ac:dyDescent="0.3">
      <c r="A559">
        <v>558</v>
      </c>
      <c r="B559">
        <v>1</v>
      </c>
      <c r="C559">
        <v>7</v>
      </c>
      <c r="D559">
        <v>1</v>
      </c>
      <c r="E559">
        <v>3999.99</v>
      </c>
      <c r="F559">
        <v>7.0000000000000007E-2</v>
      </c>
      <c r="G559">
        <f t="shared" si="8"/>
        <v>3999.9199999999996</v>
      </c>
      <c r="H559" t="str">
        <f>_xlfn.XLOOKUP(C559,products[Product_ID],products[Product_Name],"not found",0)</f>
        <v>Trek Slash 8 27.5 - 2016</v>
      </c>
      <c r="I559" t="e">
        <f>VLOOKUP(products!D559,categories[#All],2,TRUE)</f>
        <v>#N/A</v>
      </c>
    </row>
    <row r="560" spans="1:9" x14ac:dyDescent="0.3">
      <c r="A560">
        <v>559</v>
      </c>
      <c r="B560">
        <v>1</v>
      </c>
      <c r="C560">
        <v>15</v>
      </c>
      <c r="D560">
        <v>2</v>
      </c>
      <c r="E560">
        <v>529.99</v>
      </c>
      <c r="F560">
        <v>0.1</v>
      </c>
      <c r="G560">
        <f t="shared" si="8"/>
        <v>1059.8800000000001</v>
      </c>
      <c r="H560" t="str">
        <f>_xlfn.XLOOKUP(C560,products[Product_ID],products[Product_Name],"not found",0)</f>
        <v>Electra Moto 1 - 2016</v>
      </c>
      <c r="I560" t="e">
        <f>VLOOKUP(products!D560,categories[#All],2,TRUE)</f>
        <v>#N/A</v>
      </c>
    </row>
    <row r="561" spans="1:9" x14ac:dyDescent="0.3">
      <c r="A561">
        <v>560</v>
      </c>
      <c r="B561">
        <v>1</v>
      </c>
      <c r="C561">
        <v>16</v>
      </c>
      <c r="D561">
        <v>1</v>
      </c>
      <c r="E561">
        <v>599.99</v>
      </c>
      <c r="F561">
        <v>0.05</v>
      </c>
      <c r="G561">
        <f t="shared" si="8"/>
        <v>599.94000000000005</v>
      </c>
      <c r="H561" t="str">
        <f>_xlfn.XLOOKUP(C561,products[Product_ID],products[Product_Name],"not found",0)</f>
        <v>Electra Townie Original 7D EQ - 2016</v>
      </c>
      <c r="I561" t="e">
        <f>VLOOKUP(products!D561,categories[#All],2,TRUE)</f>
        <v>#N/A</v>
      </c>
    </row>
    <row r="562" spans="1:9" x14ac:dyDescent="0.3">
      <c r="A562">
        <v>561</v>
      </c>
      <c r="B562">
        <v>1</v>
      </c>
      <c r="C562">
        <v>15</v>
      </c>
      <c r="D562">
        <v>2</v>
      </c>
      <c r="E562">
        <v>529.99</v>
      </c>
      <c r="F562">
        <v>0.05</v>
      </c>
      <c r="G562">
        <f t="shared" si="8"/>
        <v>1059.93</v>
      </c>
      <c r="H562" t="str">
        <f>_xlfn.XLOOKUP(C562,products[Product_ID],products[Product_Name],"not found",0)</f>
        <v>Electra Moto 1 - 2016</v>
      </c>
      <c r="I562" t="e">
        <f>VLOOKUP(products!D562,categories[#All],2,TRUE)</f>
        <v>#N/A</v>
      </c>
    </row>
    <row r="563" spans="1:9" x14ac:dyDescent="0.3">
      <c r="A563">
        <v>562</v>
      </c>
      <c r="B563">
        <v>1</v>
      </c>
      <c r="C563">
        <v>25</v>
      </c>
      <c r="D563">
        <v>2</v>
      </c>
      <c r="E563">
        <v>499.99</v>
      </c>
      <c r="F563">
        <v>7.0000000000000007E-2</v>
      </c>
      <c r="G563">
        <f t="shared" si="8"/>
        <v>999.91</v>
      </c>
      <c r="H563" t="str">
        <f>_xlfn.XLOOKUP(C563,products[Product_ID],products[Product_Name],"not found",0)</f>
        <v>Electra Townie Original 7D - 2015/2016</v>
      </c>
      <c r="I563" t="e">
        <f>VLOOKUP(products!D563,categories[#All],2,TRUE)</f>
        <v>#N/A</v>
      </c>
    </row>
    <row r="564" spans="1:9" x14ac:dyDescent="0.3">
      <c r="A564">
        <v>563</v>
      </c>
      <c r="B564">
        <v>1</v>
      </c>
      <c r="C564">
        <v>6</v>
      </c>
      <c r="D564">
        <v>2</v>
      </c>
      <c r="E564">
        <v>469.99</v>
      </c>
      <c r="F564">
        <v>0.1</v>
      </c>
      <c r="G564">
        <f t="shared" si="8"/>
        <v>939.88</v>
      </c>
      <c r="H564" t="str">
        <f>_xlfn.XLOOKUP(C564,products[Product_ID],products[Product_Name],"not found",0)</f>
        <v>Surly Ice Cream Truck Frameset - 2016</v>
      </c>
      <c r="I564" t="e">
        <f>VLOOKUP(products!D564,categories[#All],2,TRUE)</f>
        <v>#N/A</v>
      </c>
    </row>
    <row r="565" spans="1:9" x14ac:dyDescent="0.3">
      <c r="A565">
        <v>564</v>
      </c>
      <c r="B565">
        <v>1</v>
      </c>
      <c r="C565">
        <v>4</v>
      </c>
      <c r="D565">
        <v>1</v>
      </c>
      <c r="E565">
        <v>2899.99</v>
      </c>
      <c r="F565">
        <v>0.2</v>
      </c>
      <c r="G565">
        <f t="shared" si="8"/>
        <v>2899.79</v>
      </c>
      <c r="H565" t="str">
        <f>_xlfn.XLOOKUP(C565,products[Product_ID],products[Product_Name],"not found",0)</f>
        <v>Trek Fuel EX 8 29 - 2016</v>
      </c>
      <c r="I565" t="e">
        <f>VLOOKUP(products!D565,categories[#All],2,TRUE)</f>
        <v>#N/A</v>
      </c>
    </row>
    <row r="566" spans="1:9" x14ac:dyDescent="0.3">
      <c r="A566">
        <v>565</v>
      </c>
      <c r="B566">
        <v>1</v>
      </c>
      <c r="C566">
        <v>18</v>
      </c>
      <c r="D566">
        <v>1</v>
      </c>
      <c r="E566">
        <v>449</v>
      </c>
      <c r="F566">
        <v>0.2</v>
      </c>
      <c r="G566">
        <f t="shared" si="8"/>
        <v>448.8</v>
      </c>
      <c r="H566" t="str">
        <f>_xlfn.XLOOKUP(C566,products[Product_ID],products[Product_Name],"not found",0)</f>
        <v>Pure Cycles Western 3-Speed - Women's - 2015/2016</v>
      </c>
      <c r="I566" t="e">
        <f>VLOOKUP(products!D566,categories[#All],2,TRUE)</f>
        <v>#N/A</v>
      </c>
    </row>
    <row r="567" spans="1:9" x14ac:dyDescent="0.3">
      <c r="A567">
        <v>566</v>
      </c>
      <c r="B567">
        <v>1</v>
      </c>
      <c r="C567">
        <v>24</v>
      </c>
      <c r="D567">
        <v>2</v>
      </c>
      <c r="E567">
        <v>549.99</v>
      </c>
      <c r="F567">
        <v>7.0000000000000007E-2</v>
      </c>
      <c r="G567">
        <f t="shared" si="8"/>
        <v>1099.9100000000001</v>
      </c>
      <c r="H567" t="str">
        <f>_xlfn.XLOOKUP(C567,products[Product_ID],products[Product_Name],"not found",0)</f>
        <v>Electra Townie Original 21D - 2016</v>
      </c>
      <c r="I567" t="e">
        <f>VLOOKUP(products!D567,categories[#All],2,TRUE)</f>
        <v>#N/A</v>
      </c>
    </row>
    <row r="568" spans="1:9" x14ac:dyDescent="0.3">
      <c r="A568">
        <v>567</v>
      </c>
      <c r="B568">
        <v>1</v>
      </c>
      <c r="C568">
        <v>9</v>
      </c>
      <c r="D568">
        <v>1</v>
      </c>
      <c r="E568">
        <v>2999.99</v>
      </c>
      <c r="F568">
        <v>0.2</v>
      </c>
      <c r="G568">
        <f t="shared" si="8"/>
        <v>2999.79</v>
      </c>
      <c r="H568" t="str">
        <f>_xlfn.XLOOKUP(C568,products[Product_ID],products[Product_Name],"not found",0)</f>
        <v>Trek Conduit+ - 2016</v>
      </c>
      <c r="I568" t="e">
        <f>VLOOKUP(products!D568,categories[#All],2,TRUE)</f>
        <v>#N/A</v>
      </c>
    </row>
    <row r="569" spans="1:9" x14ac:dyDescent="0.3">
      <c r="A569">
        <v>568</v>
      </c>
      <c r="B569">
        <v>1</v>
      </c>
      <c r="C569">
        <v>5</v>
      </c>
      <c r="D569">
        <v>1</v>
      </c>
      <c r="E569">
        <v>1320.99</v>
      </c>
      <c r="F569">
        <v>0.05</v>
      </c>
      <c r="G569">
        <f t="shared" si="8"/>
        <v>1320.94</v>
      </c>
      <c r="H569" t="str">
        <f>_xlfn.XLOOKUP(C569,products[Product_ID],products[Product_Name],"not found",0)</f>
        <v>Heller Shagamaw Frame - 2016</v>
      </c>
      <c r="I569" t="e">
        <f>VLOOKUP(products!D569,categories[#All],2,TRUE)</f>
        <v>#N/A</v>
      </c>
    </row>
    <row r="570" spans="1:9" x14ac:dyDescent="0.3">
      <c r="A570">
        <v>569</v>
      </c>
      <c r="B570">
        <v>1</v>
      </c>
      <c r="C570">
        <v>16</v>
      </c>
      <c r="D570">
        <v>1</v>
      </c>
      <c r="E570">
        <v>599.99</v>
      </c>
      <c r="F570">
        <v>0.05</v>
      </c>
      <c r="G570">
        <f t="shared" si="8"/>
        <v>599.94000000000005</v>
      </c>
      <c r="H570" t="str">
        <f>_xlfn.XLOOKUP(C570,products[Product_ID],products[Product_Name],"not found",0)</f>
        <v>Electra Townie Original 7D EQ - 2016</v>
      </c>
      <c r="I570" t="e">
        <f>VLOOKUP(products!D570,categories[#All],2,TRUE)</f>
        <v>#N/A</v>
      </c>
    </row>
    <row r="571" spans="1:9" x14ac:dyDescent="0.3">
      <c r="A571">
        <v>570</v>
      </c>
      <c r="B571">
        <v>1</v>
      </c>
      <c r="C571">
        <v>18</v>
      </c>
      <c r="D571">
        <v>1</v>
      </c>
      <c r="E571">
        <v>449</v>
      </c>
      <c r="F571">
        <v>7.0000000000000007E-2</v>
      </c>
      <c r="G571">
        <f t="shared" si="8"/>
        <v>448.93</v>
      </c>
      <c r="H571" t="str">
        <f>_xlfn.XLOOKUP(C571,products[Product_ID],products[Product_Name],"not found",0)</f>
        <v>Pure Cycles Western 3-Speed - Women's - 2015/2016</v>
      </c>
      <c r="I571" t="e">
        <f>VLOOKUP(products!D571,categories[#All],2,TRUE)</f>
        <v>#N/A</v>
      </c>
    </row>
    <row r="572" spans="1:9" x14ac:dyDescent="0.3">
      <c r="A572">
        <v>571</v>
      </c>
      <c r="B572">
        <v>1</v>
      </c>
      <c r="C572">
        <v>4</v>
      </c>
      <c r="D572">
        <v>1</v>
      </c>
      <c r="E572">
        <v>2899.99</v>
      </c>
      <c r="F572">
        <v>0.05</v>
      </c>
      <c r="G572">
        <f t="shared" si="8"/>
        <v>2899.9399999999996</v>
      </c>
      <c r="H572" t="str">
        <f>_xlfn.XLOOKUP(C572,products[Product_ID],products[Product_Name],"not found",0)</f>
        <v>Trek Fuel EX 8 29 - 2016</v>
      </c>
      <c r="I572" t="e">
        <f>VLOOKUP(products!D572,categories[#All],2,TRUE)</f>
        <v>#N/A</v>
      </c>
    </row>
    <row r="573" spans="1:9" x14ac:dyDescent="0.3">
      <c r="A573">
        <v>572</v>
      </c>
      <c r="B573">
        <v>1</v>
      </c>
      <c r="C573">
        <v>3</v>
      </c>
      <c r="D573">
        <v>1</v>
      </c>
      <c r="E573">
        <v>999.99</v>
      </c>
      <c r="F573">
        <v>0.05</v>
      </c>
      <c r="G573">
        <f t="shared" si="8"/>
        <v>999.94</v>
      </c>
      <c r="H573" t="str">
        <f>_xlfn.XLOOKUP(C573,products[Product_ID],products[Product_Name],"not found",0)</f>
        <v>Surly Wednesday Frameset - 2016</v>
      </c>
      <c r="I573" t="e">
        <f>VLOOKUP(products!D573,categories[#All],2,TRUE)</f>
        <v>#N/A</v>
      </c>
    </row>
    <row r="574" spans="1:9" x14ac:dyDescent="0.3">
      <c r="A574">
        <v>573</v>
      </c>
      <c r="B574">
        <v>1</v>
      </c>
      <c r="C574">
        <v>2</v>
      </c>
      <c r="D574">
        <v>1</v>
      </c>
      <c r="E574">
        <v>749.99</v>
      </c>
      <c r="F574">
        <v>0.2</v>
      </c>
      <c r="G574">
        <f t="shared" si="8"/>
        <v>749.79</v>
      </c>
      <c r="H574" t="str">
        <f>_xlfn.XLOOKUP(C574,products[Product_ID],products[Product_Name],"not found",0)</f>
        <v>Ritchey Timberwolf Frameset - 2016</v>
      </c>
      <c r="I574" t="e">
        <f>VLOOKUP(products!D574,categories[#All],2,TRUE)</f>
        <v>#N/A</v>
      </c>
    </row>
    <row r="575" spans="1:9" x14ac:dyDescent="0.3">
      <c r="A575">
        <v>574</v>
      </c>
      <c r="B575">
        <v>1</v>
      </c>
      <c r="C575">
        <v>26</v>
      </c>
      <c r="D575">
        <v>1</v>
      </c>
      <c r="E575">
        <v>599.99</v>
      </c>
      <c r="F575">
        <v>0.05</v>
      </c>
      <c r="G575">
        <f t="shared" si="8"/>
        <v>599.94000000000005</v>
      </c>
      <c r="H575" t="str">
        <f>_xlfn.XLOOKUP(C575,products[Product_ID],products[Product_Name],"not found",0)</f>
        <v>Electra Townie Original 7D EQ - 2016</v>
      </c>
      <c r="I575" t="e">
        <f>VLOOKUP(products!D575,categories[#All],2,TRUE)</f>
        <v>#N/A</v>
      </c>
    </row>
    <row r="576" spans="1:9" x14ac:dyDescent="0.3">
      <c r="A576">
        <v>575</v>
      </c>
      <c r="B576">
        <v>1</v>
      </c>
      <c r="C576">
        <v>4</v>
      </c>
      <c r="D576">
        <v>2</v>
      </c>
      <c r="E576">
        <v>2899.99</v>
      </c>
      <c r="F576">
        <v>7.0000000000000007E-2</v>
      </c>
      <c r="G576">
        <f t="shared" si="8"/>
        <v>5799.91</v>
      </c>
      <c r="H576" t="str">
        <f>_xlfn.XLOOKUP(C576,products[Product_ID],products[Product_Name],"not found",0)</f>
        <v>Trek Fuel EX 8 29 - 2016</v>
      </c>
      <c r="I576" t="e">
        <f>VLOOKUP(products!D576,categories[#All],2,TRUE)</f>
        <v>#N/A</v>
      </c>
    </row>
    <row r="577" spans="1:9" x14ac:dyDescent="0.3">
      <c r="A577">
        <v>576</v>
      </c>
      <c r="B577">
        <v>1</v>
      </c>
      <c r="C577">
        <v>9</v>
      </c>
      <c r="D577">
        <v>1</v>
      </c>
      <c r="E577">
        <v>2999.99</v>
      </c>
      <c r="F577">
        <v>0.1</v>
      </c>
      <c r="G577">
        <f t="shared" si="8"/>
        <v>2999.89</v>
      </c>
      <c r="H577" t="str">
        <f>_xlfn.XLOOKUP(C577,products[Product_ID],products[Product_Name],"not found",0)</f>
        <v>Trek Conduit+ - 2016</v>
      </c>
      <c r="I577" t="e">
        <f>VLOOKUP(products!D577,categories[#All],2,TRUE)</f>
        <v>#N/A</v>
      </c>
    </row>
    <row r="578" spans="1:9" x14ac:dyDescent="0.3">
      <c r="A578">
        <v>577</v>
      </c>
      <c r="B578">
        <v>1</v>
      </c>
      <c r="C578">
        <v>3</v>
      </c>
      <c r="D578">
        <v>2</v>
      </c>
      <c r="E578">
        <v>999.99</v>
      </c>
      <c r="F578">
        <v>0.2</v>
      </c>
      <c r="G578">
        <f t="shared" ref="G578:G641" si="9">(E578*D578)-F578</f>
        <v>1999.78</v>
      </c>
      <c r="H578" t="str">
        <f>_xlfn.XLOOKUP(C578,products[Product_ID],products[Product_Name],"not found",0)</f>
        <v>Surly Wednesday Frameset - 2016</v>
      </c>
      <c r="I578" t="e">
        <f>VLOOKUP(products!D578,categories[#All],2,TRUE)</f>
        <v>#N/A</v>
      </c>
    </row>
    <row r="579" spans="1:9" x14ac:dyDescent="0.3">
      <c r="A579">
        <v>578</v>
      </c>
      <c r="B579">
        <v>1</v>
      </c>
      <c r="C579">
        <v>21</v>
      </c>
      <c r="D579">
        <v>1</v>
      </c>
      <c r="E579">
        <v>269.99</v>
      </c>
      <c r="F579">
        <v>7.0000000000000007E-2</v>
      </c>
      <c r="G579">
        <f t="shared" si="9"/>
        <v>269.92</v>
      </c>
      <c r="H579" t="str">
        <f>_xlfn.XLOOKUP(C579,products[Product_ID],products[Product_Name],"not found",0)</f>
        <v>Electra Cruiser 1 (24-Inch) - 2016</v>
      </c>
      <c r="I579" t="e">
        <f>VLOOKUP(products!D579,categories[#All],2,TRUE)</f>
        <v>#N/A</v>
      </c>
    </row>
    <row r="580" spans="1:9" x14ac:dyDescent="0.3">
      <c r="A580">
        <v>579</v>
      </c>
      <c r="B580">
        <v>1</v>
      </c>
      <c r="C580">
        <v>7</v>
      </c>
      <c r="D580">
        <v>2</v>
      </c>
      <c r="E580">
        <v>3999.99</v>
      </c>
      <c r="F580">
        <v>0.05</v>
      </c>
      <c r="G580">
        <f t="shared" si="9"/>
        <v>7999.9299999999994</v>
      </c>
      <c r="H580" t="str">
        <f>_xlfn.XLOOKUP(C580,products[Product_ID],products[Product_Name],"not found",0)</f>
        <v>Trek Slash 8 27.5 - 2016</v>
      </c>
      <c r="I580" t="e">
        <f>VLOOKUP(products!D580,categories[#All],2,TRUE)</f>
        <v>#N/A</v>
      </c>
    </row>
    <row r="581" spans="1:9" x14ac:dyDescent="0.3">
      <c r="A581">
        <v>580</v>
      </c>
      <c r="B581">
        <v>1</v>
      </c>
      <c r="C581">
        <v>16</v>
      </c>
      <c r="D581">
        <v>2</v>
      </c>
      <c r="E581">
        <v>599.99</v>
      </c>
      <c r="F581">
        <v>0.2</v>
      </c>
      <c r="G581">
        <f t="shared" si="9"/>
        <v>1199.78</v>
      </c>
      <c r="H581" t="str">
        <f>_xlfn.XLOOKUP(C581,products[Product_ID],products[Product_Name],"not found",0)</f>
        <v>Electra Townie Original 7D EQ - 2016</v>
      </c>
      <c r="I581" t="e">
        <f>VLOOKUP(products!D581,categories[#All],2,TRUE)</f>
        <v>#N/A</v>
      </c>
    </row>
    <row r="582" spans="1:9" x14ac:dyDescent="0.3">
      <c r="A582">
        <v>581</v>
      </c>
      <c r="B582">
        <v>1</v>
      </c>
      <c r="C582">
        <v>8</v>
      </c>
      <c r="D582">
        <v>2</v>
      </c>
      <c r="E582">
        <v>1799.99</v>
      </c>
      <c r="F582">
        <v>7.0000000000000007E-2</v>
      </c>
      <c r="G582">
        <f t="shared" si="9"/>
        <v>3599.91</v>
      </c>
      <c r="H582" t="str">
        <f>_xlfn.XLOOKUP(C582,products[Product_ID],products[Product_Name],"not found",0)</f>
        <v>Trek Remedy 29 Carbon Frameset - 2016</v>
      </c>
      <c r="I582" t="e">
        <f>VLOOKUP(products!D582,categories[#All],2,TRUE)</f>
        <v>#N/A</v>
      </c>
    </row>
    <row r="583" spans="1:9" x14ac:dyDescent="0.3">
      <c r="A583">
        <v>582</v>
      </c>
      <c r="B583">
        <v>1</v>
      </c>
      <c r="C583">
        <v>10</v>
      </c>
      <c r="D583">
        <v>2</v>
      </c>
      <c r="E583">
        <v>1549</v>
      </c>
      <c r="F583">
        <v>0.2</v>
      </c>
      <c r="G583">
        <f t="shared" si="9"/>
        <v>3097.8</v>
      </c>
      <c r="H583" t="str">
        <f>_xlfn.XLOOKUP(C583,products[Product_ID],products[Product_Name],"not found",0)</f>
        <v>Surly Straggler - 2016</v>
      </c>
      <c r="I583" t="e">
        <f>VLOOKUP(products!D583,categories[#All],2,TRUE)</f>
        <v>#N/A</v>
      </c>
    </row>
    <row r="584" spans="1:9" x14ac:dyDescent="0.3">
      <c r="A584">
        <v>583</v>
      </c>
      <c r="B584">
        <v>1</v>
      </c>
      <c r="C584">
        <v>15</v>
      </c>
      <c r="D584">
        <v>2</v>
      </c>
      <c r="E584">
        <v>529.99</v>
      </c>
      <c r="F584">
        <v>0.2</v>
      </c>
      <c r="G584">
        <f t="shared" si="9"/>
        <v>1059.78</v>
      </c>
      <c r="H584" t="str">
        <f>_xlfn.XLOOKUP(C584,products[Product_ID],products[Product_Name],"not found",0)</f>
        <v>Electra Moto 1 - 2016</v>
      </c>
      <c r="I584" t="e">
        <f>VLOOKUP(products!D584,categories[#All],2,TRUE)</f>
        <v>#N/A</v>
      </c>
    </row>
    <row r="585" spans="1:9" x14ac:dyDescent="0.3">
      <c r="A585">
        <v>584</v>
      </c>
      <c r="B585">
        <v>1</v>
      </c>
      <c r="C585">
        <v>19</v>
      </c>
      <c r="D585">
        <v>1</v>
      </c>
      <c r="E585">
        <v>449</v>
      </c>
      <c r="F585">
        <v>7.0000000000000007E-2</v>
      </c>
      <c r="G585">
        <f t="shared" si="9"/>
        <v>448.93</v>
      </c>
      <c r="H585" t="str">
        <f>_xlfn.XLOOKUP(C585,products[Product_ID],products[Product_Name],"not found",0)</f>
        <v>Pure Cycles William 3-Speed - 2016</v>
      </c>
      <c r="I585" t="e">
        <f>VLOOKUP(products!D585,categories[#All],2,TRUE)</f>
        <v>#N/A</v>
      </c>
    </row>
    <row r="586" spans="1:9" x14ac:dyDescent="0.3">
      <c r="A586">
        <v>585</v>
      </c>
      <c r="B586">
        <v>1</v>
      </c>
      <c r="C586">
        <v>10</v>
      </c>
      <c r="D586">
        <v>1</v>
      </c>
      <c r="E586">
        <v>1549</v>
      </c>
      <c r="F586">
        <v>0.2</v>
      </c>
      <c r="G586">
        <f t="shared" si="9"/>
        <v>1548.8</v>
      </c>
      <c r="H586" t="str">
        <f>_xlfn.XLOOKUP(C586,products[Product_ID],products[Product_Name],"not found",0)</f>
        <v>Surly Straggler - 2016</v>
      </c>
      <c r="I586" t="e">
        <f>VLOOKUP(products!D586,categories[#All],2,TRUE)</f>
        <v>#N/A</v>
      </c>
    </row>
    <row r="587" spans="1:9" x14ac:dyDescent="0.3">
      <c r="A587">
        <v>586</v>
      </c>
      <c r="B587">
        <v>1</v>
      </c>
      <c r="C587">
        <v>11</v>
      </c>
      <c r="D587">
        <v>2</v>
      </c>
      <c r="E587">
        <v>1680.99</v>
      </c>
      <c r="F587">
        <v>0.1</v>
      </c>
      <c r="G587">
        <f t="shared" si="9"/>
        <v>3361.88</v>
      </c>
      <c r="H587" t="str">
        <f>_xlfn.XLOOKUP(C587,products[Product_ID],products[Product_Name],"not found",0)</f>
        <v>Surly Straggler 650b - 2016</v>
      </c>
      <c r="I587" t="e">
        <f>VLOOKUP(products!D587,categories[#All],2,TRUE)</f>
        <v>#N/A</v>
      </c>
    </row>
    <row r="588" spans="1:9" x14ac:dyDescent="0.3">
      <c r="A588">
        <v>587</v>
      </c>
      <c r="B588">
        <v>1</v>
      </c>
      <c r="C588">
        <v>24</v>
      </c>
      <c r="D588">
        <v>1</v>
      </c>
      <c r="E588">
        <v>549.99</v>
      </c>
      <c r="F588">
        <v>0.05</v>
      </c>
      <c r="G588">
        <f t="shared" si="9"/>
        <v>549.94000000000005</v>
      </c>
      <c r="H588" t="str">
        <f>_xlfn.XLOOKUP(C588,products[Product_ID],products[Product_Name],"not found",0)</f>
        <v>Electra Townie Original 21D - 2016</v>
      </c>
      <c r="I588" t="e">
        <f>VLOOKUP(products!D588,categories[#All],2,TRUE)</f>
        <v>#N/A</v>
      </c>
    </row>
    <row r="589" spans="1:9" x14ac:dyDescent="0.3">
      <c r="A589">
        <v>588</v>
      </c>
      <c r="B589">
        <v>1</v>
      </c>
      <c r="C589">
        <v>10</v>
      </c>
      <c r="D589">
        <v>2</v>
      </c>
      <c r="E589">
        <v>1549</v>
      </c>
      <c r="F589">
        <v>7.0000000000000007E-2</v>
      </c>
      <c r="G589">
        <f t="shared" si="9"/>
        <v>3097.93</v>
      </c>
      <c r="H589" t="str">
        <f>_xlfn.XLOOKUP(C589,products[Product_ID],products[Product_Name],"not found",0)</f>
        <v>Surly Straggler - 2016</v>
      </c>
      <c r="I589" t="e">
        <f>VLOOKUP(products!D589,categories[#All],2,TRUE)</f>
        <v>#N/A</v>
      </c>
    </row>
    <row r="590" spans="1:9" x14ac:dyDescent="0.3">
      <c r="A590">
        <v>589</v>
      </c>
      <c r="B590">
        <v>1</v>
      </c>
      <c r="C590">
        <v>15</v>
      </c>
      <c r="D590">
        <v>2</v>
      </c>
      <c r="E590">
        <v>529.99</v>
      </c>
      <c r="F590">
        <v>0.05</v>
      </c>
      <c r="G590">
        <f t="shared" si="9"/>
        <v>1059.93</v>
      </c>
      <c r="H590" t="str">
        <f>_xlfn.XLOOKUP(C590,products[Product_ID],products[Product_Name],"not found",0)</f>
        <v>Electra Moto 1 - 2016</v>
      </c>
      <c r="I590" t="e">
        <f>VLOOKUP(products!D590,categories[#All],2,TRUE)</f>
        <v>#N/A</v>
      </c>
    </row>
    <row r="591" spans="1:9" x14ac:dyDescent="0.3">
      <c r="A591">
        <v>590</v>
      </c>
      <c r="B591">
        <v>1</v>
      </c>
      <c r="C591">
        <v>2</v>
      </c>
      <c r="D591">
        <v>2</v>
      </c>
      <c r="E591">
        <v>749.99</v>
      </c>
      <c r="F591">
        <v>0.1</v>
      </c>
      <c r="G591">
        <f t="shared" si="9"/>
        <v>1499.88</v>
      </c>
      <c r="H591" t="str">
        <f>_xlfn.XLOOKUP(C591,products[Product_ID],products[Product_Name],"not found",0)</f>
        <v>Ritchey Timberwolf Frameset - 2016</v>
      </c>
      <c r="I591" t="e">
        <f>VLOOKUP(products!D591,categories[#All],2,TRUE)</f>
        <v>#N/A</v>
      </c>
    </row>
    <row r="592" spans="1:9" x14ac:dyDescent="0.3">
      <c r="A592">
        <v>591</v>
      </c>
      <c r="B592">
        <v>1</v>
      </c>
      <c r="C592">
        <v>16</v>
      </c>
      <c r="D592">
        <v>2</v>
      </c>
      <c r="E592">
        <v>599.99</v>
      </c>
      <c r="F592">
        <v>0.05</v>
      </c>
      <c r="G592">
        <f t="shared" si="9"/>
        <v>1199.93</v>
      </c>
      <c r="H592" t="str">
        <f>_xlfn.XLOOKUP(C592,products[Product_ID],products[Product_Name],"not found",0)</f>
        <v>Electra Townie Original 7D EQ - 2016</v>
      </c>
      <c r="I592" t="e">
        <f>VLOOKUP(products!D592,categories[#All],2,TRUE)</f>
        <v>#N/A</v>
      </c>
    </row>
    <row r="593" spans="1:9" x14ac:dyDescent="0.3">
      <c r="A593">
        <v>592</v>
      </c>
      <c r="B593">
        <v>1</v>
      </c>
      <c r="C593">
        <v>21</v>
      </c>
      <c r="D593">
        <v>2</v>
      </c>
      <c r="E593">
        <v>269.99</v>
      </c>
      <c r="F593">
        <v>0.1</v>
      </c>
      <c r="G593">
        <f t="shared" si="9"/>
        <v>539.88</v>
      </c>
      <c r="H593" t="str">
        <f>_xlfn.XLOOKUP(C593,products[Product_ID],products[Product_Name],"not found",0)</f>
        <v>Electra Cruiser 1 (24-Inch) - 2016</v>
      </c>
      <c r="I593" t="e">
        <f>VLOOKUP(products!D593,categories[#All],2,TRUE)</f>
        <v>#N/A</v>
      </c>
    </row>
    <row r="594" spans="1:9" x14ac:dyDescent="0.3">
      <c r="A594">
        <v>593</v>
      </c>
      <c r="B594">
        <v>1</v>
      </c>
      <c r="C594">
        <v>3</v>
      </c>
      <c r="D594">
        <v>2</v>
      </c>
      <c r="E594">
        <v>999.99</v>
      </c>
      <c r="F594">
        <v>0.1</v>
      </c>
      <c r="G594">
        <f t="shared" si="9"/>
        <v>1999.88</v>
      </c>
      <c r="H594" t="str">
        <f>_xlfn.XLOOKUP(C594,products[Product_ID],products[Product_Name],"not found",0)</f>
        <v>Surly Wednesday Frameset - 2016</v>
      </c>
      <c r="I594" t="e">
        <f>VLOOKUP(products!D594,categories[#All],2,TRUE)</f>
        <v>#N/A</v>
      </c>
    </row>
    <row r="595" spans="1:9" x14ac:dyDescent="0.3">
      <c r="A595">
        <v>594</v>
      </c>
      <c r="B595">
        <v>1</v>
      </c>
      <c r="C595">
        <v>26</v>
      </c>
      <c r="D595">
        <v>1</v>
      </c>
      <c r="E595">
        <v>599.99</v>
      </c>
      <c r="F595">
        <v>0.1</v>
      </c>
      <c r="G595">
        <f t="shared" si="9"/>
        <v>599.89</v>
      </c>
      <c r="H595" t="str">
        <f>_xlfn.XLOOKUP(C595,products[Product_ID],products[Product_Name],"not found",0)</f>
        <v>Electra Townie Original 7D EQ - 2016</v>
      </c>
      <c r="I595" t="e">
        <f>VLOOKUP(products!D595,categories[#All],2,TRUE)</f>
        <v>#N/A</v>
      </c>
    </row>
    <row r="596" spans="1:9" x14ac:dyDescent="0.3">
      <c r="A596">
        <v>595</v>
      </c>
      <c r="B596">
        <v>1</v>
      </c>
      <c r="C596">
        <v>4</v>
      </c>
      <c r="D596">
        <v>1</v>
      </c>
      <c r="E596">
        <v>2899.99</v>
      </c>
      <c r="F596">
        <v>7.0000000000000007E-2</v>
      </c>
      <c r="G596">
        <f t="shared" si="9"/>
        <v>2899.9199999999996</v>
      </c>
      <c r="H596" t="str">
        <f>_xlfn.XLOOKUP(C596,products[Product_ID],products[Product_Name],"not found",0)</f>
        <v>Trek Fuel EX 8 29 - 2016</v>
      </c>
      <c r="I596" t="e">
        <f>VLOOKUP(products!D596,categories[#All],2,TRUE)</f>
        <v>#N/A</v>
      </c>
    </row>
    <row r="597" spans="1:9" x14ac:dyDescent="0.3">
      <c r="A597">
        <v>596</v>
      </c>
      <c r="B597">
        <v>1</v>
      </c>
      <c r="C597">
        <v>5</v>
      </c>
      <c r="D597">
        <v>1</v>
      </c>
      <c r="E597">
        <v>1320.99</v>
      </c>
      <c r="F597">
        <v>0.05</v>
      </c>
      <c r="G597">
        <f t="shared" si="9"/>
        <v>1320.94</v>
      </c>
      <c r="H597" t="str">
        <f>_xlfn.XLOOKUP(C597,products[Product_ID],products[Product_Name],"not found",0)</f>
        <v>Heller Shagamaw Frame - 2016</v>
      </c>
      <c r="I597" t="e">
        <f>VLOOKUP(products!D597,categories[#All],2,TRUE)</f>
        <v>#N/A</v>
      </c>
    </row>
    <row r="598" spans="1:9" x14ac:dyDescent="0.3">
      <c r="A598">
        <v>597</v>
      </c>
      <c r="B598">
        <v>1</v>
      </c>
      <c r="C598">
        <v>17</v>
      </c>
      <c r="D598">
        <v>2</v>
      </c>
      <c r="E598">
        <v>429</v>
      </c>
      <c r="F598">
        <v>0.2</v>
      </c>
      <c r="G598">
        <f t="shared" si="9"/>
        <v>857.8</v>
      </c>
      <c r="H598" t="str">
        <f>_xlfn.XLOOKUP(C598,products[Product_ID],products[Product_Name],"not found",0)</f>
        <v>Pure Cycles Vine 8-Speed - 2016</v>
      </c>
      <c r="I598" t="e">
        <f>VLOOKUP(products!D598,categories[#All],2,TRUE)</f>
        <v>#N/A</v>
      </c>
    </row>
    <row r="599" spans="1:9" x14ac:dyDescent="0.3">
      <c r="A599">
        <v>598</v>
      </c>
      <c r="B599">
        <v>1</v>
      </c>
      <c r="C599">
        <v>4</v>
      </c>
      <c r="D599">
        <v>2</v>
      </c>
      <c r="E599">
        <v>2899.99</v>
      </c>
      <c r="F599">
        <v>0.05</v>
      </c>
      <c r="G599">
        <f t="shared" si="9"/>
        <v>5799.9299999999994</v>
      </c>
      <c r="H599" t="str">
        <f>_xlfn.XLOOKUP(C599,products[Product_ID],products[Product_Name],"not found",0)</f>
        <v>Trek Fuel EX 8 29 - 2016</v>
      </c>
      <c r="I599" t="e">
        <f>VLOOKUP(products!D599,categories[#All],2,TRUE)</f>
        <v>#N/A</v>
      </c>
    </row>
    <row r="600" spans="1:9" x14ac:dyDescent="0.3">
      <c r="A600">
        <v>599</v>
      </c>
      <c r="B600">
        <v>1</v>
      </c>
      <c r="C600">
        <v>9</v>
      </c>
      <c r="D600">
        <v>2</v>
      </c>
      <c r="E600">
        <v>2999.99</v>
      </c>
      <c r="F600">
        <v>0.05</v>
      </c>
      <c r="G600">
        <f t="shared" si="9"/>
        <v>5999.9299999999994</v>
      </c>
      <c r="H600" t="str">
        <f>_xlfn.XLOOKUP(C600,products[Product_ID],products[Product_Name],"not found",0)</f>
        <v>Trek Conduit+ - 2016</v>
      </c>
      <c r="I600" t="e">
        <f>VLOOKUP(products!D600,categories[#All],2,TRUE)</f>
        <v>#N/A</v>
      </c>
    </row>
    <row r="601" spans="1:9" x14ac:dyDescent="0.3">
      <c r="A601">
        <v>600</v>
      </c>
      <c r="B601">
        <v>1</v>
      </c>
      <c r="C601">
        <v>26</v>
      </c>
      <c r="D601">
        <v>2</v>
      </c>
      <c r="E601">
        <v>599.99</v>
      </c>
      <c r="F601">
        <v>7.0000000000000007E-2</v>
      </c>
      <c r="G601">
        <f t="shared" si="9"/>
        <v>1199.9100000000001</v>
      </c>
      <c r="H601" t="str">
        <f>_xlfn.XLOOKUP(C601,products[Product_ID],products[Product_Name],"not found",0)</f>
        <v>Electra Townie Original 7D EQ - 2016</v>
      </c>
      <c r="I601" t="e">
        <f>VLOOKUP(products!D601,categories[#All],2,TRUE)</f>
        <v>#N/A</v>
      </c>
    </row>
    <row r="602" spans="1:9" x14ac:dyDescent="0.3">
      <c r="A602">
        <v>601</v>
      </c>
      <c r="B602">
        <v>1</v>
      </c>
      <c r="C602">
        <v>12</v>
      </c>
      <c r="D602">
        <v>2</v>
      </c>
      <c r="E602">
        <v>549.99</v>
      </c>
      <c r="F602">
        <v>0.2</v>
      </c>
      <c r="G602">
        <f t="shared" si="9"/>
        <v>1099.78</v>
      </c>
      <c r="H602" t="str">
        <f>_xlfn.XLOOKUP(C602,products[Product_ID],products[Product_Name],"not found",0)</f>
        <v>Electra Townie Original 21D - 2016</v>
      </c>
      <c r="I602" t="e">
        <f>VLOOKUP(products!D602,categories[#All],2,TRUE)</f>
        <v>#N/A</v>
      </c>
    </row>
    <row r="603" spans="1:9" x14ac:dyDescent="0.3">
      <c r="A603">
        <v>602</v>
      </c>
      <c r="B603">
        <v>1</v>
      </c>
      <c r="C603">
        <v>15</v>
      </c>
      <c r="D603">
        <v>2</v>
      </c>
      <c r="E603">
        <v>529.99</v>
      </c>
      <c r="F603">
        <v>0.05</v>
      </c>
      <c r="G603">
        <f t="shared" si="9"/>
        <v>1059.93</v>
      </c>
      <c r="H603" t="str">
        <f>_xlfn.XLOOKUP(C603,products[Product_ID],products[Product_Name],"not found",0)</f>
        <v>Electra Moto 1 - 2016</v>
      </c>
      <c r="I603" t="e">
        <f>VLOOKUP(products!D603,categories[#All],2,TRUE)</f>
        <v>#N/A</v>
      </c>
    </row>
    <row r="604" spans="1:9" x14ac:dyDescent="0.3">
      <c r="A604">
        <v>603</v>
      </c>
      <c r="B604">
        <v>1</v>
      </c>
      <c r="C604">
        <v>12</v>
      </c>
      <c r="D604">
        <v>1</v>
      </c>
      <c r="E604">
        <v>549.99</v>
      </c>
      <c r="F604">
        <v>7.0000000000000007E-2</v>
      </c>
      <c r="G604">
        <f t="shared" si="9"/>
        <v>549.91999999999996</v>
      </c>
      <c r="H604" t="str">
        <f>_xlfn.XLOOKUP(C604,products[Product_ID],products[Product_Name],"not found",0)</f>
        <v>Electra Townie Original 21D - 2016</v>
      </c>
      <c r="I604" t="e">
        <f>VLOOKUP(products!D604,categories[#All],2,TRUE)</f>
        <v>#N/A</v>
      </c>
    </row>
    <row r="605" spans="1:9" x14ac:dyDescent="0.3">
      <c r="A605">
        <v>604</v>
      </c>
      <c r="B605">
        <v>1</v>
      </c>
      <c r="C605">
        <v>10</v>
      </c>
      <c r="D605">
        <v>2</v>
      </c>
      <c r="E605">
        <v>1549</v>
      </c>
      <c r="F605">
        <v>7.0000000000000007E-2</v>
      </c>
      <c r="G605">
        <f t="shared" si="9"/>
        <v>3097.93</v>
      </c>
      <c r="H605" t="str">
        <f>_xlfn.XLOOKUP(C605,products[Product_ID],products[Product_Name],"not found",0)</f>
        <v>Surly Straggler - 2016</v>
      </c>
      <c r="I605" t="e">
        <f>VLOOKUP(products!D605,categories[#All],2,TRUE)</f>
        <v>#N/A</v>
      </c>
    </row>
    <row r="606" spans="1:9" x14ac:dyDescent="0.3">
      <c r="A606">
        <v>605</v>
      </c>
      <c r="B606">
        <v>1</v>
      </c>
      <c r="C606">
        <v>19</v>
      </c>
      <c r="D606">
        <v>1</v>
      </c>
      <c r="E606">
        <v>449</v>
      </c>
      <c r="F606">
        <v>7.0000000000000007E-2</v>
      </c>
      <c r="G606">
        <f t="shared" si="9"/>
        <v>448.93</v>
      </c>
      <c r="H606" t="str">
        <f>_xlfn.XLOOKUP(C606,products[Product_ID],products[Product_Name],"not found",0)</f>
        <v>Pure Cycles William 3-Speed - 2016</v>
      </c>
      <c r="I606" t="e">
        <f>VLOOKUP(products!D606,categories[#All],2,TRUE)</f>
        <v>#N/A</v>
      </c>
    </row>
    <row r="607" spans="1:9" x14ac:dyDescent="0.3">
      <c r="A607">
        <v>606</v>
      </c>
      <c r="B607">
        <v>1</v>
      </c>
      <c r="C607">
        <v>6</v>
      </c>
      <c r="D607">
        <v>2</v>
      </c>
      <c r="E607">
        <v>469.99</v>
      </c>
      <c r="F607">
        <v>0.2</v>
      </c>
      <c r="G607">
        <f t="shared" si="9"/>
        <v>939.78</v>
      </c>
      <c r="H607" t="str">
        <f>_xlfn.XLOOKUP(C607,products[Product_ID],products[Product_Name],"not found",0)</f>
        <v>Surly Ice Cream Truck Frameset - 2016</v>
      </c>
      <c r="I607" t="e">
        <f>VLOOKUP(products!D607,categories[#All],2,TRUE)</f>
        <v>#N/A</v>
      </c>
    </row>
    <row r="608" spans="1:9" x14ac:dyDescent="0.3">
      <c r="A608">
        <v>607</v>
      </c>
      <c r="B608">
        <v>1</v>
      </c>
      <c r="C608">
        <v>11</v>
      </c>
      <c r="D608">
        <v>2</v>
      </c>
      <c r="E608">
        <v>1680.99</v>
      </c>
      <c r="F608">
        <v>0.2</v>
      </c>
      <c r="G608">
        <f t="shared" si="9"/>
        <v>3361.78</v>
      </c>
      <c r="H608" t="str">
        <f>_xlfn.XLOOKUP(C608,products[Product_ID],products[Product_Name],"not found",0)</f>
        <v>Surly Straggler 650b - 2016</v>
      </c>
      <c r="I608" t="e">
        <f>VLOOKUP(products!D608,categories[#All],2,TRUE)</f>
        <v>#N/A</v>
      </c>
    </row>
    <row r="609" spans="1:9" x14ac:dyDescent="0.3">
      <c r="A609">
        <v>608</v>
      </c>
      <c r="B609">
        <v>1</v>
      </c>
      <c r="C609">
        <v>4</v>
      </c>
      <c r="D609">
        <v>2</v>
      </c>
      <c r="E609">
        <v>2899.99</v>
      </c>
      <c r="F609">
        <v>0.2</v>
      </c>
      <c r="G609">
        <f t="shared" si="9"/>
        <v>5799.78</v>
      </c>
      <c r="H609" t="str">
        <f>_xlfn.XLOOKUP(C609,products[Product_ID],products[Product_Name],"not found",0)</f>
        <v>Trek Fuel EX 8 29 - 2016</v>
      </c>
      <c r="I609" t="e">
        <f>VLOOKUP(products!D609,categories[#All],2,TRUE)</f>
        <v>#N/A</v>
      </c>
    </row>
    <row r="610" spans="1:9" x14ac:dyDescent="0.3">
      <c r="A610">
        <v>609</v>
      </c>
      <c r="B610">
        <v>1</v>
      </c>
      <c r="C610">
        <v>10</v>
      </c>
      <c r="D610">
        <v>1</v>
      </c>
      <c r="E610">
        <v>1549</v>
      </c>
      <c r="F610">
        <v>7.0000000000000007E-2</v>
      </c>
      <c r="G610">
        <f t="shared" si="9"/>
        <v>1548.93</v>
      </c>
      <c r="H610" t="str">
        <f>_xlfn.XLOOKUP(C610,products[Product_ID],products[Product_Name],"not found",0)</f>
        <v>Surly Straggler - 2016</v>
      </c>
      <c r="I610" t="e">
        <f>VLOOKUP(products!D610,categories[#All],2,TRUE)</f>
        <v>#N/A</v>
      </c>
    </row>
    <row r="611" spans="1:9" x14ac:dyDescent="0.3">
      <c r="A611">
        <v>610</v>
      </c>
      <c r="B611">
        <v>1</v>
      </c>
      <c r="C611">
        <v>26</v>
      </c>
      <c r="D611">
        <v>1</v>
      </c>
      <c r="E611">
        <v>599.99</v>
      </c>
      <c r="F611">
        <v>0.1</v>
      </c>
      <c r="G611">
        <f t="shared" si="9"/>
        <v>599.89</v>
      </c>
      <c r="H611" t="str">
        <f>_xlfn.XLOOKUP(C611,products[Product_ID],products[Product_Name],"not found",0)</f>
        <v>Electra Townie Original 7D EQ - 2016</v>
      </c>
      <c r="I611" t="e">
        <f>VLOOKUP(products!D611,categories[#All],2,TRUE)</f>
        <v>#N/A</v>
      </c>
    </row>
    <row r="612" spans="1:9" x14ac:dyDescent="0.3">
      <c r="A612">
        <v>611</v>
      </c>
      <c r="B612">
        <v>1</v>
      </c>
      <c r="C612">
        <v>16</v>
      </c>
      <c r="D612">
        <v>2</v>
      </c>
      <c r="E612">
        <v>599.99</v>
      </c>
      <c r="F612">
        <v>7.0000000000000007E-2</v>
      </c>
      <c r="G612">
        <f t="shared" si="9"/>
        <v>1199.9100000000001</v>
      </c>
      <c r="H612" t="str">
        <f>_xlfn.XLOOKUP(C612,products[Product_ID],products[Product_Name],"not found",0)</f>
        <v>Electra Townie Original 7D EQ - 2016</v>
      </c>
      <c r="I612" t="e">
        <f>VLOOKUP(products!D612,categories[#All],2,TRUE)</f>
        <v>#N/A</v>
      </c>
    </row>
    <row r="613" spans="1:9" x14ac:dyDescent="0.3">
      <c r="A613">
        <v>612</v>
      </c>
      <c r="B613">
        <v>1</v>
      </c>
      <c r="C613">
        <v>13</v>
      </c>
      <c r="D613">
        <v>1</v>
      </c>
      <c r="E613">
        <v>269.99</v>
      </c>
      <c r="F613">
        <v>0.1</v>
      </c>
      <c r="G613">
        <f t="shared" si="9"/>
        <v>269.89</v>
      </c>
      <c r="H613" t="str">
        <f>_xlfn.XLOOKUP(C613,products[Product_ID],products[Product_Name],"not found",0)</f>
        <v>Electra Cruiser 1 (24-Inch) - 2016</v>
      </c>
      <c r="I613" t="e">
        <f>VLOOKUP(products!D613,categories[#All],2,TRUE)</f>
        <v>#N/A</v>
      </c>
    </row>
    <row r="614" spans="1:9" x14ac:dyDescent="0.3">
      <c r="A614">
        <v>613</v>
      </c>
      <c r="B614">
        <v>1</v>
      </c>
      <c r="C614">
        <v>9</v>
      </c>
      <c r="D614">
        <v>2</v>
      </c>
      <c r="E614">
        <v>2999.99</v>
      </c>
      <c r="F614">
        <v>0.1</v>
      </c>
      <c r="G614">
        <f t="shared" si="9"/>
        <v>5999.8799999999992</v>
      </c>
      <c r="H614" t="str">
        <f>_xlfn.XLOOKUP(C614,products[Product_ID],products[Product_Name],"not found",0)</f>
        <v>Trek Conduit+ - 2016</v>
      </c>
      <c r="I614" t="e">
        <f>VLOOKUP(products!D614,categories[#All],2,TRUE)</f>
        <v>#N/A</v>
      </c>
    </row>
    <row r="615" spans="1:9" x14ac:dyDescent="0.3">
      <c r="A615">
        <v>614</v>
      </c>
      <c r="B615">
        <v>1</v>
      </c>
      <c r="C615">
        <v>18</v>
      </c>
      <c r="D615">
        <v>1</v>
      </c>
      <c r="E615">
        <v>449</v>
      </c>
      <c r="F615">
        <v>0.1</v>
      </c>
      <c r="G615">
        <f t="shared" si="9"/>
        <v>448.9</v>
      </c>
      <c r="H615" t="str">
        <f>_xlfn.XLOOKUP(C615,products[Product_ID],products[Product_Name],"not found",0)</f>
        <v>Pure Cycles Western 3-Speed - Women's - 2015/2016</v>
      </c>
      <c r="I615" t="e">
        <f>VLOOKUP(products!D615,categories[#All],2,TRUE)</f>
        <v>#N/A</v>
      </c>
    </row>
    <row r="616" spans="1:9" x14ac:dyDescent="0.3">
      <c r="A616">
        <v>615</v>
      </c>
      <c r="B616">
        <v>1</v>
      </c>
      <c r="C616">
        <v>11</v>
      </c>
      <c r="D616">
        <v>1</v>
      </c>
      <c r="E616">
        <v>1680.99</v>
      </c>
      <c r="F616">
        <v>7.0000000000000007E-2</v>
      </c>
      <c r="G616">
        <f t="shared" si="9"/>
        <v>1680.92</v>
      </c>
      <c r="H616" t="str">
        <f>_xlfn.XLOOKUP(C616,products[Product_ID],products[Product_Name],"not found",0)</f>
        <v>Surly Straggler 650b - 2016</v>
      </c>
      <c r="I616" t="e">
        <f>VLOOKUP(products!D616,categories[#All],2,TRUE)</f>
        <v>#N/A</v>
      </c>
    </row>
    <row r="617" spans="1:9" x14ac:dyDescent="0.3">
      <c r="A617">
        <v>616</v>
      </c>
      <c r="B617">
        <v>1</v>
      </c>
      <c r="C617">
        <v>24</v>
      </c>
      <c r="D617">
        <v>1</v>
      </c>
      <c r="E617">
        <v>549.99</v>
      </c>
      <c r="F617">
        <v>0.2</v>
      </c>
      <c r="G617">
        <f t="shared" si="9"/>
        <v>549.79</v>
      </c>
      <c r="H617" t="str">
        <f>_xlfn.XLOOKUP(C617,products[Product_ID],products[Product_Name],"not found",0)</f>
        <v>Electra Townie Original 21D - 2016</v>
      </c>
      <c r="I617" t="e">
        <f>VLOOKUP(products!D617,categories[#All],2,TRUE)</f>
        <v>#N/A</v>
      </c>
    </row>
    <row r="618" spans="1:9" x14ac:dyDescent="0.3">
      <c r="A618">
        <v>617</v>
      </c>
      <c r="B618">
        <v>1</v>
      </c>
      <c r="C618">
        <v>15</v>
      </c>
      <c r="D618">
        <v>2</v>
      </c>
      <c r="E618">
        <v>529.99</v>
      </c>
      <c r="F618">
        <v>0.2</v>
      </c>
      <c r="G618">
        <f t="shared" si="9"/>
        <v>1059.78</v>
      </c>
      <c r="H618" t="str">
        <f>_xlfn.XLOOKUP(C618,products[Product_ID],products[Product_Name],"not found",0)</f>
        <v>Electra Moto 1 - 2016</v>
      </c>
      <c r="I618" t="e">
        <f>VLOOKUP(products!D618,categories[#All],2,TRUE)</f>
        <v>#N/A</v>
      </c>
    </row>
    <row r="619" spans="1:9" x14ac:dyDescent="0.3">
      <c r="A619">
        <v>618</v>
      </c>
      <c r="B619">
        <v>1</v>
      </c>
      <c r="C619">
        <v>17</v>
      </c>
      <c r="D619">
        <v>2</v>
      </c>
      <c r="E619">
        <v>429</v>
      </c>
      <c r="F619">
        <v>0.1</v>
      </c>
      <c r="G619">
        <f t="shared" si="9"/>
        <v>857.9</v>
      </c>
      <c r="H619" t="str">
        <f>_xlfn.XLOOKUP(C619,products[Product_ID],products[Product_Name],"not found",0)</f>
        <v>Pure Cycles Vine 8-Speed - 2016</v>
      </c>
      <c r="I619" t="e">
        <f>VLOOKUP(products!D619,categories[#All],2,TRUE)</f>
        <v>#N/A</v>
      </c>
    </row>
    <row r="620" spans="1:9" x14ac:dyDescent="0.3">
      <c r="A620">
        <v>619</v>
      </c>
      <c r="B620">
        <v>1</v>
      </c>
      <c r="C620">
        <v>25</v>
      </c>
      <c r="D620">
        <v>1</v>
      </c>
      <c r="E620">
        <v>499.99</v>
      </c>
      <c r="F620">
        <v>7.0000000000000007E-2</v>
      </c>
      <c r="G620">
        <f t="shared" si="9"/>
        <v>499.92</v>
      </c>
      <c r="H620" t="str">
        <f>_xlfn.XLOOKUP(C620,products[Product_ID],products[Product_Name],"not found",0)</f>
        <v>Electra Townie Original 7D - 2015/2016</v>
      </c>
      <c r="I620" t="e">
        <f>VLOOKUP(products!D620,categories[#All],2,TRUE)</f>
        <v>#N/A</v>
      </c>
    </row>
    <row r="621" spans="1:9" x14ac:dyDescent="0.3">
      <c r="A621">
        <v>620</v>
      </c>
      <c r="B621">
        <v>1</v>
      </c>
      <c r="C621">
        <v>5</v>
      </c>
      <c r="D621">
        <v>2</v>
      </c>
      <c r="E621">
        <v>1320.99</v>
      </c>
      <c r="F621">
        <v>0.2</v>
      </c>
      <c r="G621">
        <f t="shared" si="9"/>
        <v>2641.78</v>
      </c>
      <c r="H621" t="str">
        <f>_xlfn.XLOOKUP(C621,products[Product_ID],products[Product_Name],"not found",0)</f>
        <v>Heller Shagamaw Frame - 2016</v>
      </c>
      <c r="I621" t="e">
        <f>VLOOKUP(products!D621,categories[#All],2,TRUE)</f>
        <v>#N/A</v>
      </c>
    </row>
    <row r="622" spans="1:9" x14ac:dyDescent="0.3">
      <c r="A622">
        <v>621</v>
      </c>
      <c r="B622">
        <v>1</v>
      </c>
      <c r="C622">
        <v>17</v>
      </c>
      <c r="D622">
        <v>2</v>
      </c>
      <c r="E622">
        <v>429</v>
      </c>
      <c r="F622">
        <v>7.0000000000000007E-2</v>
      </c>
      <c r="G622">
        <f t="shared" si="9"/>
        <v>857.93</v>
      </c>
      <c r="H622" t="str">
        <f>_xlfn.XLOOKUP(C622,products[Product_ID],products[Product_Name],"not found",0)</f>
        <v>Pure Cycles Vine 8-Speed - 2016</v>
      </c>
      <c r="I622" t="e">
        <f>VLOOKUP(products!D622,categories[#All],2,TRUE)</f>
        <v>#N/A</v>
      </c>
    </row>
    <row r="623" spans="1:9" x14ac:dyDescent="0.3">
      <c r="A623">
        <v>622</v>
      </c>
      <c r="B623">
        <v>1</v>
      </c>
      <c r="C623">
        <v>9</v>
      </c>
      <c r="D623">
        <v>2</v>
      </c>
      <c r="E623">
        <v>2999.99</v>
      </c>
      <c r="F623">
        <v>7.0000000000000007E-2</v>
      </c>
      <c r="G623">
        <f t="shared" si="9"/>
        <v>5999.91</v>
      </c>
      <c r="H623" t="str">
        <f>_xlfn.XLOOKUP(C623,products[Product_ID],products[Product_Name],"not found",0)</f>
        <v>Trek Conduit+ - 2016</v>
      </c>
      <c r="I623" t="e">
        <f>VLOOKUP(products!D623,categories[#All],2,TRUE)</f>
        <v>#N/A</v>
      </c>
    </row>
    <row r="624" spans="1:9" x14ac:dyDescent="0.3">
      <c r="A624">
        <v>623</v>
      </c>
      <c r="B624">
        <v>1</v>
      </c>
      <c r="C624">
        <v>8</v>
      </c>
      <c r="D624">
        <v>1</v>
      </c>
      <c r="E624">
        <v>1799.99</v>
      </c>
      <c r="F624">
        <v>7.0000000000000007E-2</v>
      </c>
      <c r="G624">
        <f t="shared" si="9"/>
        <v>1799.92</v>
      </c>
      <c r="H624" t="str">
        <f>_xlfn.XLOOKUP(C624,products[Product_ID],products[Product_Name],"not found",0)</f>
        <v>Trek Remedy 29 Carbon Frameset - 2016</v>
      </c>
      <c r="I624" t="e">
        <f>VLOOKUP(products!D624,categories[#All],2,TRUE)</f>
        <v>#N/A</v>
      </c>
    </row>
    <row r="625" spans="1:9" x14ac:dyDescent="0.3">
      <c r="A625">
        <v>624</v>
      </c>
      <c r="B625">
        <v>1</v>
      </c>
      <c r="C625">
        <v>21</v>
      </c>
      <c r="D625">
        <v>2</v>
      </c>
      <c r="E625">
        <v>269.99</v>
      </c>
      <c r="F625">
        <v>0.05</v>
      </c>
      <c r="G625">
        <f t="shared" si="9"/>
        <v>539.93000000000006</v>
      </c>
      <c r="H625" t="str">
        <f>_xlfn.XLOOKUP(C625,products[Product_ID],products[Product_Name],"not found",0)</f>
        <v>Electra Cruiser 1 (24-Inch) - 2016</v>
      </c>
      <c r="I625" t="e">
        <f>VLOOKUP(products!D625,categories[#All],2,TRUE)</f>
        <v>#N/A</v>
      </c>
    </row>
    <row r="626" spans="1:9" x14ac:dyDescent="0.3">
      <c r="A626">
        <v>625</v>
      </c>
      <c r="B626">
        <v>1</v>
      </c>
      <c r="C626">
        <v>17</v>
      </c>
      <c r="D626">
        <v>1</v>
      </c>
      <c r="E626">
        <v>429</v>
      </c>
      <c r="F626">
        <v>7.0000000000000007E-2</v>
      </c>
      <c r="G626">
        <f t="shared" si="9"/>
        <v>428.93</v>
      </c>
      <c r="H626" t="str">
        <f>_xlfn.XLOOKUP(C626,products[Product_ID],products[Product_Name],"not found",0)</f>
        <v>Pure Cycles Vine 8-Speed - 2016</v>
      </c>
      <c r="I626" t="e">
        <f>VLOOKUP(products!D626,categories[#All],2,TRUE)</f>
        <v>#N/A</v>
      </c>
    </row>
    <row r="627" spans="1:9" x14ac:dyDescent="0.3">
      <c r="A627">
        <v>626</v>
      </c>
      <c r="B627">
        <v>1</v>
      </c>
      <c r="C627">
        <v>15</v>
      </c>
      <c r="D627">
        <v>1</v>
      </c>
      <c r="E627">
        <v>529.99</v>
      </c>
      <c r="F627">
        <v>0.2</v>
      </c>
      <c r="G627">
        <f t="shared" si="9"/>
        <v>529.79</v>
      </c>
      <c r="H627" t="str">
        <f>_xlfn.XLOOKUP(C627,products[Product_ID],products[Product_Name],"not found",0)</f>
        <v>Electra Moto 1 - 2016</v>
      </c>
      <c r="I627" t="e">
        <f>VLOOKUP(products!D627,categories[#All],2,TRUE)</f>
        <v>#N/A</v>
      </c>
    </row>
    <row r="628" spans="1:9" x14ac:dyDescent="0.3">
      <c r="A628">
        <v>627</v>
      </c>
      <c r="B628">
        <v>1</v>
      </c>
      <c r="C628">
        <v>19</v>
      </c>
      <c r="D628">
        <v>1</v>
      </c>
      <c r="E628">
        <v>449</v>
      </c>
      <c r="F628">
        <v>7.0000000000000007E-2</v>
      </c>
      <c r="G628">
        <f t="shared" si="9"/>
        <v>448.93</v>
      </c>
      <c r="H628" t="str">
        <f>_xlfn.XLOOKUP(C628,products[Product_ID],products[Product_Name],"not found",0)</f>
        <v>Pure Cycles William 3-Speed - 2016</v>
      </c>
      <c r="I628" t="e">
        <f>VLOOKUP(products!D628,categories[#All],2,TRUE)</f>
        <v>#N/A</v>
      </c>
    </row>
    <row r="629" spans="1:9" x14ac:dyDescent="0.3">
      <c r="A629">
        <v>628</v>
      </c>
      <c r="B629">
        <v>1</v>
      </c>
      <c r="C629">
        <v>15</v>
      </c>
      <c r="D629">
        <v>2</v>
      </c>
      <c r="E629">
        <v>529.99</v>
      </c>
      <c r="F629">
        <v>0.1</v>
      </c>
      <c r="G629">
        <f t="shared" si="9"/>
        <v>1059.8800000000001</v>
      </c>
      <c r="H629" t="str">
        <f>_xlfn.XLOOKUP(C629,products[Product_ID],products[Product_Name],"not found",0)</f>
        <v>Electra Moto 1 - 2016</v>
      </c>
      <c r="I629" t="e">
        <f>VLOOKUP(products!D629,categories[#All],2,TRUE)</f>
        <v>#N/A</v>
      </c>
    </row>
    <row r="630" spans="1:9" x14ac:dyDescent="0.3">
      <c r="A630">
        <v>629</v>
      </c>
      <c r="B630">
        <v>1</v>
      </c>
      <c r="C630">
        <v>19</v>
      </c>
      <c r="D630">
        <v>1</v>
      </c>
      <c r="E630">
        <v>449</v>
      </c>
      <c r="F630">
        <v>0.05</v>
      </c>
      <c r="G630">
        <f t="shared" si="9"/>
        <v>448.95</v>
      </c>
      <c r="H630" t="str">
        <f>_xlfn.XLOOKUP(C630,products[Product_ID],products[Product_Name],"not found",0)</f>
        <v>Pure Cycles William 3-Speed - 2016</v>
      </c>
      <c r="I630" t="e">
        <f>VLOOKUP(products!D630,categories[#All],2,TRUE)</f>
        <v>#N/A</v>
      </c>
    </row>
    <row r="631" spans="1:9" x14ac:dyDescent="0.3">
      <c r="A631">
        <v>630</v>
      </c>
      <c r="B631">
        <v>1</v>
      </c>
      <c r="C631">
        <v>5</v>
      </c>
      <c r="D631">
        <v>1</v>
      </c>
      <c r="E631">
        <v>1320.99</v>
      </c>
      <c r="F631">
        <v>0.05</v>
      </c>
      <c r="G631">
        <f t="shared" si="9"/>
        <v>1320.94</v>
      </c>
      <c r="H631" t="str">
        <f>_xlfn.XLOOKUP(C631,products[Product_ID],products[Product_Name],"not found",0)</f>
        <v>Heller Shagamaw Frame - 2016</v>
      </c>
      <c r="I631" t="e">
        <f>VLOOKUP(products!D631,categories[#All],2,TRUE)</f>
        <v>#N/A</v>
      </c>
    </row>
    <row r="632" spans="1:9" x14ac:dyDescent="0.3">
      <c r="A632">
        <v>631</v>
      </c>
      <c r="B632">
        <v>1</v>
      </c>
      <c r="C632">
        <v>24</v>
      </c>
      <c r="D632">
        <v>2</v>
      </c>
      <c r="E632">
        <v>549.99</v>
      </c>
      <c r="F632">
        <v>7.0000000000000007E-2</v>
      </c>
      <c r="G632">
        <f t="shared" si="9"/>
        <v>1099.9100000000001</v>
      </c>
      <c r="H632" t="str">
        <f>_xlfn.XLOOKUP(C632,products[Product_ID],products[Product_Name],"not found",0)</f>
        <v>Electra Townie Original 21D - 2016</v>
      </c>
      <c r="I632" t="e">
        <f>VLOOKUP(products!D632,categories[#All],2,TRUE)</f>
        <v>#N/A</v>
      </c>
    </row>
    <row r="633" spans="1:9" x14ac:dyDescent="0.3">
      <c r="A633">
        <v>632</v>
      </c>
      <c r="B633">
        <v>1</v>
      </c>
      <c r="C633">
        <v>25</v>
      </c>
      <c r="D633">
        <v>1</v>
      </c>
      <c r="E633">
        <v>499.99</v>
      </c>
      <c r="F633">
        <v>0.2</v>
      </c>
      <c r="G633">
        <f t="shared" si="9"/>
        <v>499.79</v>
      </c>
      <c r="H633" t="str">
        <f>_xlfn.XLOOKUP(C633,products[Product_ID],products[Product_Name],"not found",0)</f>
        <v>Electra Townie Original 7D - 2015/2016</v>
      </c>
      <c r="I633" t="e">
        <f>VLOOKUP(products!D633,categories[#All],2,TRUE)</f>
        <v>#N/A</v>
      </c>
    </row>
    <row r="634" spans="1:9" x14ac:dyDescent="0.3">
      <c r="A634">
        <v>633</v>
      </c>
      <c r="B634">
        <v>1</v>
      </c>
      <c r="C634">
        <v>12</v>
      </c>
      <c r="D634">
        <v>2</v>
      </c>
      <c r="E634">
        <v>549.99</v>
      </c>
      <c r="F634">
        <v>0.05</v>
      </c>
      <c r="G634">
        <f t="shared" si="9"/>
        <v>1099.93</v>
      </c>
      <c r="H634" t="str">
        <f>_xlfn.XLOOKUP(C634,products[Product_ID],products[Product_Name],"not found",0)</f>
        <v>Electra Townie Original 21D - 2016</v>
      </c>
      <c r="I634" t="e">
        <f>VLOOKUP(products!D634,categories[#All],2,TRUE)</f>
        <v>#N/A</v>
      </c>
    </row>
    <row r="635" spans="1:9" x14ac:dyDescent="0.3">
      <c r="A635">
        <v>634</v>
      </c>
      <c r="B635">
        <v>1</v>
      </c>
      <c r="C635">
        <v>4</v>
      </c>
      <c r="D635">
        <v>2</v>
      </c>
      <c r="E635">
        <v>2899.99</v>
      </c>
      <c r="F635">
        <v>0.05</v>
      </c>
      <c r="G635">
        <f t="shared" si="9"/>
        <v>5799.9299999999994</v>
      </c>
      <c r="H635" t="str">
        <f>_xlfn.XLOOKUP(C635,products[Product_ID],products[Product_Name],"not found",0)</f>
        <v>Trek Fuel EX 8 29 - 2016</v>
      </c>
      <c r="I635" t="e">
        <f>VLOOKUP(products!D635,categories[#All],2,TRUE)</f>
        <v>#N/A</v>
      </c>
    </row>
    <row r="636" spans="1:9" x14ac:dyDescent="0.3">
      <c r="A636">
        <v>635</v>
      </c>
      <c r="B636">
        <v>1</v>
      </c>
      <c r="C636">
        <v>4</v>
      </c>
      <c r="D636">
        <v>1</v>
      </c>
      <c r="E636">
        <v>2899.99</v>
      </c>
      <c r="F636">
        <v>0.05</v>
      </c>
      <c r="G636">
        <f t="shared" si="9"/>
        <v>2899.9399999999996</v>
      </c>
      <c r="H636" t="str">
        <f>_xlfn.XLOOKUP(C636,products[Product_ID],products[Product_Name],"not found",0)</f>
        <v>Trek Fuel EX 8 29 - 2016</v>
      </c>
      <c r="I636" t="e">
        <f>VLOOKUP(products!D636,categories[#All],2,TRUE)</f>
        <v>#N/A</v>
      </c>
    </row>
    <row r="637" spans="1:9" x14ac:dyDescent="0.3">
      <c r="A637">
        <v>636</v>
      </c>
      <c r="B637">
        <v>1</v>
      </c>
      <c r="C637">
        <v>85</v>
      </c>
      <c r="D637">
        <v>2</v>
      </c>
      <c r="E637">
        <v>329.99</v>
      </c>
      <c r="F637">
        <v>0.2</v>
      </c>
      <c r="G637">
        <f t="shared" si="9"/>
        <v>659.78</v>
      </c>
      <c r="H637" t="str">
        <f>_xlfn.XLOOKUP(C637,products[Product_ID],products[Product_Name],"not found",0)</f>
        <v>Haro Downtown 16 - 2017</v>
      </c>
      <c r="I637" t="e">
        <f>VLOOKUP(products!D637,categories[#All],2,TRUE)</f>
        <v>#N/A</v>
      </c>
    </row>
    <row r="638" spans="1:9" x14ac:dyDescent="0.3">
      <c r="A638">
        <v>637</v>
      </c>
      <c r="B638">
        <v>1</v>
      </c>
      <c r="C638">
        <v>9</v>
      </c>
      <c r="D638">
        <v>1</v>
      </c>
      <c r="E638">
        <v>2999.99</v>
      </c>
      <c r="F638">
        <v>0.1</v>
      </c>
      <c r="G638">
        <f t="shared" si="9"/>
        <v>2999.89</v>
      </c>
      <c r="H638" t="str">
        <f>_xlfn.XLOOKUP(C638,products[Product_ID],products[Product_Name],"not found",0)</f>
        <v>Trek Conduit+ - 2016</v>
      </c>
      <c r="I638" t="e">
        <f>VLOOKUP(products!D638,categories[#All],2,TRUE)</f>
        <v>#N/A</v>
      </c>
    </row>
    <row r="639" spans="1:9" x14ac:dyDescent="0.3">
      <c r="A639">
        <v>638</v>
      </c>
      <c r="B639">
        <v>1</v>
      </c>
      <c r="C639">
        <v>103</v>
      </c>
      <c r="D639">
        <v>1</v>
      </c>
      <c r="E639">
        <v>551.99</v>
      </c>
      <c r="F639">
        <v>0.05</v>
      </c>
      <c r="G639">
        <f t="shared" si="9"/>
        <v>551.94000000000005</v>
      </c>
      <c r="H639" t="str">
        <f>_xlfn.XLOOKUP(C639,products[Product_ID],products[Product_Name],"not found",0)</f>
        <v>Sun Bicycles Streamway 3 - 2017</v>
      </c>
      <c r="I639" t="e">
        <f>VLOOKUP(products!D639,categories[#All],2,TRUE)</f>
        <v>#N/A</v>
      </c>
    </row>
    <row r="640" spans="1:9" x14ac:dyDescent="0.3">
      <c r="A640">
        <v>639</v>
      </c>
      <c r="B640">
        <v>1</v>
      </c>
      <c r="C640">
        <v>15</v>
      </c>
      <c r="D640">
        <v>1</v>
      </c>
      <c r="E640">
        <v>529.99</v>
      </c>
      <c r="F640">
        <v>7.0000000000000007E-2</v>
      </c>
      <c r="G640">
        <f t="shared" si="9"/>
        <v>529.91999999999996</v>
      </c>
      <c r="H640" t="str">
        <f>_xlfn.XLOOKUP(C640,products[Product_ID],products[Product_Name],"not found",0)</f>
        <v>Electra Moto 1 - 2016</v>
      </c>
      <c r="I640" t="e">
        <f>VLOOKUP(products!D640,categories[#All],2,TRUE)</f>
        <v>#N/A</v>
      </c>
    </row>
    <row r="641" spans="1:9" x14ac:dyDescent="0.3">
      <c r="A641">
        <v>640</v>
      </c>
      <c r="B641">
        <v>1</v>
      </c>
      <c r="C641">
        <v>106</v>
      </c>
      <c r="D641">
        <v>2</v>
      </c>
      <c r="E641">
        <v>449.99</v>
      </c>
      <c r="F641">
        <v>0.05</v>
      </c>
      <c r="G641">
        <f t="shared" si="9"/>
        <v>899.93000000000006</v>
      </c>
      <c r="H641" t="str">
        <f>_xlfn.XLOOKUP(C641,products[Product_ID],products[Product_Name],"not found",0)</f>
        <v>Sun Bicycles Cruz 3 - 2017</v>
      </c>
      <c r="I641" t="e">
        <f>VLOOKUP(products!D641,categories[#All],2,TRUE)</f>
        <v>#N/A</v>
      </c>
    </row>
    <row r="642" spans="1:9" x14ac:dyDescent="0.3">
      <c r="A642">
        <v>641</v>
      </c>
      <c r="B642">
        <v>1</v>
      </c>
      <c r="C642">
        <v>15</v>
      </c>
      <c r="D642">
        <v>1</v>
      </c>
      <c r="E642">
        <v>529.99</v>
      </c>
      <c r="F642">
        <v>0.05</v>
      </c>
      <c r="G642">
        <f t="shared" ref="G642:G705" si="10">(E642*D642)-F642</f>
        <v>529.94000000000005</v>
      </c>
      <c r="H642" t="str">
        <f>_xlfn.XLOOKUP(C642,products[Product_ID],products[Product_Name],"not found",0)</f>
        <v>Electra Moto 1 - 2016</v>
      </c>
      <c r="I642" t="e">
        <f>VLOOKUP(products!D642,categories[#All],2,TRUE)</f>
        <v>#N/A</v>
      </c>
    </row>
    <row r="643" spans="1:9" x14ac:dyDescent="0.3">
      <c r="A643">
        <v>642</v>
      </c>
      <c r="B643">
        <v>1</v>
      </c>
      <c r="C643">
        <v>68</v>
      </c>
      <c r="D643">
        <v>2</v>
      </c>
      <c r="E643">
        <v>449.99</v>
      </c>
      <c r="F643">
        <v>7.0000000000000007E-2</v>
      </c>
      <c r="G643">
        <f t="shared" si="10"/>
        <v>899.91</v>
      </c>
      <c r="H643" t="str">
        <f>_xlfn.XLOOKUP(C643,products[Product_ID],products[Product_Name],"not found",0)</f>
        <v>Sun Bicycles Cruz 3 - 2017</v>
      </c>
      <c r="I643" t="e">
        <f>VLOOKUP(products!D643,categories[#All],2,TRUE)</f>
        <v>#N/A</v>
      </c>
    </row>
    <row r="644" spans="1:9" x14ac:dyDescent="0.3">
      <c r="A644">
        <v>643</v>
      </c>
      <c r="B644">
        <v>1</v>
      </c>
      <c r="C644">
        <v>53</v>
      </c>
      <c r="D644">
        <v>1</v>
      </c>
      <c r="E644">
        <v>749.99</v>
      </c>
      <c r="F644">
        <v>0.05</v>
      </c>
      <c r="G644">
        <f t="shared" si="10"/>
        <v>749.94</v>
      </c>
      <c r="H644" t="str">
        <f>_xlfn.XLOOKUP(C644,products[Product_ID],products[Product_Name],"not found",0)</f>
        <v>Surly Ogre Frameset - 2017</v>
      </c>
      <c r="I644" t="e">
        <f>VLOOKUP(products!D644,categories[#All],2,TRUE)</f>
        <v>#N/A</v>
      </c>
    </row>
    <row r="645" spans="1:9" x14ac:dyDescent="0.3">
      <c r="A645">
        <v>644</v>
      </c>
      <c r="B645">
        <v>1</v>
      </c>
      <c r="C645">
        <v>9</v>
      </c>
      <c r="D645">
        <v>1</v>
      </c>
      <c r="E645">
        <v>2999.99</v>
      </c>
      <c r="F645">
        <v>7.0000000000000007E-2</v>
      </c>
      <c r="G645">
        <f t="shared" si="10"/>
        <v>2999.9199999999996</v>
      </c>
      <c r="H645" t="str">
        <f>_xlfn.XLOOKUP(C645,products[Product_ID],products[Product_Name],"not found",0)</f>
        <v>Trek Conduit+ - 2016</v>
      </c>
      <c r="I645" t="e">
        <f>VLOOKUP(products!D645,categories[#All],2,TRUE)</f>
        <v>#N/A</v>
      </c>
    </row>
    <row r="646" spans="1:9" x14ac:dyDescent="0.3">
      <c r="A646">
        <v>645</v>
      </c>
      <c r="B646">
        <v>1</v>
      </c>
      <c r="C646">
        <v>99</v>
      </c>
      <c r="D646">
        <v>1</v>
      </c>
      <c r="E646">
        <v>299.99</v>
      </c>
      <c r="F646">
        <v>7.0000000000000007E-2</v>
      </c>
      <c r="G646">
        <f t="shared" si="10"/>
        <v>299.92</v>
      </c>
      <c r="H646" t="str">
        <f>_xlfn.XLOOKUP(C646,products[Product_ID],products[Product_Name],"not found",0)</f>
        <v>Electra Sugar Skulls 1 (20-inch) - Girl's - 2017</v>
      </c>
      <c r="I646" t="e">
        <f>VLOOKUP(products!D646,categories[#All],2,TRUE)</f>
        <v>#N/A</v>
      </c>
    </row>
    <row r="647" spans="1:9" x14ac:dyDescent="0.3">
      <c r="A647">
        <v>646</v>
      </c>
      <c r="B647">
        <v>1</v>
      </c>
      <c r="C647">
        <v>15</v>
      </c>
      <c r="D647">
        <v>2</v>
      </c>
      <c r="E647">
        <v>529.99</v>
      </c>
      <c r="F647">
        <v>0.2</v>
      </c>
      <c r="G647">
        <f t="shared" si="10"/>
        <v>1059.78</v>
      </c>
      <c r="H647" t="str">
        <f>_xlfn.XLOOKUP(C647,products[Product_ID],products[Product_Name],"not found",0)</f>
        <v>Electra Moto 1 - 2016</v>
      </c>
      <c r="I647" t="e">
        <f>VLOOKUP(products!D647,categories[#All],2,TRUE)</f>
        <v>#N/A</v>
      </c>
    </row>
    <row r="648" spans="1:9" x14ac:dyDescent="0.3">
      <c r="A648">
        <v>647</v>
      </c>
      <c r="B648">
        <v>1</v>
      </c>
      <c r="C648">
        <v>25</v>
      </c>
      <c r="D648">
        <v>2</v>
      </c>
      <c r="E648">
        <v>499.99</v>
      </c>
      <c r="F648">
        <v>7.0000000000000007E-2</v>
      </c>
      <c r="G648">
        <f t="shared" si="10"/>
        <v>999.91</v>
      </c>
      <c r="H648" t="str">
        <f>_xlfn.XLOOKUP(C648,products[Product_ID],products[Product_Name],"not found",0)</f>
        <v>Electra Townie Original 7D - 2015/2016</v>
      </c>
      <c r="I648" t="e">
        <f>VLOOKUP(products!D648,categories[#All],2,TRUE)</f>
        <v>#N/A</v>
      </c>
    </row>
    <row r="649" spans="1:9" x14ac:dyDescent="0.3">
      <c r="A649">
        <v>648</v>
      </c>
      <c r="B649">
        <v>1</v>
      </c>
      <c r="C649">
        <v>24</v>
      </c>
      <c r="D649">
        <v>1</v>
      </c>
      <c r="E649">
        <v>549.99</v>
      </c>
      <c r="F649">
        <v>7.0000000000000007E-2</v>
      </c>
      <c r="G649">
        <f t="shared" si="10"/>
        <v>549.91999999999996</v>
      </c>
      <c r="H649" t="str">
        <f>_xlfn.XLOOKUP(C649,products[Product_ID],products[Product_Name],"not found",0)</f>
        <v>Electra Townie Original 21D - 2016</v>
      </c>
      <c r="I649" t="e">
        <f>VLOOKUP(products!D649,categories[#All],2,TRUE)</f>
        <v>#N/A</v>
      </c>
    </row>
    <row r="650" spans="1:9" x14ac:dyDescent="0.3">
      <c r="A650">
        <v>649</v>
      </c>
      <c r="B650">
        <v>1</v>
      </c>
      <c r="C650">
        <v>97</v>
      </c>
      <c r="D650">
        <v>2</v>
      </c>
      <c r="E650">
        <v>349.99</v>
      </c>
      <c r="F650">
        <v>0.1</v>
      </c>
      <c r="G650">
        <f t="shared" si="10"/>
        <v>699.88</v>
      </c>
      <c r="H650" t="str">
        <f>_xlfn.XLOOKUP(C650,products[Product_ID],products[Product_Name],"not found",0)</f>
        <v>Electra Savannah 3i (20-inch) - Girl's - 2017</v>
      </c>
      <c r="I650" t="e">
        <f>VLOOKUP(products!D650,categories[#All],2,TRUE)</f>
        <v>#N/A</v>
      </c>
    </row>
    <row r="651" spans="1:9" x14ac:dyDescent="0.3">
      <c r="A651">
        <v>650</v>
      </c>
      <c r="B651">
        <v>1</v>
      </c>
      <c r="C651">
        <v>3</v>
      </c>
      <c r="D651">
        <v>1</v>
      </c>
      <c r="E651">
        <v>999.99</v>
      </c>
      <c r="F651">
        <v>0.2</v>
      </c>
      <c r="G651">
        <f t="shared" si="10"/>
        <v>999.79</v>
      </c>
      <c r="H651" t="str">
        <f>_xlfn.XLOOKUP(C651,products[Product_ID],products[Product_Name],"not found",0)</f>
        <v>Surly Wednesday Frameset - 2016</v>
      </c>
      <c r="I651" t="e">
        <f>VLOOKUP(products!D651,categories[#All],2,TRUE)</f>
        <v>#N/A</v>
      </c>
    </row>
    <row r="652" spans="1:9" x14ac:dyDescent="0.3">
      <c r="A652">
        <v>651</v>
      </c>
      <c r="B652">
        <v>1</v>
      </c>
      <c r="C652">
        <v>79</v>
      </c>
      <c r="D652">
        <v>1</v>
      </c>
      <c r="E652">
        <v>402.99</v>
      </c>
      <c r="F652">
        <v>0.1</v>
      </c>
      <c r="G652">
        <f t="shared" si="10"/>
        <v>402.89</v>
      </c>
      <c r="H652" t="str">
        <f>_xlfn.XLOOKUP(C652,products[Product_ID],products[Product_Name],"not found",0)</f>
        <v>Sun Bicycles Boardwalk (24-inch Wheels) - 2017</v>
      </c>
      <c r="I652" t="e">
        <f>VLOOKUP(products!D652,categories[#All],2,TRUE)</f>
        <v>#N/A</v>
      </c>
    </row>
    <row r="653" spans="1:9" x14ac:dyDescent="0.3">
      <c r="A653">
        <v>652</v>
      </c>
      <c r="B653">
        <v>1</v>
      </c>
      <c r="C653">
        <v>102</v>
      </c>
      <c r="D653">
        <v>1</v>
      </c>
      <c r="E653">
        <v>489.99</v>
      </c>
      <c r="F653">
        <v>0.1</v>
      </c>
      <c r="G653">
        <f t="shared" si="10"/>
        <v>489.89</v>
      </c>
      <c r="H653" t="str">
        <f>_xlfn.XLOOKUP(C653,products[Product_ID],products[Product_Name],"not found",0)</f>
        <v>Electra Townie Original 7D - 2017</v>
      </c>
      <c r="I653" t="e">
        <f>VLOOKUP(products!D653,categories[#All],2,TRUE)</f>
        <v>#N/A</v>
      </c>
    </row>
    <row r="654" spans="1:9" x14ac:dyDescent="0.3">
      <c r="A654">
        <v>653</v>
      </c>
      <c r="B654">
        <v>1</v>
      </c>
      <c r="C654">
        <v>6</v>
      </c>
      <c r="D654">
        <v>1</v>
      </c>
      <c r="E654">
        <v>469.99</v>
      </c>
      <c r="F654">
        <v>7.0000000000000007E-2</v>
      </c>
      <c r="G654">
        <f t="shared" si="10"/>
        <v>469.92</v>
      </c>
      <c r="H654" t="str">
        <f>_xlfn.XLOOKUP(C654,products[Product_ID],products[Product_Name],"not found",0)</f>
        <v>Surly Ice Cream Truck Frameset - 2016</v>
      </c>
      <c r="I654" t="e">
        <f>VLOOKUP(products!D654,categories[#All],2,TRUE)</f>
        <v>#N/A</v>
      </c>
    </row>
    <row r="655" spans="1:9" x14ac:dyDescent="0.3">
      <c r="A655">
        <v>654</v>
      </c>
      <c r="B655">
        <v>1</v>
      </c>
      <c r="C655">
        <v>9</v>
      </c>
      <c r="D655">
        <v>1</v>
      </c>
      <c r="E655">
        <v>2999.99</v>
      </c>
      <c r="F655">
        <v>0.1</v>
      </c>
      <c r="G655">
        <f t="shared" si="10"/>
        <v>2999.89</v>
      </c>
      <c r="H655" t="str">
        <f>_xlfn.XLOOKUP(C655,products[Product_ID],products[Product_Name],"not found",0)</f>
        <v>Trek Conduit+ - 2016</v>
      </c>
      <c r="I655" t="e">
        <f>VLOOKUP(products!D655,categories[#All],2,TRUE)</f>
        <v>#N/A</v>
      </c>
    </row>
    <row r="656" spans="1:9" x14ac:dyDescent="0.3">
      <c r="A656">
        <v>655</v>
      </c>
      <c r="B656">
        <v>1</v>
      </c>
      <c r="C656">
        <v>67</v>
      </c>
      <c r="D656">
        <v>1</v>
      </c>
      <c r="E656">
        <v>250.99</v>
      </c>
      <c r="F656">
        <v>0.1</v>
      </c>
      <c r="G656">
        <f t="shared" si="10"/>
        <v>250.89000000000001</v>
      </c>
      <c r="H656" t="str">
        <f>_xlfn.XLOOKUP(C656,products[Product_ID],products[Product_Name],"not found",0)</f>
        <v>Sun Bicycles Revolutions 24 - Girl's - 2017</v>
      </c>
      <c r="I656" t="e">
        <f>VLOOKUP(products!D656,categories[#All],2,TRUE)</f>
        <v>#N/A</v>
      </c>
    </row>
    <row r="657" spans="1:9" x14ac:dyDescent="0.3">
      <c r="A657">
        <v>656</v>
      </c>
      <c r="B657">
        <v>1</v>
      </c>
      <c r="C657">
        <v>83</v>
      </c>
      <c r="D657">
        <v>1</v>
      </c>
      <c r="E657">
        <v>149.99</v>
      </c>
      <c r="F657">
        <v>0.1</v>
      </c>
      <c r="G657">
        <f t="shared" si="10"/>
        <v>149.89000000000001</v>
      </c>
      <c r="H657" t="str">
        <f>_xlfn.XLOOKUP(C657,products[Product_ID],products[Product_Name],"not found",0)</f>
        <v>Trek Boy's Kickster - 2015/2017</v>
      </c>
      <c r="I657" t="e">
        <f>VLOOKUP(products!D657,categories[#All],2,TRUE)</f>
        <v>#N/A</v>
      </c>
    </row>
    <row r="658" spans="1:9" x14ac:dyDescent="0.3">
      <c r="A658">
        <v>657</v>
      </c>
      <c r="B658">
        <v>1</v>
      </c>
      <c r="C658">
        <v>52</v>
      </c>
      <c r="D658">
        <v>1</v>
      </c>
      <c r="E658">
        <v>875.99</v>
      </c>
      <c r="F658">
        <v>0.05</v>
      </c>
      <c r="G658">
        <f t="shared" si="10"/>
        <v>875.94</v>
      </c>
      <c r="H658" t="str">
        <f>_xlfn.XLOOKUP(C658,products[Product_ID],products[Product_Name],"not found",0)</f>
        <v>Surly Steamroller - 2017</v>
      </c>
      <c r="I658" t="e">
        <f>VLOOKUP(products!D658,categories[#All],2,TRUE)</f>
        <v>#N/A</v>
      </c>
    </row>
    <row r="659" spans="1:9" x14ac:dyDescent="0.3">
      <c r="A659">
        <v>658</v>
      </c>
      <c r="B659">
        <v>1</v>
      </c>
      <c r="C659">
        <v>49</v>
      </c>
      <c r="D659">
        <v>2</v>
      </c>
      <c r="E659">
        <v>3499.99</v>
      </c>
      <c r="F659">
        <v>0.2</v>
      </c>
      <c r="G659">
        <f t="shared" si="10"/>
        <v>6999.78</v>
      </c>
      <c r="H659" t="str">
        <f>_xlfn.XLOOKUP(C659,products[Product_ID],products[Product_Name],"not found",0)</f>
        <v>Trek Domane SL 6 - 2017</v>
      </c>
      <c r="I659" t="e">
        <f>VLOOKUP(products!D659,categories[#All],2,TRUE)</f>
        <v>#N/A</v>
      </c>
    </row>
    <row r="660" spans="1:9" x14ac:dyDescent="0.3">
      <c r="A660">
        <v>659</v>
      </c>
      <c r="B660">
        <v>1</v>
      </c>
      <c r="C660">
        <v>42</v>
      </c>
      <c r="D660">
        <v>2</v>
      </c>
      <c r="E660">
        <v>2299.9899999999998</v>
      </c>
      <c r="F660">
        <v>0.05</v>
      </c>
      <c r="G660">
        <f t="shared" si="10"/>
        <v>4599.9299999999994</v>
      </c>
      <c r="H660" t="str">
        <f>_xlfn.XLOOKUP(C660,products[Product_ID],products[Product_Name],"not found",0)</f>
        <v>Trek Fuel EX 5 27.5 Plus - 2017</v>
      </c>
      <c r="I660" t="e">
        <f>VLOOKUP(products!D660,categories[#All],2,TRUE)</f>
        <v>#N/A</v>
      </c>
    </row>
    <row r="661" spans="1:9" x14ac:dyDescent="0.3">
      <c r="A661">
        <v>660</v>
      </c>
      <c r="B661">
        <v>1</v>
      </c>
      <c r="C661">
        <v>30</v>
      </c>
      <c r="D661">
        <v>1</v>
      </c>
      <c r="E661">
        <v>999.99</v>
      </c>
      <c r="F661">
        <v>0.2</v>
      </c>
      <c r="G661">
        <f t="shared" si="10"/>
        <v>999.79</v>
      </c>
      <c r="H661" t="str">
        <f>_xlfn.XLOOKUP(C661,products[Product_ID],products[Product_Name],"not found",0)</f>
        <v>Surly Ice Cream Truck Frameset - 2017</v>
      </c>
      <c r="I661" t="e">
        <f>VLOOKUP(products!D661,categories[#All],2,TRUE)</f>
        <v>#N/A</v>
      </c>
    </row>
    <row r="662" spans="1:9" x14ac:dyDescent="0.3">
      <c r="A662">
        <v>661</v>
      </c>
      <c r="B662">
        <v>1</v>
      </c>
      <c r="C662">
        <v>63</v>
      </c>
      <c r="D662">
        <v>2</v>
      </c>
      <c r="E662">
        <v>3499.99</v>
      </c>
      <c r="F662">
        <v>7.0000000000000007E-2</v>
      </c>
      <c r="G662">
        <f t="shared" si="10"/>
        <v>6999.91</v>
      </c>
      <c r="H662" t="str">
        <f>_xlfn.XLOOKUP(C662,products[Product_ID],products[Product_Name],"not found",0)</f>
        <v>Trek Boone Race Shop Limited - 2017</v>
      </c>
      <c r="I662" t="e">
        <f>VLOOKUP(products!D662,categories[#All],2,TRUE)</f>
        <v>#N/A</v>
      </c>
    </row>
    <row r="663" spans="1:9" x14ac:dyDescent="0.3">
      <c r="A663">
        <v>662</v>
      </c>
      <c r="B663">
        <v>1</v>
      </c>
      <c r="C663">
        <v>55</v>
      </c>
      <c r="D663">
        <v>2</v>
      </c>
      <c r="E663">
        <v>2699.99</v>
      </c>
      <c r="F663">
        <v>0.1</v>
      </c>
      <c r="G663">
        <f t="shared" si="10"/>
        <v>5399.8799999999992</v>
      </c>
      <c r="H663" t="str">
        <f>_xlfn.XLOOKUP(C663,products[Product_ID],products[Product_Name],"not found",0)</f>
        <v>Trek Domane S 6 - 2017</v>
      </c>
      <c r="I663" t="e">
        <f>VLOOKUP(products!D663,categories[#All],2,TRUE)</f>
        <v>#N/A</v>
      </c>
    </row>
    <row r="664" spans="1:9" x14ac:dyDescent="0.3">
      <c r="A664">
        <v>663</v>
      </c>
      <c r="B664">
        <v>1</v>
      </c>
      <c r="C664">
        <v>41</v>
      </c>
      <c r="D664">
        <v>2</v>
      </c>
      <c r="E664">
        <v>1469.99</v>
      </c>
      <c r="F664">
        <v>0.05</v>
      </c>
      <c r="G664">
        <f t="shared" si="10"/>
        <v>2939.93</v>
      </c>
      <c r="H664" t="str">
        <f>_xlfn.XLOOKUP(C664,products[Product_ID],products[Product_Name],"not found",0)</f>
        <v>Haro Shift R3 - 2017</v>
      </c>
      <c r="I664" t="e">
        <f>VLOOKUP(products!D664,categories[#All],2,TRUE)</f>
        <v>#N/A</v>
      </c>
    </row>
    <row r="665" spans="1:9" x14ac:dyDescent="0.3">
      <c r="A665">
        <v>664</v>
      </c>
      <c r="B665">
        <v>1</v>
      </c>
      <c r="C665">
        <v>52</v>
      </c>
      <c r="D665">
        <v>2</v>
      </c>
      <c r="E665">
        <v>875.99</v>
      </c>
      <c r="F665">
        <v>7.0000000000000007E-2</v>
      </c>
      <c r="G665">
        <f t="shared" si="10"/>
        <v>1751.91</v>
      </c>
      <c r="H665" t="str">
        <f>_xlfn.XLOOKUP(C665,products[Product_ID],products[Product_Name],"not found",0)</f>
        <v>Surly Steamroller - 2017</v>
      </c>
      <c r="I665" t="e">
        <f>VLOOKUP(products!D665,categories[#All],2,TRUE)</f>
        <v>#N/A</v>
      </c>
    </row>
    <row r="666" spans="1:9" x14ac:dyDescent="0.3">
      <c r="A666">
        <v>665</v>
      </c>
      <c r="B666">
        <v>1</v>
      </c>
      <c r="C666">
        <v>58</v>
      </c>
      <c r="D666">
        <v>1</v>
      </c>
      <c r="E666">
        <v>4999.99</v>
      </c>
      <c r="F666">
        <v>7.0000000000000007E-2</v>
      </c>
      <c r="G666">
        <f t="shared" si="10"/>
        <v>4999.92</v>
      </c>
      <c r="H666" t="str">
        <f>_xlfn.XLOOKUP(C666,products[Product_ID],products[Product_Name],"not found",0)</f>
        <v>Trek Madone 9.2 - 2017</v>
      </c>
      <c r="I666" t="e">
        <f>VLOOKUP(products!D666,categories[#All],2,TRUE)</f>
        <v>#N/A</v>
      </c>
    </row>
    <row r="667" spans="1:9" x14ac:dyDescent="0.3">
      <c r="A667">
        <v>666</v>
      </c>
      <c r="B667">
        <v>1</v>
      </c>
      <c r="C667">
        <v>98</v>
      </c>
      <c r="D667">
        <v>2</v>
      </c>
      <c r="E667">
        <v>489.99</v>
      </c>
      <c r="F667">
        <v>0.2</v>
      </c>
      <c r="G667">
        <f t="shared" si="10"/>
        <v>979.78</v>
      </c>
      <c r="H667" t="str">
        <f>_xlfn.XLOOKUP(C667,products[Product_ID],products[Product_Name],"not found",0)</f>
        <v>Electra Straight 8 3i (20-inch) - Boy's - 2017</v>
      </c>
      <c r="I667" t="e">
        <f>VLOOKUP(products!D667,categories[#All],2,TRUE)</f>
        <v>#N/A</v>
      </c>
    </row>
    <row r="668" spans="1:9" x14ac:dyDescent="0.3">
      <c r="A668">
        <v>667</v>
      </c>
      <c r="B668">
        <v>1</v>
      </c>
      <c r="C668">
        <v>79</v>
      </c>
      <c r="D668">
        <v>1</v>
      </c>
      <c r="E668">
        <v>402.99</v>
      </c>
      <c r="F668">
        <v>0.2</v>
      </c>
      <c r="G668">
        <f t="shared" si="10"/>
        <v>402.79</v>
      </c>
      <c r="H668" t="str">
        <f>_xlfn.XLOOKUP(C668,products[Product_ID],products[Product_Name],"not found",0)</f>
        <v>Sun Bicycles Boardwalk (24-inch Wheels) - 2017</v>
      </c>
      <c r="I668" t="e">
        <f>VLOOKUP(products!D668,categories[#All],2,TRUE)</f>
        <v>#N/A</v>
      </c>
    </row>
    <row r="669" spans="1:9" x14ac:dyDescent="0.3">
      <c r="A669">
        <v>668</v>
      </c>
      <c r="B669">
        <v>1</v>
      </c>
      <c r="C669">
        <v>48</v>
      </c>
      <c r="D669">
        <v>2</v>
      </c>
      <c r="E669">
        <v>1499.99</v>
      </c>
      <c r="F669">
        <v>0.05</v>
      </c>
      <c r="G669">
        <f t="shared" si="10"/>
        <v>2999.93</v>
      </c>
      <c r="H669" t="str">
        <f>_xlfn.XLOOKUP(C669,products[Product_ID],products[Product_Name],"not found",0)</f>
        <v>Trek Emonda S 4 - 2017</v>
      </c>
      <c r="I669" t="e">
        <f>VLOOKUP(products!D669,categories[#All],2,TRUE)</f>
        <v>#N/A</v>
      </c>
    </row>
    <row r="670" spans="1:9" x14ac:dyDescent="0.3">
      <c r="A670">
        <v>669</v>
      </c>
      <c r="B670">
        <v>1</v>
      </c>
      <c r="C670">
        <v>16</v>
      </c>
      <c r="D670">
        <v>2</v>
      </c>
      <c r="E670">
        <v>599.99</v>
      </c>
      <c r="F670">
        <v>7.0000000000000007E-2</v>
      </c>
      <c r="G670">
        <f t="shared" si="10"/>
        <v>1199.9100000000001</v>
      </c>
      <c r="H670" t="str">
        <f>_xlfn.XLOOKUP(C670,products[Product_ID],products[Product_Name],"not found",0)</f>
        <v>Electra Townie Original 7D EQ - 2016</v>
      </c>
      <c r="I670" t="e">
        <f>VLOOKUP(products!D670,categories[#All],2,TRUE)</f>
        <v>#N/A</v>
      </c>
    </row>
    <row r="671" spans="1:9" x14ac:dyDescent="0.3">
      <c r="A671">
        <v>670</v>
      </c>
      <c r="B671">
        <v>1</v>
      </c>
      <c r="C671">
        <v>108</v>
      </c>
      <c r="D671">
        <v>1</v>
      </c>
      <c r="E671">
        <v>449.99</v>
      </c>
      <c r="F671">
        <v>0.1</v>
      </c>
      <c r="G671">
        <f t="shared" si="10"/>
        <v>449.89</v>
      </c>
      <c r="H671" t="str">
        <f>_xlfn.XLOOKUP(C671,products[Product_ID],products[Product_Name],"not found",0)</f>
        <v>Sun Bicycles Cruz 3 - Women's - 2017</v>
      </c>
      <c r="I671" t="e">
        <f>VLOOKUP(products!D671,categories[#All],2,TRUE)</f>
        <v>#N/A</v>
      </c>
    </row>
    <row r="672" spans="1:9" x14ac:dyDescent="0.3">
      <c r="A672">
        <v>671</v>
      </c>
      <c r="B672">
        <v>1</v>
      </c>
      <c r="C672">
        <v>30</v>
      </c>
      <c r="D672">
        <v>1</v>
      </c>
      <c r="E672">
        <v>999.99</v>
      </c>
      <c r="F672">
        <v>0.05</v>
      </c>
      <c r="G672">
        <f t="shared" si="10"/>
        <v>999.94</v>
      </c>
      <c r="H672" t="str">
        <f>_xlfn.XLOOKUP(C672,products[Product_ID],products[Product_Name],"not found",0)</f>
        <v>Surly Ice Cream Truck Frameset - 2017</v>
      </c>
      <c r="I672" t="e">
        <f>VLOOKUP(products!D672,categories[#All],2,TRUE)</f>
        <v>#N/A</v>
      </c>
    </row>
    <row r="673" spans="1:9" x14ac:dyDescent="0.3">
      <c r="A673">
        <v>672</v>
      </c>
      <c r="B673">
        <v>1</v>
      </c>
      <c r="C673">
        <v>51</v>
      </c>
      <c r="D673">
        <v>2</v>
      </c>
      <c r="E673">
        <v>6499.99</v>
      </c>
      <c r="F673">
        <v>7.0000000000000007E-2</v>
      </c>
      <c r="G673">
        <f t="shared" si="10"/>
        <v>12999.91</v>
      </c>
      <c r="H673" t="str">
        <f>_xlfn.XLOOKUP(C673,products[Product_ID],products[Product_Name],"not found",0)</f>
        <v>Trek Silque SLR 8 Women's - 2017</v>
      </c>
      <c r="I673" t="e">
        <f>VLOOKUP(products!D673,categories[#All],2,TRUE)</f>
        <v>#N/A</v>
      </c>
    </row>
    <row r="674" spans="1:9" x14ac:dyDescent="0.3">
      <c r="A674">
        <v>673</v>
      </c>
      <c r="B674">
        <v>1</v>
      </c>
      <c r="C674">
        <v>66</v>
      </c>
      <c r="D674">
        <v>1</v>
      </c>
      <c r="E674">
        <v>250.99</v>
      </c>
      <c r="F674">
        <v>0.2</v>
      </c>
      <c r="G674">
        <f t="shared" si="10"/>
        <v>250.79000000000002</v>
      </c>
      <c r="H674" t="str">
        <f>_xlfn.XLOOKUP(C674,products[Product_ID],products[Product_Name],"not found",0)</f>
        <v>Sun Bicycles Revolutions 24 - 2017</v>
      </c>
      <c r="I674" t="e">
        <f>VLOOKUP(products!D674,categories[#All],2,TRUE)</f>
        <v>#N/A</v>
      </c>
    </row>
    <row r="675" spans="1:9" x14ac:dyDescent="0.3">
      <c r="A675">
        <v>674</v>
      </c>
      <c r="B675">
        <v>1</v>
      </c>
      <c r="C675">
        <v>26</v>
      </c>
      <c r="D675">
        <v>2</v>
      </c>
      <c r="E675">
        <v>599.99</v>
      </c>
      <c r="F675">
        <v>0.2</v>
      </c>
      <c r="G675">
        <f t="shared" si="10"/>
        <v>1199.78</v>
      </c>
      <c r="H675" t="str">
        <f>_xlfn.XLOOKUP(C675,products[Product_ID],products[Product_Name],"not found",0)</f>
        <v>Electra Townie Original 7D EQ - 2016</v>
      </c>
      <c r="I675" t="e">
        <f>VLOOKUP(products!D675,categories[#All],2,TRUE)</f>
        <v>#N/A</v>
      </c>
    </row>
    <row r="676" spans="1:9" x14ac:dyDescent="0.3">
      <c r="A676">
        <v>675</v>
      </c>
      <c r="B676">
        <v>1</v>
      </c>
      <c r="C676">
        <v>17</v>
      </c>
      <c r="D676">
        <v>1</v>
      </c>
      <c r="E676">
        <v>429</v>
      </c>
      <c r="F676">
        <v>0.05</v>
      </c>
      <c r="G676">
        <f t="shared" si="10"/>
        <v>428.95</v>
      </c>
      <c r="H676" t="str">
        <f>_xlfn.XLOOKUP(C676,products[Product_ID],products[Product_Name],"not found",0)</f>
        <v>Pure Cycles Vine 8-Speed - 2016</v>
      </c>
      <c r="I676" t="e">
        <f>VLOOKUP(products!D676,categories[#All],2,TRUE)</f>
        <v>#N/A</v>
      </c>
    </row>
    <row r="677" spans="1:9" x14ac:dyDescent="0.3">
      <c r="A677">
        <v>676</v>
      </c>
      <c r="B677">
        <v>1</v>
      </c>
      <c r="C677">
        <v>70</v>
      </c>
      <c r="D677">
        <v>1</v>
      </c>
      <c r="E677">
        <v>659.99</v>
      </c>
      <c r="F677">
        <v>0.2</v>
      </c>
      <c r="G677">
        <f t="shared" si="10"/>
        <v>659.79</v>
      </c>
      <c r="H677" t="str">
        <f>_xlfn.XLOOKUP(C677,products[Product_ID],products[Product_Name],"not found",0)</f>
        <v>Electra Amsterdam Original 3i - 2015/2017</v>
      </c>
      <c r="I677" t="e">
        <f>VLOOKUP(products!D677,categories[#All],2,TRUE)</f>
        <v>#N/A</v>
      </c>
    </row>
    <row r="678" spans="1:9" x14ac:dyDescent="0.3">
      <c r="A678">
        <v>677</v>
      </c>
      <c r="B678">
        <v>1</v>
      </c>
      <c r="C678">
        <v>75</v>
      </c>
      <c r="D678">
        <v>1</v>
      </c>
      <c r="E678">
        <v>599.99</v>
      </c>
      <c r="F678">
        <v>7.0000000000000007E-2</v>
      </c>
      <c r="G678">
        <f t="shared" si="10"/>
        <v>599.91999999999996</v>
      </c>
      <c r="H678" t="str">
        <f>_xlfn.XLOOKUP(C678,products[Product_ID],products[Product_Name],"not found",0)</f>
        <v>Electra Cruiser Lux Fat Tire 1 Ladies - 2017</v>
      </c>
      <c r="I678" t="e">
        <f>VLOOKUP(products!D678,categories[#All],2,TRUE)</f>
        <v>#N/A</v>
      </c>
    </row>
    <row r="679" spans="1:9" x14ac:dyDescent="0.3">
      <c r="A679">
        <v>678</v>
      </c>
      <c r="B679">
        <v>1</v>
      </c>
      <c r="C679">
        <v>52</v>
      </c>
      <c r="D679">
        <v>2</v>
      </c>
      <c r="E679">
        <v>875.99</v>
      </c>
      <c r="F679">
        <v>0.05</v>
      </c>
      <c r="G679">
        <f t="shared" si="10"/>
        <v>1751.93</v>
      </c>
      <c r="H679" t="str">
        <f>_xlfn.XLOOKUP(C679,products[Product_ID],products[Product_Name],"not found",0)</f>
        <v>Surly Steamroller - 2017</v>
      </c>
      <c r="I679" t="e">
        <f>VLOOKUP(products!D679,categories[#All],2,TRUE)</f>
        <v>#N/A</v>
      </c>
    </row>
    <row r="680" spans="1:9" x14ac:dyDescent="0.3">
      <c r="A680">
        <v>679</v>
      </c>
      <c r="B680">
        <v>1</v>
      </c>
      <c r="C680">
        <v>15</v>
      </c>
      <c r="D680">
        <v>2</v>
      </c>
      <c r="E680">
        <v>529.99</v>
      </c>
      <c r="F680">
        <v>0.2</v>
      </c>
      <c r="G680">
        <f t="shared" si="10"/>
        <v>1059.78</v>
      </c>
      <c r="H680" t="str">
        <f>_xlfn.XLOOKUP(C680,products[Product_ID],products[Product_Name],"not found",0)</f>
        <v>Electra Moto 1 - 2016</v>
      </c>
      <c r="I680" t="e">
        <f>VLOOKUP(products!D680,categories[#All],2,TRUE)</f>
        <v>#N/A</v>
      </c>
    </row>
    <row r="681" spans="1:9" x14ac:dyDescent="0.3">
      <c r="A681">
        <v>680</v>
      </c>
      <c r="B681">
        <v>1</v>
      </c>
      <c r="C681">
        <v>81</v>
      </c>
      <c r="D681">
        <v>2</v>
      </c>
      <c r="E681">
        <v>1099.99</v>
      </c>
      <c r="F681">
        <v>0.05</v>
      </c>
      <c r="G681">
        <f t="shared" si="10"/>
        <v>2199.9299999999998</v>
      </c>
      <c r="H681" t="str">
        <f>_xlfn.XLOOKUP(C681,products[Product_ID],products[Product_Name],"not found",0)</f>
        <v>Electra Amsterdam Fashion 7i Ladies' - 2017</v>
      </c>
      <c r="I681" t="e">
        <f>VLOOKUP(products!D681,categories[#All],2,TRUE)</f>
        <v>#N/A</v>
      </c>
    </row>
    <row r="682" spans="1:9" x14ac:dyDescent="0.3">
      <c r="A682">
        <v>681</v>
      </c>
      <c r="B682">
        <v>1</v>
      </c>
      <c r="C682">
        <v>82</v>
      </c>
      <c r="D682">
        <v>1</v>
      </c>
      <c r="E682">
        <v>659.99</v>
      </c>
      <c r="F682">
        <v>0.05</v>
      </c>
      <c r="G682">
        <f t="shared" si="10"/>
        <v>659.94</v>
      </c>
      <c r="H682" t="str">
        <f>_xlfn.XLOOKUP(C682,products[Product_ID],products[Product_Name],"not found",0)</f>
        <v>Electra Amsterdam Original 3i Ladies' - 2017</v>
      </c>
      <c r="I682" t="e">
        <f>VLOOKUP(products!D682,categories[#All],2,TRUE)</f>
        <v>#N/A</v>
      </c>
    </row>
    <row r="683" spans="1:9" x14ac:dyDescent="0.3">
      <c r="A683">
        <v>682</v>
      </c>
      <c r="B683">
        <v>1</v>
      </c>
      <c r="C683">
        <v>39</v>
      </c>
      <c r="D683">
        <v>1</v>
      </c>
      <c r="E683">
        <v>1499.99</v>
      </c>
      <c r="F683">
        <v>0.2</v>
      </c>
      <c r="G683">
        <f t="shared" si="10"/>
        <v>1499.79</v>
      </c>
      <c r="H683" t="str">
        <f>_xlfn.XLOOKUP(C683,products[Product_ID],products[Product_Name],"not found",0)</f>
        <v>Trek Stache 5 - 2017</v>
      </c>
      <c r="I683" t="e">
        <f>VLOOKUP(products!D683,categories[#All],2,TRUE)</f>
        <v>#N/A</v>
      </c>
    </row>
    <row r="684" spans="1:9" x14ac:dyDescent="0.3">
      <c r="A684">
        <v>683</v>
      </c>
      <c r="B684">
        <v>1</v>
      </c>
      <c r="C684">
        <v>2</v>
      </c>
      <c r="D684">
        <v>2</v>
      </c>
      <c r="E684">
        <v>749.99</v>
      </c>
      <c r="F684">
        <v>0.1</v>
      </c>
      <c r="G684">
        <f t="shared" si="10"/>
        <v>1499.88</v>
      </c>
      <c r="H684" t="str">
        <f>_xlfn.XLOOKUP(C684,products[Product_ID],products[Product_Name],"not found",0)</f>
        <v>Ritchey Timberwolf Frameset - 2016</v>
      </c>
      <c r="I684" t="e">
        <f>VLOOKUP(products!D684,categories[#All],2,TRUE)</f>
        <v>#N/A</v>
      </c>
    </row>
    <row r="685" spans="1:9" x14ac:dyDescent="0.3">
      <c r="A685">
        <v>684</v>
      </c>
      <c r="B685">
        <v>1</v>
      </c>
      <c r="C685">
        <v>56</v>
      </c>
      <c r="D685">
        <v>1</v>
      </c>
      <c r="E685">
        <v>5499.99</v>
      </c>
      <c r="F685">
        <v>7.0000000000000007E-2</v>
      </c>
      <c r="G685">
        <f t="shared" si="10"/>
        <v>5499.92</v>
      </c>
      <c r="H685" t="str">
        <f>_xlfn.XLOOKUP(C685,products[Product_ID],products[Product_Name],"not found",0)</f>
        <v>Trek Domane SLR 6 Disc - 2017</v>
      </c>
      <c r="I685" t="e">
        <f>VLOOKUP(products!D685,categories[#All],2,TRUE)</f>
        <v>#N/A</v>
      </c>
    </row>
    <row r="686" spans="1:9" x14ac:dyDescent="0.3">
      <c r="A686">
        <v>685</v>
      </c>
      <c r="B686">
        <v>1</v>
      </c>
      <c r="C686">
        <v>59</v>
      </c>
      <c r="D686">
        <v>1</v>
      </c>
      <c r="E686">
        <v>2599.9899999999998</v>
      </c>
      <c r="F686">
        <v>0.05</v>
      </c>
      <c r="G686">
        <f t="shared" si="10"/>
        <v>2599.9399999999996</v>
      </c>
      <c r="H686" t="str">
        <f>_xlfn.XLOOKUP(C686,products[Product_ID],products[Product_Name],"not found",0)</f>
        <v>Trek Domane S 5 Disc - 2017</v>
      </c>
      <c r="I686" t="e">
        <f>VLOOKUP(products!D686,categories[#All],2,TRUE)</f>
        <v>#N/A</v>
      </c>
    </row>
    <row r="687" spans="1:9" x14ac:dyDescent="0.3">
      <c r="A687">
        <v>686</v>
      </c>
      <c r="B687">
        <v>1</v>
      </c>
      <c r="C687">
        <v>16</v>
      </c>
      <c r="D687">
        <v>1</v>
      </c>
      <c r="E687">
        <v>599.99</v>
      </c>
      <c r="F687">
        <v>0.2</v>
      </c>
      <c r="G687">
        <f t="shared" si="10"/>
        <v>599.79</v>
      </c>
      <c r="H687" t="str">
        <f>_xlfn.XLOOKUP(C687,products[Product_ID],products[Product_Name],"not found",0)</f>
        <v>Electra Townie Original 7D EQ - 2016</v>
      </c>
      <c r="I687" t="e">
        <f>VLOOKUP(products!D687,categories[#All],2,TRUE)</f>
        <v>#N/A</v>
      </c>
    </row>
    <row r="688" spans="1:9" x14ac:dyDescent="0.3">
      <c r="A688">
        <v>687</v>
      </c>
      <c r="B688">
        <v>1</v>
      </c>
      <c r="C688">
        <v>48</v>
      </c>
      <c r="D688">
        <v>2</v>
      </c>
      <c r="E688">
        <v>1499.99</v>
      </c>
      <c r="F688">
        <v>0.05</v>
      </c>
      <c r="G688">
        <f t="shared" si="10"/>
        <v>2999.93</v>
      </c>
      <c r="H688" t="str">
        <f>_xlfn.XLOOKUP(C688,products[Product_ID],products[Product_Name],"not found",0)</f>
        <v>Trek Emonda S 4 - 2017</v>
      </c>
      <c r="I688" t="e">
        <f>VLOOKUP(products!D688,categories[#All],2,TRUE)</f>
        <v>#N/A</v>
      </c>
    </row>
    <row r="689" spans="1:9" x14ac:dyDescent="0.3">
      <c r="A689">
        <v>688</v>
      </c>
      <c r="B689">
        <v>1</v>
      </c>
      <c r="C689">
        <v>8</v>
      </c>
      <c r="D689">
        <v>1</v>
      </c>
      <c r="E689">
        <v>1799.99</v>
      </c>
      <c r="F689">
        <v>0.1</v>
      </c>
      <c r="G689">
        <f t="shared" si="10"/>
        <v>1799.89</v>
      </c>
      <c r="H689" t="str">
        <f>_xlfn.XLOOKUP(C689,products[Product_ID],products[Product_Name],"not found",0)</f>
        <v>Trek Remedy 29 Carbon Frameset - 2016</v>
      </c>
      <c r="I689" t="e">
        <f>VLOOKUP(products!D689,categories[#All],2,TRUE)</f>
        <v>#N/A</v>
      </c>
    </row>
    <row r="690" spans="1:9" x14ac:dyDescent="0.3">
      <c r="A690">
        <v>689</v>
      </c>
      <c r="B690">
        <v>1</v>
      </c>
      <c r="C690">
        <v>33</v>
      </c>
      <c r="D690">
        <v>2</v>
      </c>
      <c r="E690">
        <v>469.99</v>
      </c>
      <c r="F690">
        <v>0.1</v>
      </c>
      <c r="G690">
        <f t="shared" si="10"/>
        <v>939.88</v>
      </c>
      <c r="H690" t="str">
        <f>_xlfn.XLOOKUP(C690,products[Product_ID],products[Product_Name],"not found",0)</f>
        <v>Surly Wednesday Frameset - 2017</v>
      </c>
      <c r="I690" t="e">
        <f>VLOOKUP(products!D690,categories[#All],2,TRUE)</f>
        <v>#N/A</v>
      </c>
    </row>
    <row r="691" spans="1:9" x14ac:dyDescent="0.3">
      <c r="A691">
        <v>690</v>
      </c>
      <c r="B691">
        <v>1</v>
      </c>
      <c r="C691">
        <v>84</v>
      </c>
      <c r="D691">
        <v>1</v>
      </c>
      <c r="E691">
        <v>109.99</v>
      </c>
      <c r="F691">
        <v>0.2</v>
      </c>
      <c r="G691">
        <f t="shared" si="10"/>
        <v>109.78999999999999</v>
      </c>
      <c r="H691" t="str">
        <f>_xlfn.XLOOKUP(C691,products[Product_ID],products[Product_Name],"not found",0)</f>
        <v>Sun Bicycles Lil Kitt'n - 2017</v>
      </c>
      <c r="I691" t="e">
        <f>VLOOKUP(products!D691,categories[#All],2,TRUE)</f>
        <v>#N/A</v>
      </c>
    </row>
    <row r="692" spans="1:9" x14ac:dyDescent="0.3">
      <c r="A692">
        <v>691</v>
      </c>
      <c r="B692">
        <v>1</v>
      </c>
      <c r="C692">
        <v>23</v>
      </c>
      <c r="D692">
        <v>2</v>
      </c>
      <c r="E692">
        <v>299.99</v>
      </c>
      <c r="F692">
        <v>0.05</v>
      </c>
      <c r="G692">
        <f t="shared" si="10"/>
        <v>599.93000000000006</v>
      </c>
      <c r="H692" t="str">
        <f>_xlfn.XLOOKUP(C692,products[Product_ID],products[Product_Name],"not found",0)</f>
        <v>Electra Girl's Hawaii 1 (20-inch) - 2015/2016</v>
      </c>
      <c r="I692" t="e">
        <f>VLOOKUP(products!D692,categories[#All],2,TRUE)</f>
        <v>#N/A</v>
      </c>
    </row>
    <row r="693" spans="1:9" x14ac:dyDescent="0.3">
      <c r="A693">
        <v>692</v>
      </c>
      <c r="B693">
        <v>1</v>
      </c>
      <c r="C693">
        <v>59</v>
      </c>
      <c r="D693">
        <v>1</v>
      </c>
      <c r="E693">
        <v>2599.9899999999998</v>
      </c>
      <c r="F693">
        <v>0.2</v>
      </c>
      <c r="G693">
        <f t="shared" si="10"/>
        <v>2599.79</v>
      </c>
      <c r="H693" t="str">
        <f>_xlfn.XLOOKUP(C693,products[Product_ID],products[Product_Name],"not found",0)</f>
        <v>Trek Domane S 5 Disc - 2017</v>
      </c>
      <c r="I693" t="e">
        <f>VLOOKUP(products!D693,categories[#All],2,TRUE)</f>
        <v>#N/A</v>
      </c>
    </row>
    <row r="694" spans="1:9" x14ac:dyDescent="0.3">
      <c r="A694">
        <v>693</v>
      </c>
      <c r="B694">
        <v>1</v>
      </c>
      <c r="C694">
        <v>104</v>
      </c>
      <c r="D694">
        <v>2</v>
      </c>
      <c r="E694">
        <v>481.99</v>
      </c>
      <c r="F694">
        <v>0.2</v>
      </c>
      <c r="G694">
        <f t="shared" si="10"/>
        <v>963.78</v>
      </c>
      <c r="H694" t="str">
        <f>_xlfn.XLOOKUP(C694,products[Product_ID],products[Product_Name],"not found",0)</f>
        <v>Sun Bicycles Streamway - 2017</v>
      </c>
      <c r="I694" t="e">
        <f>VLOOKUP(products!D694,categories[#All],2,TRUE)</f>
        <v>#N/A</v>
      </c>
    </row>
    <row r="695" spans="1:9" x14ac:dyDescent="0.3">
      <c r="A695">
        <v>694</v>
      </c>
      <c r="B695">
        <v>1</v>
      </c>
      <c r="C695">
        <v>48</v>
      </c>
      <c r="D695">
        <v>1</v>
      </c>
      <c r="E695">
        <v>1499.99</v>
      </c>
      <c r="F695">
        <v>0.2</v>
      </c>
      <c r="G695">
        <f t="shared" si="10"/>
        <v>1499.79</v>
      </c>
      <c r="H695" t="str">
        <f>_xlfn.XLOOKUP(C695,products[Product_ID],products[Product_Name],"not found",0)</f>
        <v>Trek Emonda S 4 - 2017</v>
      </c>
      <c r="I695" t="e">
        <f>VLOOKUP(products!D695,categories[#All],2,TRUE)</f>
        <v>#N/A</v>
      </c>
    </row>
    <row r="696" spans="1:9" x14ac:dyDescent="0.3">
      <c r="A696">
        <v>695</v>
      </c>
      <c r="B696">
        <v>1</v>
      </c>
      <c r="C696">
        <v>82</v>
      </c>
      <c r="D696">
        <v>2</v>
      </c>
      <c r="E696">
        <v>659.99</v>
      </c>
      <c r="F696">
        <v>0.1</v>
      </c>
      <c r="G696">
        <f t="shared" si="10"/>
        <v>1319.88</v>
      </c>
      <c r="H696" t="str">
        <f>_xlfn.XLOOKUP(C696,products[Product_ID],products[Product_Name],"not found",0)</f>
        <v>Electra Amsterdam Original 3i Ladies' - 2017</v>
      </c>
      <c r="I696" t="e">
        <f>VLOOKUP(products!D696,categories[#All],2,TRUE)</f>
        <v>#N/A</v>
      </c>
    </row>
    <row r="697" spans="1:9" x14ac:dyDescent="0.3">
      <c r="A697">
        <v>696</v>
      </c>
      <c r="B697">
        <v>1</v>
      </c>
      <c r="C697">
        <v>88</v>
      </c>
      <c r="D697">
        <v>2</v>
      </c>
      <c r="E697">
        <v>189.99</v>
      </c>
      <c r="F697">
        <v>7.0000000000000007E-2</v>
      </c>
      <c r="G697">
        <f t="shared" si="10"/>
        <v>379.91</v>
      </c>
      <c r="H697" t="str">
        <f>_xlfn.XLOOKUP(C697,products[Product_ID],products[Product_Name],"not found",0)</f>
        <v>Trek Precaliber 12 Girls - 2017</v>
      </c>
      <c r="I697" t="e">
        <f>VLOOKUP(products!D697,categories[#All],2,TRUE)</f>
        <v>#N/A</v>
      </c>
    </row>
    <row r="698" spans="1:9" x14ac:dyDescent="0.3">
      <c r="A698">
        <v>697</v>
      </c>
      <c r="B698">
        <v>1</v>
      </c>
      <c r="C698">
        <v>5</v>
      </c>
      <c r="D698">
        <v>2</v>
      </c>
      <c r="E698">
        <v>1320.99</v>
      </c>
      <c r="F698">
        <v>0.05</v>
      </c>
      <c r="G698">
        <f t="shared" si="10"/>
        <v>2641.93</v>
      </c>
      <c r="H698" t="str">
        <f>_xlfn.XLOOKUP(C698,products[Product_ID],products[Product_Name],"not found",0)</f>
        <v>Heller Shagamaw Frame - 2016</v>
      </c>
      <c r="I698" t="e">
        <f>VLOOKUP(products!D698,categories[#All],2,TRUE)</f>
        <v>#N/A</v>
      </c>
    </row>
    <row r="699" spans="1:9" x14ac:dyDescent="0.3">
      <c r="A699">
        <v>698</v>
      </c>
      <c r="B699">
        <v>1</v>
      </c>
      <c r="C699">
        <v>96</v>
      </c>
      <c r="D699">
        <v>1</v>
      </c>
      <c r="E699">
        <v>349.99</v>
      </c>
      <c r="F699">
        <v>7.0000000000000007E-2</v>
      </c>
      <c r="G699">
        <f t="shared" si="10"/>
        <v>349.92</v>
      </c>
      <c r="H699" t="str">
        <f>_xlfn.XLOOKUP(C699,products[Product_ID],products[Product_Name],"not found",0)</f>
        <v>Electra Moto 3i (20-inch) - Boy's - 2017</v>
      </c>
      <c r="I699" t="e">
        <f>VLOOKUP(products!D699,categories[#All],2,TRUE)</f>
        <v>#N/A</v>
      </c>
    </row>
    <row r="700" spans="1:9" x14ac:dyDescent="0.3">
      <c r="A700">
        <v>699</v>
      </c>
      <c r="B700">
        <v>1</v>
      </c>
      <c r="C700">
        <v>106</v>
      </c>
      <c r="D700">
        <v>2</v>
      </c>
      <c r="E700">
        <v>449.99</v>
      </c>
      <c r="F700">
        <v>0.1</v>
      </c>
      <c r="G700">
        <f t="shared" si="10"/>
        <v>899.88</v>
      </c>
      <c r="H700" t="str">
        <f>_xlfn.XLOOKUP(C700,products[Product_ID],products[Product_Name],"not found",0)</f>
        <v>Sun Bicycles Cruz 3 - 2017</v>
      </c>
      <c r="I700" t="e">
        <f>VLOOKUP(products!D700,categories[#All],2,TRUE)</f>
        <v>#N/A</v>
      </c>
    </row>
    <row r="701" spans="1:9" x14ac:dyDescent="0.3">
      <c r="A701">
        <v>700</v>
      </c>
      <c r="B701">
        <v>1</v>
      </c>
      <c r="C701">
        <v>7</v>
      </c>
      <c r="D701">
        <v>2</v>
      </c>
      <c r="E701">
        <v>3999.99</v>
      </c>
      <c r="F701">
        <v>0.05</v>
      </c>
      <c r="G701">
        <f t="shared" si="10"/>
        <v>7999.9299999999994</v>
      </c>
      <c r="H701" t="str">
        <f>_xlfn.XLOOKUP(C701,products[Product_ID],products[Product_Name],"not found",0)</f>
        <v>Trek Slash 8 27.5 - 2016</v>
      </c>
      <c r="I701" t="e">
        <f>VLOOKUP(products!D701,categories[#All],2,TRUE)</f>
        <v>#N/A</v>
      </c>
    </row>
    <row r="702" spans="1:9" x14ac:dyDescent="0.3">
      <c r="A702">
        <v>701</v>
      </c>
      <c r="B702">
        <v>1</v>
      </c>
      <c r="C702">
        <v>84</v>
      </c>
      <c r="D702">
        <v>1</v>
      </c>
      <c r="E702">
        <v>109.99</v>
      </c>
      <c r="F702">
        <v>0.05</v>
      </c>
      <c r="G702">
        <f t="shared" si="10"/>
        <v>109.94</v>
      </c>
      <c r="H702" t="str">
        <f>_xlfn.XLOOKUP(C702,products[Product_ID],products[Product_Name],"not found",0)</f>
        <v>Sun Bicycles Lil Kitt'n - 2017</v>
      </c>
      <c r="I702" t="e">
        <f>VLOOKUP(products!D702,categories[#All],2,TRUE)</f>
        <v>#N/A</v>
      </c>
    </row>
    <row r="703" spans="1:9" x14ac:dyDescent="0.3">
      <c r="A703">
        <v>702</v>
      </c>
      <c r="B703">
        <v>1</v>
      </c>
      <c r="C703">
        <v>25</v>
      </c>
      <c r="D703">
        <v>2</v>
      </c>
      <c r="E703">
        <v>499.99</v>
      </c>
      <c r="F703">
        <v>0.05</v>
      </c>
      <c r="G703">
        <f t="shared" si="10"/>
        <v>999.93000000000006</v>
      </c>
      <c r="H703" t="str">
        <f>_xlfn.XLOOKUP(C703,products[Product_ID],products[Product_Name],"not found",0)</f>
        <v>Electra Townie Original 7D - 2015/2016</v>
      </c>
      <c r="I703" t="e">
        <f>VLOOKUP(products!D703,categories[#All],2,TRUE)</f>
        <v>#N/A</v>
      </c>
    </row>
    <row r="704" spans="1:9" x14ac:dyDescent="0.3">
      <c r="A704">
        <v>703</v>
      </c>
      <c r="B704">
        <v>1</v>
      </c>
      <c r="C704">
        <v>45</v>
      </c>
      <c r="D704">
        <v>2</v>
      </c>
      <c r="E704">
        <v>869.99</v>
      </c>
      <c r="F704">
        <v>0.2</v>
      </c>
      <c r="G704">
        <f t="shared" si="10"/>
        <v>1739.78</v>
      </c>
      <c r="H704" t="str">
        <f>_xlfn.XLOOKUP(C704,products[Product_ID],products[Product_Name],"not found",0)</f>
        <v>Haro SR 1.2 - 2017</v>
      </c>
      <c r="I704" t="e">
        <f>VLOOKUP(products!D704,categories[#All],2,TRUE)</f>
        <v>#N/A</v>
      </c>
    </row>
    <row r="705" spans="1:9" x14ac:dyDescent="0.3">
      <c r="A705">
        <v>704</v>
      </c>
      <c r="B705">
        <v>1</v>
      </c>
      <c r="C705">
        <v>10</v>
      </c>
      <c r="D705">
        <v>2</v>
      </c>
      <c r="E705">
        <v>1549</v>
      </c>
      <c r="F705">
        <v>0.05</v>
      </c>
      <c r="G705">
        <f t="shared" si="10"/>
        <v>3097.95</v>
      </c>
      <c r="H705" t="str">
        <f>_xlfn.XLOOKUP(C705,products[Product_ID],products[Product_Name],"not found",0)</f>
        <v>Surly Straggler - 2016</v>
      </c>
      <c r="I705" t="e">
        <f>VLOOKUP(products!D705,categories[#All],2,TRUE)</f>
        <v>#N/A</v>
      </c>
    </row>
    <row r="706" spans="1:9" x14ac:dyDescent="0.3">
      <c r="A706">
        <v>705</v>
      </c>
      <c r="B706">
        <v>1</v>
      </c>
      <c r="C706">
        <v>61</v>
      </c>
      <c r="D706">
        <v>1</v>
      </c>
      <c r="E706">
        <v>4999.99</v>
      </c>
      <c r="F706">
        <v>0.1</v>
      </c>
      <c r="G706">
        <f t="shared" ref="G706:G769" si="11">(E706*D706)-F706</f>
        <v>4999.8899999999994</v>
      </c>
      <c r="H706" t="str">
        <f>_xlfn.XLOOKUP(C706,products[Product_ID],products[Product_Name],"not found",0)</f>
        <v>Trek Powerfly 8 FS Plus - 2017</v>
      </c>
      <c r="I706" t="e">
        <f>VLOOKUP(products!D706,categories[#All],2,TRUE)</f>
        <v>#N/A</v>
      </c>
    </row>
    <row r="707" spans="1:9" x14ac:dyDescent="0.3">
      <c r="A707">
        <v>706</v>
      </c>
      <c r="B707">
        <v>1</v>
      </c>
      <c r="C707">
        <v>27</v>
      </c>
      <c r="D707">
        <v>1</v>
      </c>
      <c r="E707">
        <v>999.99</v>
      </c>
      <c r="F707">
        <v>0.1</v>
      </c>
      <c r="G707">
        <f t="shared" si="11"/>
        <v>999.89</v>
      </c>
      <c r="H707" t="str">
        <f>_xlfn.XLOOKUP(C707,products[Product_ID],products[Product_Name],"not found",0)</f>
        <v>Surly Big Dummy Frameset - 2017</v>
      </c>
      <c r="I707" t="e">
        <f>VLOOKUP(products!D707,categories[#All],2,TRUE)</f>
        <v>#N/A</v>
      </c>
    </row>
    <row r="708" spans="1:9" x14ac:dyDescent="0.3">
      <c r="A708">
        <v>707</v>
      </c>
      <c r="B708">
        <v>1</v>
      </c>
      <c r="C708">
        <v>106</v>
      </c>
      <c r="D708">
        <v>2</v>
      </c>
      <c r="E708">
        <v>449.99</v>
      </c>
      <c r="F708">
        <v>0.05</v>
      </c>
      <c r="G708">
        <f t="shared" si="11"/>
        <v>899.93000000000006</v>
      </c>
      <c r="H708" t="str">
        <f>_xlfn.XLOOKUP(C708,products[Product_ID],products[Product_Name],"not found",0)</f>
        <v>Sun Bicycles Cruz 3 - 2017</v>
      </c>
      <c r="I708" t="e">
        <f>VLOOKUP(products!D708,categories[#All],2,TRUE)</f>
        <v>#N/A</v>
      </c>
    </row>
    <row r="709" spans="1:9" x14ac:dyDescent="0.3">
      <c r="A709">
        <v>708</v>
      </c>
      <c r="B709">
        <v>1</v>
      </c>
      <c r="C709">
        <v>6</v>
      </c>
      <c r="D709">
        <v>1</v>
      </c>
      <c r="E709">
        <v>469.99</v>
      </c>
      <c r="F709">
        <v>7.0000000000000007E-2</v>
      </c>
      <c r="G709">
        <f t="shared" si="11"/>
        <v>469.92</v>
      </c>
      <c r="H709" t="str">
        <f>_xlfn.XLOOKUP(C709,products[Product_ID],products[Product_Name],"not found",0)</f>
        <v>Surly Ice Cream Truck Frameset - 2016</v>
      </c>
      <c r="I709" t="e">
        <f>VLOOKUP(products!D709,categories[#All],2,TRUE)</f>
        <v>#N/A</v>
      </c>
    </row>
    <row r="710" spans="1:9" x14ac:dyDescent="0.3">
      <c r="A710">
        <v>709</v>
      </c>
      <c r="B710">
        <v>1</v>
      </c>
      <c r="C710">
        <v>55</v>
      </c>
      <c r="D710">
        <v>2</v>
      </c>
      <c r="E710">
        <v>2699.99</v>
      </c>
      <c r="F710">
        <v>0.05</v>
      </c>
      <c r="G710">
        <f t="shared" si="11"/>
        <v>5399.9299999999994</v>
      </c>
      <c r="H710" t="str">
        <f>_xlfn.XLOOKUP(C710,products[Product_ID],products[Product_Name],"not found",0)</f>
        <v>Trek Domane S 6 - 2017</v>
      </c>
      <c r="I710" t="e">
        <f>VLOOKUP(products!D710,categories[#All],2,TRUE)</f>
        <v>#N/A</v>
      </c>
    </row>
    <row r="711" spans="1:9" x14ac:dyDescent="0.3">
      <c r="A711">
        <v>710</v>
      </c>
      <c r="B711">
        <v>1</v>
      </c>
      <c r="C711">
        <v>42</v>
      </c>
      <c r="D711">
        <v>1</v>
      </c>
      <c r="E711">
        <v>2299.9899999999998</v>
      </c>
      <c r="F711">
        <v>0.05</v>
      </c>
      <c r="G711">
        <f t="shared" si="11"/>
        <v>2299.9399999999996</v>
      </c>
      <c r="H711" t="str">
        <f>_xlfn.XLOOKUP(C711,products[Product_ID],products[Product_Name],"not found",0)</f>
        <v>Trek Fuel EX 5 27.5 Plus - 2017</v>
      </c>
      <c r="I711" t="e">
        <f>VLOOKUP(products!D711,categories[#All],2,TRUE)</f>
        <v>#N/A</v>
      </c>
    </row>
    <row r="712" spans="1:9" x14ac:dyDescent="0.3">
      <c r="A712">
        <v>711</v>
      </c>
      <c r="B712">
        <v>1</v>
      </c>
      <c r="C712">
        <v>5</v>
      </c>
      <c r="D712">
        <v>2</v>
      </c>
      <c r="E712">
        <v>1320.99</v>
      </c>
      <c r="F712">
        <v>0.05</v>
      </c>
      <c r="G712">
        <f t="shared" si="11"/>
        <v>2641.93</v>
      </c>
      <c r="H712" t="str">
        <f>_xlfn.XLOOKUP(C712,products[Product_ID],products[Product_Name],"not found",0)</f>
        <v>Heller Shagamaw Frame - 2016</v>
      </c>
      <c r="I712" t="e">
        <f>VLOOKUP(products!D712,categories[#All],2,TRUE)</f>
        <v>#N/A</v>
      </c>
    </row>
    <row r="713" spans="1:9" x14ac:dyDescent="0.3">
      <c r="A713">
        <v>712</v>
      </c>
      <c r="B713">
        <v>1</v>
      </c>
      <c r="C713">
        <v>44</v>
      </c>
      <c r="D713">
        <v>2</v>
      </c>
      <c r="E713">
        <v>539.99</v>
      </c>
      <c r="F713">
        <v>0.2</v>
      </c>
      <c r="G713">
        <f t="shared" si="11"/>
        <v>1079.78</v>
      </c>
      <c r="H713" t="str">
        <f>_xlfn.XLOOKUP(C713,products[Product_ID],products[Product_Name],"not found",0)</f>
        <v>Haro SR 1.1 - 2017</v>
      </c>
      <c r="I713" t="e">
        <f>VLOOKUP(products!D713,categories[#All],2,TRUE)</f>
        <v>#N/A</v>
      </c>
    </row>
    <row r="714" spans="1:9" x14ac:dyDescent="0.3">
      <c r="A714">
        <v>713</v>
      </c>
      <c r="B714">
        <v>1</v>
      </c>
      <c r="C714">
        <v>93</v>
      </c>
      <c r="D714">
        <v>2</v>
      </c>
      <c r="E714">
        <v>209.99</v>
      </c>
      <c r="F714">
        <v>0.2</v>
      </c>
      <c r="G714">
        <f t="shared" si="11"/>
        <v>419.78000000000003</v>
      </c>
      <c r="H714" t="str">
        <f>_xlfn.XLOOKUP(C714,products[Product_ID],products[Product_Name],"not found",0)</f>
        <v>Haro Shredder 20 Girls - 2017</v>
      </c>
      <c r="I714" t="e">
        <f>VLOOKUP(products!D714,categories[#All],2,TRUE)</f>
        <v>#N/A</v>
      </c>
    </row>
    <row r="715" spans="1:9" x14ac:dyDescent="0.3">
      <c r="A715">
        <v>714</v>
      </c>
      <c r="B715">
        <v>1</v>
      </c>
      <c r="C715">
        <v>92</v>
      </c>
      <c r="D715">
        <v>2</v>
      </c>
      <c r="E715">
        <v>209.99</v>
      </c>
      <c r="F715">
        <v>0.2</v>
      </c>
      <c r="G715">
        <f t="shared" si="11"/>
        <v>419.78000000000003</v>
      </c>
      <c r="H715" t="str">
        <f>_xlfn.XLOOKUP(C715,products[Product_ID],products[Product_Name],"not found",0)</f>
        <v>Haro Shredder 20 - 2017</v>
      </c>
      <c r="I715" t="e">
        <f>VLOOKUP(products!D715,categories[#All],2,TRUE)</f>
        <v>#N/A</v>
      </c>
    </row>
    <row r="716" spans="1:9" x14ac:dyDescent="0.3">
      <c r="A716">
        <v>715</v>
      </c>
      <c r="B716">
        <v>1</v>
      </c>
      <c r="C716">
        <v>61</v>
      </c>
      <c r="D716">
        <v>2</v>
      </c>
      <c r="E716">
        <v>4999.99</v>
      </c>
      <c r="F716">
        <v>0.1</v>
      </c>
      <c r="G716">
        <f t="shared" si="11"/>
        <v>9999.8799999999992</v>
      </c>
      <c r="H716" t="str">
        <f>_xlfn.XLOOKUP(C716,products[Product_ID],products[Product_Name],"not found",0)</f>
        <v>Trek Powerfly 8 FS Plus - 2017</v>
      </c>
      <c r="I716" t="e">
        <f>VLOOKUP(products!D716,categories[#All],2,TRUE)</f>
        <v>#N/A</v>
      </c>
    </row>
    <row r="717" spans="1:9" x14ac:dyDescent="0.3">
      <c r="A717">
        <v>716</v>
      </c>
      <c r="B717">
        <v>1</v>
      </c>
      <c r="C717">
        <v>111</v>
      </c>
      <c r="D717">
        <v>2</v>
      </c>
      <c r="E717">
        <v>470.99</v>
      </c>
      <c r="F717">
        <v>0.1</v>
      </c>
      <c r="G717">
        <f t="shared" si="11"/>
        <v>941.88</v>
      </c>
      <c r="H717" t="str">
        <f>_xlfn.XLOOKUP(C717,products[Product_ID],products[Product_Name],"not found",0)</f>
        <v>Sun Bicycles Drifter 7 - Women's - 2017</v>
      </c>
      <c r="I717" t="e">
        <f>VLOOKUP(products!D717,categories[#All],2,TRUE)</f>
        <v>#N/A</v>
      </c>
    </row>
    <row r="718" spans="1:9" x14ac:dyDescent="0.3">
      <c r="A718">
        <v>717</v>
      </c>
      <c r="B718">
        <v>1</v>
      </c>
      <c r="C718">
        <v>56</v>
      </c>
      <c r="D718">
        <v>2</v>
      </c>
      <c r="E718">
        <v>5499.99</v>
      </c>
      <c r="F718">
        <v>0.05</v>
      </c>
      <c r="G718">
        <f t="shared" si="11"/>
        <v>10999.93</v>
      </c>
      <c r="H718" t="str">
        <f>_xlfn.XLOOKUP(C718,products[Product_ID],products[Product_Name],"not found",0)</f>
        <v>Trek Domane SLR 6 Disc - 2017</v>
      </c>
      <c r="I718" t="e">
        <f>VLOOKUP(products!D718,categories[#All],2,TRUE)</f>
        <v>#N/A</v>
      </c>
    </row>
    <row r="719" spans="1:9" x14ac:dyDescent="0.3">
      <c r="A719">
        <v>718</v>
      </c>
      <c r="B719">
        <v>1</v>
      </c>
      <c r="C719">
        <v>92</v>
      </c>
      <c r="D719">
        <v>2</v>
      </c>
      <c r="E719">
        <v>209.99</v>
      </c>
      <c r="F719">
        <v>7.0000000000000007E-2</v>
      </c>
      <c r="G719">
        <f t="shared" si="11"/>
        <v>419.91</v>
      </c>
      <c r="H719" t="str">
        <f>_xlfn.XLOOKUP(C719,products[Product_ID],products[Product_Name],"not found",0)</f>
        <v>Haro Shredder 20 - 2017</v>
      </c>
      <c r="I719" t="e">
        <f>VLOOKUP(products!D719,categories[#All],2,TRUE)</f>
        <v>#N/A</v>
      </c>
    </row>
    <row r="720" spans="1:9" x14ac:dyDescent="0.3">
      <c r="A720">
        <v>719</v>
      </c>
      <c r="B720">
        <v>1</v>
      </c>
      <c r="C720">
        <v>100</v>
      </c>
      <c r="D720">
        <v>1</v>
      </c>
      <c r="E720">
        <v>489.99</v>
      </c>
      <c r="F720">
        <v>0.2</v>
      </c>
      <c r="G720">
        <f t="shared" si="11"/>
        <v>489.79</v>
      </c>
      <c r="H720" t="str">
        <f>_xlfn.XLOOKUP(C720,products[Product_ID],products[Product_Name],"not found",0)</f>
        <v>Electra Townie 3i EQ (20-inch) - Boys' - 2017</v>
      </c>
      <c r="I720" t="e">
        <f>VLOOKUP(products!D720,categories[#All],2,TRUE)</f>
        <v>#N/A</v>
      </c>
    </row>
    <row r="721" spans="1:9" x14ac:dyDescent="0.3">
      <c r="A721">
        <v>720</v>
      </c>
      <c r="B721">
        <v>1</v>
      </c>
      <c r="C721">
        <v>111</v>
      </c>
      <c r="D721">
        <v>1</v>
      </c>
      <c r="E721">
        <v>470.99</v>
      </c>
      <c r="F721">
        <v>7.0000000000000007E-2</v>
      </c>
      <c r="G721">
        <f t="shared" si="11"/>
        <v>470.92</v>
      </c>
      <c r="H721" t="str">
        <f>_xlfn.XLOOKUP(C721,products[Product_ID],products[Product_Name],"not found",0)</f>
        <v>Sun Bicycles Drifter 7 - Women's - 2017</v>
      </c>
      <c r="I721" t="e">
        <f>VLOOKUP(products!D721,categories[#All],2,TRUE)</f>
        <v>#N/A</v>
      </c>
    </row>
    <row r="722" spans="1:9" x14ac:dyDescent="0.3">
      <c r="A722">
        <v>721</v>
      </c>
      <c r="B722">
        <v>1</v>
      </c>
      <c r="C722">
        <v>45</v>
      </c>
      <c r="D722">
        <v>2</v>
      </c>
      <c r="E722">
        <v>869.99</v>
      </c>
      <c r="F722">
        <v>7.0000000000000007E-2</v>
      </c>
      <c r="G722">
        <f t="shared" si="11"/>
        <v>1739.91</v>
      </c>
      <c r="H722" t="str">
        <f>_xlfn.XLOOKUP(C722,products[Product_ID],products[Product_Name],"not found",0)</f>
        <v>Haro SR 1.2 - 2017</v>
      </c>
      <c r="I722" t="e">
        <f>VLOOKUP(products!D722,categories[#All],2,TRUE)</f>
        <v>#N/A</v>
      </c>
    </row>
    <row r="723" spans="1:9" x14ac:dyDescent="0.3">
      <c r="A723">
        <v>722</v>
      </c>
      <c r="B723">
        <v>1</v>
      </c>
      <c r="C723">
        <v>22</v>
      </c>
      <c r="D723">
        <v>2</v>
      </c>
      <c r="E723">
        <v>269.99</v>
      </c>
      <c r="F723">
        <v>7.0000000000000007E-2</v>
      </c>
      <c r="G723">
        <f t="shared" si="11"/>
        <v>539.91</v>
      </c>
      <c r="H723" t="str">
        <f>_xlfn.XLOOKUP(C723,products[Product_ID],products[Product_Name],"not found",0)</f>
        <v>Electra Girl's Hawaii 1 (16-inch) - 2015/2016</v>
      </c>
      <c r="I723" t="e">
        <f>VLOOKUP(products!D723,categories[#All],2,TRUE)</f>
        <v>#N/A</v>
      </c>
    </row>
    <row r="724" spans="1:9" x14ac:dyDescent="0.3">
      <c r="A724">
        <v>723</v>
      </c>
      <c r="B724">
        <v>1</v>
      </c>
      <c r="C724">
        <v>24</v>
      </c>
      <c r="D724">
        <v>2</v>
      </c>
      <c r="E724">
        <v>549.99</v>
      </c>
      <c r="F724">
        <v>7.0000000000000007E-2</v>
      </c>
      <c r="G724">
        <f t="shared" si="11"/>
        <v>1099.9100000000001</v>
      </c>
      <c r="H724" t="str">
        <f>_xlfn.XLOOKUP(C724,products[Product_ID],products[Product_Name],"not found",0)</f>
        <v>Electra Townie Original 21D - 2016</v>
      </c>
      <c r="I724" t="e">
        <f>VLOOKUP(products!D724,categories[#All],2,TRUE)</f>
        <v>#N/A</v>
      </c>
    </row>
    <row r="725" spans="1:9" x14ac:dyDescent="0.3">
      <c r="A725">
        <v>724</v>
      </c>
      <c r="B725">
        <v>1</v>
      </c>
      <c r="C725">
        <v>23</v>
      </c>
      <c r="D725">
        <v>1</v>
      </c>
      <c r="E725">
        <v>299.99</v>
      </c>
      <c r="F725">
        <v>0.05</v>
      </c>
      <c r="G725">
        <f t="shared" si="11"/>
        <v>299.94</v>
      </c>
      <c r="H725" t="str">
        <f>_xlfn.XLOOKUP(C725,products[Product_ID],products[Product_Name],"not found",0)</f>
        <v>Electra Girl's Hawaii 1 (20-inch) - 2015/2016</v>
      </c>
      <c r="I725" t="e">
        <f>VLOOKUP(products!D725,categories[#All],2,TRUE)</f>
        <v>#N/A</v>
      </c>
    </row>
    <row r="726" spans="1:9" x14ac:dyDescent="0.3">
      <c r="A726">
        <v>725</v>
      </c>
      <c r="B726">
        <v>1</v>
      </c>
      <c r="C726">
        <v>90</v>
      </c>
      <c r="D726">
        <v>1</v>
      </c>
      <c r="E726">
        <v>209.99</v>
      </c>
      <c r="F726">
        <v>0.1</v>
      </c>
      <c r="G726">
        <f t="shared" si="11"/>
        <v>209.89000000000001</v>
      </c>
      <c r="H726" t="str">
        <f>_xlfn.XLOOKUP(C726,products[Product_ID],products[Product_Name],"not found",0)</f>
        <v>Trek Precaliber 16 Girls - 2017</v>
      </c>
      <c r="I726" t="e">
        <f>VLOOKUP(products!D726,categories[#All],2,TRUE)</f>
        <v>#N/A</v>
      </c>
    </row>
    <row r="727" spans="1:9" x14ac:dyDescent="0.3">
      <c r="A727">
        <v>726</v>
      </c>
      <c r="B727">
        <v>1</v>
      </c>
      <c r="C727">
        <v>64</v>
      </c>
      <c r="D727">
        <v>1</v>
      </c>
      <c r="E727">
        <v>489.99</v>
      </c>
      <c r="F727">
        <v>0.2</v>
      </c>
      <c r="G727">
        <f t="shared" si="11"/>
        <v>489.79</v>
      </c>
      <c r="H727" t="str">
        <f>_xlfn.XLOOKUP(C727,products[Product_ID],products[Product_Name],"not found",0)</f>
        <v>Electra Townie Original 7D - 2017</v>
      </c>
      <c r="I727" t="e">
        <f>VLOOKUP(products!D727,categories[#All],2,TRUE)</f>
        <v>#N/A</v>
      </c>
    </row>
    <row r="728" spans="1:9" x14ac:dyDescent="0.3">
      <c r="A728">
        <v>727</v>
      </c>
      <c r="B728">
        <v>1</v>
      </c>
      <c r="C728">
        <v>78</v>
      </c>
      <c r="D728">
        <v>1</v>
      </c>
      <c r="E728">
        <v>647.99</v>
      </c>
      <c r="F728">
        <v>7.0000000000000007E-2</v>
      </c>
      <c r="G728">
        <f t="shared" si="11"/>
        <v>647.91999999999996</v>
      </c>
      <c r="H728" t="str">
        <f>_xlfn.XLOOKUP(C728,products[Product_ID],products[Product_Name],"not found",0)</f>
        <v>Sun Bicycles Biscayne Tandem CB - 2017</v>
      </c>
      <c r="I728" t="e">
        <f>VLOOKUP(products!D728,categories[#All],2,TRUE)</f>
        <v>#N/A</v>
      </c>
    </row>
    <row r="729" spans="1:9" x14ac:dyDescent="0.3">
      <c r="A729">
        <v>728</v>
      </c>
      <c r="B729">
        <v>1</v>
      </c>
      <c r="C729">
        <v>70</v>
      </c>
      <c r="D729">
        <v>1</v>
      </c>
      <c r="E729">
        <v>659.99</v>
      </c>
      <c r="F729">
        <v>0.05</v>
      </c>
      <c r="G729">
        <f t="shared" si="11"/>
        <v>659.94</v>
      </c>
      <c r="H729" t="str">
        <f>_xlfn.XLOOKUP(C729,products[Product_ID],products[Product_Name],"not found",0)</f>
        <v>Electra Amsterdam Original 3i - 2015/2017</v>
      </c>
      <c r="I729" t="e">
        <f>VLOOKUP(products!D729,categories[#All],2,TRUE)</f>
        <v>#N/A</v>
      </c>
    </row>
    <row r="730" spans="1:9" x14ac:dyDescent="0.3">
      <c r="A730">
        <v>729</v>
      </c>
      <c r="B730">
        <v>1</v>
      </c>
      <c r="C730">
        <v>101</v>
      </c>
      <c r="D730">
        <v>2</v>
      </c>
      <c r="E730">
        <v>339.99</v>
      </c>
      <c r="F730">
        <v>0.1</v>
      </c>
      <c r="G730">
        <f t="shared" si="11"/>
        <v>679.88</v>
      </c>
      <c r="H730" t="str">
        <f>_xlfn.XLOOKUP(C730,products[Product_ID],products[Product_Name],"not found",0)</f>
        <v>Electra Townie 7D (20-inch) - Boys' - 2017</v>
      </c>
      <c r="I730" t="e">
        <f>VLOOKUP(products!D730,categories[#All],2,TRUE)</f>
        <v>#N/A</v>
      </c>
    </row>
    <row r="731" spans="1:9" x14ac:dyDescent="0.3">
      <c r="A731">
        <v>730</v>
      </c>
      <c r="B731">
        <v>1</v>
      </c>
      <c r="C731">
        <v>59</v>
      </c>
      <c r="D731">
        <v>2</v>
      </c>
      <c r="E731">
        <v>2599.9899999999998</v>
      </c>
      <c r="F731">
        <v>0.05</v>
      </c>
      <c r="G731">
        <f t="shared" si="11"/>
        <v>5199.9299999999994</v>
      </c>
      <c r="H731" t="str">
        <f>_xlfn.XLOOKUP(C731,products[Product_ID],products[Product_Name],"not found",0)</f>
        <v>Trek Domane S 5 Disc - 2017</v>
      </c>
      <c r="I731" t="e">
        <f>VLOOKUP(products!D731,categories[#All],2,TRUE)</f>
        <v>#N/A</v>
      </c>
    </row>
    <row r="732" spans="1:9" x14ac:dyDescent="0.3">
      <c r="A732">
        <v>731</v>
      </c>
      <c r="B732">
        <v>1</v>
      </c>
      <c r="C732">
        <v>91</v>
      </c>
      <c r="D732">
        <v>1</v>
      </c>
      <c r="E732">
        <v>349.99</v>
      </c>
      <c r="F732">
        <v>0.05</v>
      </c>
      <c r="G732">
        <f t="shared" si="11"/>
        <v>349.94</v>
      </c>
      <c r="H732" t="str">
        <f>_xlfn.XLOOKUP(C732,products[Product_ID],products[Product_Name],"not found",0)</f>
        <v>Trek Precaliber 24 (21-Speed) - Girls - 2017</v>
      </c>
      <c r="I732" t="e">
        <f>VLOOKUP(products!D732,categories[#All],2,TRUE)</f>
        <v>#N/A</v>
      </c>
    </row>
    <row r="733" spans="1:9" x14ac:dyDescent="0.3">
      <c r="A733">
        <v>732</v>
      </c>
      <c r="B733">
        <v>1</v>
      </c>
      <c r="C733">
        <v>47</v>
      </c>
      <c r="D733">
        <v>1</v>
      </c>
      <c r="E733">
        <v>5299.99</v>
      </c>
      <c r="F733">
        <v>7.0000000000000007E-2</v>
      </c>
      <c r="G733">
        <f t="shared" si="11"/>
        <v>5299.92</v>
      </c>
      <c r="H733" t="str">
        <f>_xlfn.XLOOKUP(C733,products[Product_ID],products[Product_Name],"not found",0)</f>
        <v>Trek Remedy 9.8 - 2017</v>
      </c>
      <c r="I733" t="e">
        <f>VLOOKUP(products!D733,categories[#All],2,TRUE)</f>
        <v>#N/A</v>
      </c>
    </row>
    <row r="734" spans="1:9" x14ac:dyDescent="0.3">
      <c r="A734">
        <v>733</v>
      </c>
      <c r="B734">
        <v>1</v>
      </c>
      <c r="C734">
        <v>84</v>
      </c>
      <c r="D734">
        <v>1</v>
      </c>
      <c r="E734">
        <v>109.99</v>
      </c>
      <c r="F734">
        <v>0.05</v>
      </c>
      <c r="G734">
        <f t="shared" si="11"/>
        <v>109.94</v>
      </c>
      <c r="H734" t="str">
        <f>_xlfn.XLOOKUP(C734,products[Product_ID],products[Product_Name],"not found",0)</f>
        <v>Sun Bicycles Lil Kitt'n - 2017</v>
      </c>
      <c r="I734" t="e">
        <f>VLOOKUP(products!D734,categories[#All],2,TRUE)</f>
        <v>#N/A</v>
      </c>
    </row>
    <row r="735" spans="1:9" x14ac:dyDescent="0.3">
      <c r="A735">
        <v>734</v>
      </c>
      <c r="B735">
        <v>1</v>
      </c>
      <c r="C735">
        <v>26</v>
      </c>
      <c r="D735">
        <v>1</v>
      </c>
      <c r="E735">
        <v>599.99</v>
      </c>
      <c r="F735">
        <v>0.2</v>
      </c>
      <c r="G735">
        <f t="shared" si="11"/>
        <v>599.79</v>
      </c>
      <c r="H735" t="str">
        <f>_xlfn.XLOOKUP(C735,products[Product_ID],products[Product_Name],"not found",0)</f>
        <v>Electra Townie Original 7D EQ - 2016</v>
      </c>
      <c r="I735" t="e">
        <f>VLOOKUP(products!D735,categories[#All],2,TRUE)</f>
        <v>#N/A</v>
      </c>
    </row>
    <row r="736" spans="1:9" x14ac:dyDescent="0.3">
      <c r="A736">
        <v>735</v>
      </c>
      <c r="B736">
        <v>1</v>
      </c>
      <c r="C736">
        <v>71</v>
      </c>
      <c r="D736">
        <v>2</v>
      </c>
      <c r="E736">
        <v>416.99</v>
      </c>
      <c r="F736">
        <v>0.1</v>
      </c>
      <c r="G736">
        <f t="shared" si="11"/>
        <v>833.88</v>
      </c>
      <c r="H736" t="str">
        <f>_xlfn.XLOOKUP(C736,products[Product_ID],products[Product_Name],"not found",0)</f>
        <v>Sun Bicycles Atlas X-Type - 2017</v>
      </c>
      <c r="I736" t="e">
        <f>VLOOKUP(products!D736,categories[#All],2,TRUE)</f>
        <v>#N/A</v>
      </c>
    </row>
    <row r="737" spans="1:9" x14ac:dyDescent="0.3">
      <c r="A737">
        <v>736</v>
      </c>
      <c r="B737">
        <v>1</v>
      </c>
      <c r="C737">
        <v>56</v>
      </c>
      <c r="D737">
        <v>2</v>
      </c>
      <c r="E737">
        <v>5499.99</v>
      </c>
      <c r="F737">
        <v>0.05</v>
      </c>
      <c r="G737">
        <f t="shared" si="11"/>
        <v>10999.93</v>
      </c>
      <c r="H737" t="str">
        <f>_xlfn.XLOOKUP(C737,products[Product_ID],products[Product_Name],"not found",0)</f>
        <v>Trek Domane SLR 6 Disc - 2017</v>
      </c>
      <c r="I737" t="e">
        <f>VLOOKUP(products!D737,categories[#All],2,TRUE)</f>
        <v>#N/A</v>
      </c>
    </row>
    <row r="738" spans="1:9" x14ac:dyDescent="0.3">
      <c r="A738">
        <v>737</v>
      </c>
      <c r="B738">
        <v>1</v>
      </c>
      <c r="C738">
        <v>52</v>
      </c>
      <c r="D738">
        <v>1</v>
      </c>
      <c r="E738">
        <v>875.99</v>
      </c>
      <c r="F738">
        <v>0.05</v>
      </c>
      <c r="G738">
        <f t="shared" si="11"/>
        <v>875.94</v>
      </c>
      <c r="H738" t="str">
        <f>_xlfn.XLOOKUP(C738,products[Product_ID],products[Product_Name],"not found",0)</f>
        <v>Surly Steamroller - 2017</v>
      </c>
      <c r="I738" t="e">
        <f>VLOOKUP(products!D738,categories[#All],2,TRUE)</f>
        <v>#N/A</v>
      </c>
    </row>
    <row r="739" spans="1:9" x14ac:dyDescent="0.3">
      <c r="A739">
        <v>738</v>
      </c>
      <c r="B739">
        <v>1</v>
      </c>
      <c r="C739">
        <v>82</v>
      </c>
      <c r="D739">
        <v>2</v>
      </c>
      <c r="E739">
        <v>659.99</v>
      </c>
      <c r="F739">
        <v>7.0000000000000007E-2</v>
      </c>
      <c r="G739">
        <f t="shared" si="11"/>
        <v>1319.91</v>
      </c>
      <c r="H739" t="str">
        <f>_xlfn.XLOOKUP(C739,products[Product_ID],products[Product_Name],"not found",0)</f>
        <v>Electra Amsterdam Original 3i Ladies' - 2017</v>
      </c>
      <c r="I739" t="e">
        <f>VLOOKUP(products!D739,categories[#All],2,TRUE)</f>
        <v>#N/A</v>
      </c>
    </row>
    <row r="740" spans="1:9" x14ac:dyDescent="0.3">
      <c r="A740">
        <v>739</v>
      </c>
      <c r="B740">
        <v>1</v>
      </c>
      <c r="C740">
        <v>3</v>
      </c>
      <c r="D740">
        <v>1</v>
      </c>
      <c r="E740">
        <v>999.99</v>
      </c>
      <c r="F740">
        <v>0.2</v>
      </c>
      <c r="G740">
        <f t="shared" si="11"/>
        <v>999.79</v>
      </c>
      <c r="H740" t="str">
        <f>_xlfn.XLOOKUP(C740,products[Product_ID],products[Product_Name],"not found",0)</f>
        <v>Surly Wednesday Frameset - 2016</v>
      </c>
      <c r="I740" t="e">
        <f>VLOOKUP(products!D740,categories[#All],2,TRUE)</f>
        <v>#N/A</v>
      </c>
    </row>
    <row r="741" spans="1:9" x14ac:dyDescent="0.3">
      <c r="A741">
        <v>740</v>
      </c>
      <c r="B741">
        <v>1</v>
      </c>
      <c r="C741">
        <v>81</v>
      </c>
      <c r="D741">
        <v>1</v>
      </c>
      <c r="E741">
        <v>1099.99</v>
      </c>
      <c r="F741">
        <v>0.05</v>
      </c>
      <c r="G741">
        <f t="shared" si="11"/>
        <v>1099.94</v>
      </c>
      <c r="H741" t="str">
        <f>_xlfn.XLOOKUP(C741,products[Product_ID],products[Product_Name],"not found",0)</f>
        <v>Electra Amsterdam Fashion 7i Ladies' - 2017</v>
      </c>
      <c r="I741" t="e">
        <f>VLOOKUP(products!D741,categories[#All],2,TRUE)</f>
        <v>#N/A</v>
      </c>
    </row>
    <row r="742" spans="1:9" x14ac:dyDescent="0.3">
      <c r="A742">
        <v>741</v>
      </c>
      <c r="B742">
        <v>1</v>
      </c>
      <c r="C742">
        <v>58</v>
      </c>
      <c r="D742">
        <v>1</v>
      </c>
      <c r="E742">
        <v>4999.99</v>
      </c>
      <c r="F742">
        <v>0.05</v>
      </c>
      <c r="G742">
        <f t="shared" si="11"/>
        <v>4999.9399999999996</v>
      </c>
      <c r="H742" t="str">
        <f>_xlfn.XLOOKUP(C742,products[Product_ID],products[Product_Name],"not found",0)</f>
        <v>Trek Madone 9.2 - 2017</v>
      </c>
      <c r="I742" t="e">
        <f>VLOOKUP(products!D742,categories[#All],2,TRUE)</f>
        <v>#N/A</v>
      </c>
    </row>
    <row r="743" spans="1:9" x14ac:dyDescent="0.3">
      <c r="A743">
        <v>742</v>
      </c>
      <c r="B743">
        <v>1</v>
      </c>
      <c r="C743">
        <v>107</v>
      </c>
      <c r="D743">
        <v>2</v>
      </c>
      <c r="E743">
        <v>416.99</v>
      </c>
      <c r="F743">
        <v>0.05</v>
      </c>
      <c r="G743">
        <f t="shared" si="11"/>
        <v>833.93000000000006</v>
      </c>
      <c r="H743" t="str">
        <f>_xlfn.XLOOKUP(C743,products[Product_ID],products[Product_Name],"not found",0)</f>
        <v>Sun Bicycles Cruz 7 - 2017</v>
      </c>
      <c r="I743" t="e">
        <f>VLOOKUP(products!D743,categories[#All],2,TRUE)</f>
        <v>#N/A</v>
      </c>
    </row>
    <row r="744" spans="1:9" x14ac:dyDescent="0.3">
      <c r="A744">
        <v>743</v>
      </c>
      <c r="B744">
        <v>1</v>
      </c>
      <c r="C744">
        <v>80</v>
      </c>
      <c r="D744">
        <v>1</v>
      </c>
      <c r="E744">
        <v>761.99</v>
      </c>
      <c r="F744">
        <v>0.05</v>
      </c>
      <c r="G744">
        <f t="shared" si="11"/>
        <v>761.94</v>
      </c>
      <c r="H744" t="str">
        <f>_xlfn.XLOOKUP(C744,products[Product_ID],products[Product_Name],"not found",0)</f>
        <v>Sun Bicycles Brickell Tandem CB - 2017</v>
      </c>
      <c r="I744" t="e">
        <f>VLOOKUP(products!D744,categories[#All],2,TRUE)</f>
        <v>#N/A</v>
      </c>
    </row>
    <row r="745" spans="1:9" x14ac:dyDescent="0.3">
      <c r="A745">
        <v>744</v>
      </c>
      <c r="B745">
        <v>1</v>
      </c>
      <c r="C745">
        <v>33</v>
      </c>
      <c r="D745">
        <v>2</v>
      </c>
      <c r="E745">
        <v>469.99</v>
      </c>
      <c r="F745">
        <v>0.2</v>
      </c>
      <c r="G745">
        <f t="shared" si="11"/>
        <v>939.78</v>
      </c>
      <c r="H745" t="str">
        <f>_xlfn.XLOOKUP(C745,products[Product_ID],products[Product_Name],"not found",0)</f>
        <v>Surly Wednesday Frameset - 2017</v>
      </c>
      <c r="I745" t="e">
        <f>VLOOKUP(products!D745,categories[#All],2,TRUE)</f>
        <v>#N/A</v>
      </c>
    </row>
    <row r="746" spans="1:9" x14ac:dyDescent="0.3">
      <c r="A746">
        <v>745</v>
      </c>
      <c r="B746">
        <v>1</v>
      </c>
      <c r="C746">
        <v>95</v>
      </c>
      <c r="D746">
        <v>2</v>
      </c>
      <c r="E746">
        <v>299.99</v>
      </c>
      <c r="F746">
        <v>0.05</v>
      </c>
      <c r="G746">
        <f t="shared" si="11"/>
        <v>599.93000000000006</v>
      </c>
      <c r="H746" t="str">
        <f>_xlfn.XLOOKUP(C746,products[Product_ID],products[Product_Name],"not found",0)</f>
        <v>Electra Girl's Hawaii 1 16" - 2017</v>
      </c>
      <c r="I746" t="e">
        <f>VLOOKUP(products!D746,categories[#All],2,TRUE)</f>
        <v>#N/A</v>
      </c>
    </row>
    <row r="747" spans="1:9" x14ac:dyDescent="0.3">
      <c r="A747">
        <v>746</v>
      </c>
      <c r="B747">
        <v>1</v>
      </c>
      <c r="C747">
        <v>99</v>
      </c>
      <c r="D747">
        <v>1</v>
      </c>
      <c r="E747">
        <v>299.99</v>
      </c>
      <c r="F747">
        <v>0.1</v>
      </c>
      <c r="G747">
        <f t="shared" si="11"/>
        <v>299.89</v>
      </c>
      <c r="H747" t="str">
        <f>_xlfn.XLOOKUP(C747,products[Product_ID],products[Product_Name],"not found",0)</f>
        <v>Electra Sugar Skulls 1 (20-inch) - Girl's - 2017</v>
      </c>
      <c r="I747" t="e">
        <f>VLOOKUP(products!D747,categories[#All],2,TRUE)</f>
        <v>#N/A</v>
      </c>
    </row>
    <row r="748" spans="1:9" x14ac:dyDescent="0.3">
      <c r="A748">
        <v>747</v>
      </c>
      <c r="B748">
        <v>1</v>
      </c>
      <c r="C748">
        <v>110</v>
      </c>
      <c r="D748">
        <v>1</v>
      </c>
      <c r="E748">
        <v>470.99</v>
      </c>
      <c r="F748">
        <v>7.0000000000000007E-2</v>
      </c>
      <c r="G748">
        <f t="shared" si="11"/>
        <v>470.92</v>
      </c>
      <c r="H748" t="str">
        <f>_xlfn.XLOOKUP(C748,products[Product_ID],products[Product_Name],"not found",0)</f>
        <v>Sun Bicycles Drifter 7 - 2017</v>
      </c>
      <c r="I748" t="e">
        <f>VLOOKUP(products!D748,categories[#All],2,TRUE)</f>
        <v>#N/A</v>
      </c>
    </row>
    <row r="749" spans="1:9" x14ac:dyDescent="0.3">
      <c r="A749">
        <v>748</v>
      </c>
      <c r="B749">
        <v>1</v>
      </c>
      <c r="C749">
        <v>16</v>
      </c>
      <c r="D749">
        <v>2</v>
      </c>
      <c r="E749">
        <v>599.99</v>
      </c>
      <c r="F749">
        <v>0.1</v>
      </c>
      <c r="G749">
        <f t="shared" si="11"/>
        <v>1199.8800000000001</v>
      </c>
      <c r="H749" t="str">
        <f>_xlfn.XLOOKUP(C749,products[Product_ID],products[Product_Name],"not found",0)</f>
        <v>Electra Townie Original 7D EQ - 2016</v>
      </c>
      <c r="I749" t="e">
        <f>VLOOKUP(products!D749,categories[#All],2,TRUE)</f>
        <v>#N/A</v>
      </c>
    </row>
    <row r="750" spans="1:9" x14ac:dyDescent="0.3">
      <c r="A750">
        <v>749</v>
      </c>
      <c r="B750">
        <v>1</v>
      </c>
      <c r="C750">
        <v>9</v>
      </c>
      <c r="D750">
        <v>1</v>
      </c>
      <c r="E750">
        <v>2999.99</v>
      </c>
      <c r="F750">
        <v>0.2</v>
      </c>
      <c r="G750">
        <f t="shared" si="11"/>
        <v>2999.79</v>
      </c>
      <c r="H750" t="str">
        <f>_xlfn.XLOOKUP(C750,products[Product_ID],products[Product_Name],"not found",0)</f>
        <v>Trek Conduit+ - 2016</v>
      </c>
      <c r="I750" t="e">
        <f>VLOOKUP(products!D750,categories[#All],2,TRUE)</f>
        <v>#N/A</v>
      </c>
    </row>
    <row r="751" spans="1:9" x14ac:dyDescent="0.3">
      <c r="A751">
        <v>750</v>
      </c>
      <c r="B751">
        <v>1</v>
      </c>
      <c r="C751">
        <v>72</v>
      </c>
      <c r="D751">
        <v>1</v>
      </c>
      <c r="E751">
        <v>619.99</v>
      </c>
      <c r="F751">
        <v>0.05</v>
      </c>
      <c r="G751">
        <f t="shared" si="11"/>
        <v>619.94000000000005</v>
      </c>
      <c r="H751" t="str">
        <f>_xlfn.XLOOKUP(C751,products[Product_ID],products[Product_Name],"not found",0)</f>
        <v>Sun Bicycles Biscayne Tandem 7 - 2017</v>
      </c>
      <c r="I751" t="e">
        <f>VLOOKUP(products!D751,categories[#All],2,TRUE)</f>
        <v>#N/A</v>
      </c>
    </row>
    <row r="752" spans="1:9" x14ac:dyDescent="0.3">
      <c r="A752">
        <v>751</v>
      </c>
      <c r="B752">
        <v>1</v>
      </c>
      <c r="C752">
        <v>45</v>
      </c>
      <c r="D752">
        <v>2</v>
      </c>
      <c r="E752">
        <v>869.99</v>
      </c>
      <c r="F752">
        <v>0.05</v>
      </c>
      <c r="G752">
        <f t="shared" si="11"/>
        <v>1739.93</v>
      </c>
      <c r="H752" t="str">
        <f>_xlfn.XLOOKUP(C752,products[Product_ID],products[Product_Name],"not found",0)</f>
        <v>Haro SR 1.2 - 2017</v>
      </c>
      <c r="I752" t="e">
        <f>VLOOKUP(products!D752,categories[#All],2,TRUE)</f>
        <v>#N/A</v>
      </c>
    </row>
    <row r="753" spans="1:9" x14ac:dyDescent="0.3">
      <c r="A753">
        <v>752</v>
      </c>
      <c r="B753">
        <v>1</v>
      </c>
      <c r="C753">
        <v>12</v>
      </c>
      <c r="D753">
        <v>2</v>
      </c>
      <c r="E753">
        <v>549.99</v>
      </c>
      <c r="F753">
        <v>0.05</v>
      </c>
      <c r="G753">
        <f t="shared" si="11"/>
        <v>1099.93</v>
      </c>
      <c r="H753" t="str">
        <f>_xlfn.XLOOKUP(C753,products[Product_ID],products[Product_Name],"not found",0)</f>
        <v>Electra Townie Original 21D - 2016</v>
      </c>
      <c r="I753" t="e">
        <f>VLOOKUP(products!D753,categories[#All],2,TRUE)</f>
        <v>#N/A</v>
      </c>
    </row>
    <row r="754" spans="1:9" x14ac:dyDescent="0.3">
      <c r="A754">
        <v>753</v>
      </c>
      <c r="B754">
        <v>1</v>
      </c>
      <c r="C754">
        <v>105</v>
      </c>
      <c r="D754">
        <v>2</v>
      </c>
      <c r="E754">
        <v>533.99</v>
      </c>
      <c r="F754">
        <v>7.0000000000000007E-2</v>
      </c>
      <c r="G754">
        <f t="shared" si="11"/>
        <v>1067.9100000000001</v>
      </c>
      <c r="H754" t="str">
        <f>_xlfn.XLOOKUP(C754,products[Product_ID],products[Product_Name],"not found",0)</f>
        <v>Sun Bicycles Streamway 7 - 2017</v>
      </c>
      <c r="I754" t="e">
        <f>VLOOKUP(products!D754,categories[#All],2,TRUE)</f>
        <v>#N/A</v>
      </c>
    </row>
    <row r="755" spans="1:9" x14ac:dyDescent="0.3">
      <c r="A755">
        <v>754</v>
      </c>
      <c r="B755">
        <v>1</v>
      </c>
      <c r="C755">
        <v>74</v>
      </c>
      <c r="D755">
        <v>2</v>
      </c>
      <c r="E755">
        <v>439.99</v>
      </c>
      <c r="F755">
        <v>7.0000000000000007E-2</v>
      </c>
      <c r="G755">
        <f t="shared" si="11"/>
        <v>879.91</v>
      </c>
      <c r="H755" t="str">
        <f>_xlfn.XLOOKUP(C755,products[Product_ID],products[Product_Name],"not found",0)</f>
        <v>Electra Cruiser Lux 1 - 2017</v>
      </c>
      <c r="I755" t="e">
        <f>VLOOKUP(products!D755,categories[#All],2,TRUE)</f>
        <v>#N/A</v>
      </c>
    </row>
    <row r="756" spans="1:9" x14ac:dyDescent="0.3">
      <c r="A756">
        <v>755</v>
      </c>
      <c r="B756">
        <v>1</v>
      </c>
      <c r="C756">
        <v>80</v>
      </c>
      <c r="D756">
        <v>2</v>
      </c>
      <c r="E756">
        <v>761.99</v>
      </c>
      <c r="F756">
        <v>7.0000000000000007E-2</v>
      </c>
      <c r="G756">
        <f t="shared" si="11"/>
        <v>1523.91</v>
      </c>
      <c r="H756" t="str">
        <f>_xlfn.XLOOKUP(C756,products[Product_ID],products[Product_Name],"not found",0)</f>
        <v>Sun Bicycles Brickell Tandem CB - 2017</v>
      </c>
      <c r="I756" t="e">
        <f>VLOOKUP(products!D756,categories[#All],2,TRUE)</f>
        <v>#N/A</v>
      </c>
    </row>
    <row r="757" spans="1:9" x14ac:dyDescent="0.3">
      <c r="A757">
        <v>756</v>
      </c>
      <c r="B757">
        <v>1</v>
      </c>
      <c r="C757">
        <v>64</v>
      </c>
      <c r="D757">
        <v>1</v>
      </c>
      <c r="E757">
        <v>489.99</v>
      </c>
      <c r="F757">
        <v>0.1</v>
      </c>
      <c r="G757">
        <f t="shared" si="11"/>
        <v>489.89</v>
      </c>
      <c r="H757" t="str">
        <f>_xlfn.XLOOKUP(C757,products[Product_ID],products[Product_Name],"not found",0)</f>
        <v>Electra Townie Original 7D - 2017</v>
      </c>
      <c r="I757" t="e">
        <f>VLOOKUP(products!D757,categories[#All],2,TRUE)</f>
        <v>#N/A</v>
      </c>
    </row>
    <row r="758" spans="1:9" x14ac:dyDescent="0.3">
      <c r="A758">
        <v>757</v>
      </c>
      <c r="B758">
        <v>1</v>
      </c>
      <c r="C758">
        <v>95</v>
      </c>
      <c r="D758">
        <v>1</v>
      </c>
      <c r="E758">
        <v>299.99</v>
      </c>
      <c r="F758">
        <v>0.1</v>
      </c>
      <c r="G758">
        <f t="shared" si="11"/>
        <v>299.89</v>
      </c>
      <c r="H758" t="str">
        <f>_xlfn.XLOOKUP(C758,products[Product_ID],products[Product_Name],"not found",0)</f>
        <v>Electra Girl's Hawaii 1 16" - 2017</v>
      </c>
      <c r="I758" t="e">
        <f>VLOOKUP(products!D758,categories[#All],2,TRUE)</f>
        <v>#N/A</v>
      </c>
    </row>
    <row r="759" spans="1:9" x14ac:dyDescent="0.3">
      <c r="A759">
        <v>758</v>
      </c>
      <c r="B759">
        <v>1</v>
      </c>
      <c r="C759">
        <v>22</v>
      </c>
      <c r="D759">
        <v>2</v>
      </c>
      <c r="E759">
        <v>269.99</v>
      </c>
      <c r="F759">
        <v>7.0000000000000007E-2</v>
      </c>
      <c r="G759">
        <f t="shared" si="11"/>
        <v>539.91</v>
      </c>
      <c r="H759" t="str">
        <f>_xlfn.XLOOKUP(C759,products[Product_ID],products[Product_Name],"not found",0)</f>
        <v>Electra Girl's Hawaii 1 (16-inch) - 2015/2016</v>
      </c>
      <c r="I759" t="e">
        <f>VLOOKUP(products!D759,categories[#All],2,TRUE)</f>
        <v>#N/A</v>
      </c>
    </row>
    <row r="760" spans="1:9" x14ac:dyDescent="0.3">
      <c r="A760">
        <v>759</v>
      </c>
      <c r="B760">
        <v>1</v>
      </c>
      <c r="C760">
        <v>93</v>
      </c>
      <c r="D760">
        <v>2</v>
      </c>
      <c r="E760">
        <v>209.99</v>
      </c>
      <c r="F760">
        <v>0.05</v>
      </c>
      <c r="G760">
        <f t="shared" si="11"/>
        <v>419.93</v>
      </c>
      <c r="H760" t="str">
        <f>_xlfn.XLOOKUP(C760,products[Product_ID],products[Product_Name],"not found",0)</f>
        <v>Haro Shredder 20 Girls - 2017</v>
      </c>
      <c r="I760" t="e">
        <f>VLOOKUP(products!D760,categories[#All],2,TRUE)</f>
        <v>#N/A</v>
      </c>
    </row>
    <row r="761" spans="1:9" x14ac:dyDescent="0.3">
      <c r="A761">
        <v>760</v>
      </c>
      <c r="B761">
        <v>1</v>
      </c>
      <c r="C761">
        <v>21</v>
      </c>
      <c r="D761">
        <v>2</v>
      </c>
      <c r="E761">
        <v>269.99</v>
      </c>
      <c r="F761">
        <v>7.0000000000000007E-2</v>
      </c>
      <c r="G761">
        <f t="shared" si="11"/>
        <v>539.91</v>
      </c>
      <c r="H761" t="str">
        <f>_xlfn.XLOOKUP(C761,products[Product_ID],products[Product_Name],"not found",0)</f>
        <v>Electra Cruiser 1 (24-Inch) - 2016</v>
      </c>
      <c r="I761" t="e">
        <f>VLOOKUP(products!D761,categories[#All],2,TRUE)</f>
        <v>#N/A</v>
      </c>
    </row>
    <row r="762" spans="1:9" x14ac:dyDescent="0.3">
      <c r="A762">
        <v>761</v>
      </c>
      <c r="B762">
        <v>1</v>
      </c>
      <c r="C762">
        <v>43</v>
      </c>
      <c r="D762">
        <v>1</v>
      </c>
      <c r="E762">
        <v>5299.99</v>
      </c>
      <c r="F762">
        <v>7.0000000000000007E-2</v>
      </c>
      <c r="G762">
        <f t="shared" si="11"/>
        <v>5299.92</v>
      </c>
      <c r="H762" t="str">
        <f>_xlfn.XLOOKUP(C762,products[Product_ID],products[Product_Name],"not found",0)</f>
        <v>Trek Fuel EX 9.8 27.5 Plus - 2017</v>
      </c>
      <c r="I762" t="e">
        <f>VLOOKUP(products!D762,categories[#All],2,TRUE)</f>
        <v>#N/A</v>
      </c>
    </row>
    <row r="763" spans="1:9" x14ac:dyDescent="0.3">
      <c r="A763">
        <v>762</v>
      </c>
      <c r="B763">
        <v>1</v>
      </c>
      <c r="C763">
        <v>102</v>
      </c>
      <c r="D763">
        <v>2</v>
      </c>
      <c r="E763">
        <v>489.99</v>
      </c>
      <c r="F763">
        <v>0.05</v>
      </c>
      <c r="G763">
        <f t="shared" si="11"/>
        <v>979.93000000000006</v>
      </c>
      <c r="H763" t="str">
        <f>_xlfn.XLOOKUP(C763,products[Product_ID],products[Product_Name],"not found",0)</f>
        <v>Electra Townie Original 7D - 2017</v>
      </c>
      <c r="I763" t="e">
        <f>VLOOKUP(products!D763,categories[#All],2,TRUE)</f>
        <v>#N/A</v>
      </c>
    </row>
    <row r="764" spans="1:9" x14ac:dyDescent="0.3">
      <c r="A764">
        <v>763</v>
      </c>
      <c r="B764">
        <v>1</v>
      </c>
      <c r="C764">
        <v>90</v>
      </c>
      <c r="D764">
        <v>1</v>
      </c>
      <c r="E764">
        <v>209.99</v>
      </c>
      <c r="F764">
        <v>7.0000000000000007E-2</v>
      </c>
      <c r="G764">
        <f t="shared" si="11"/>
        <v>209.92000000000002</v>
      </c>
      <c r="H764" t="str">
        <f>_xlfn.XLOOKUP(C764,products[Product_ID],products[Product_Name],"not found",0)</f>
        <v>Trek Precaliber 16 Girls - 2017</v>
      </c>
      <c r="I764" t="e">
        <f>VLOOKUP(products!D764,categories[#All],2,TRUE)</f>
        <v>#N/A</v>
      </c>
    </row>
    <row r="765" spans="1:9" x14ac:dyDescent="0.3">
      <c r="A765">
        <v>764</v>
      </c>
      <c r="B765">
        <v>1</v>
      </c>
      <c r="C765">
        <v>55</v>
      </c>
      <c r="D765">
        <v>1</v>
      </c>
      <c r="E765">
        <v>2699.99</v>
      </c>
      <c r="F765">
        <v>7.0000000000000007E-2</v>
      </c>
      <c r="G765">
        <f t="shared" si="11"/>
        <v>2699.9199999999996</v>
      </c>
      <c r="H765" t="str">
        <f>_xlfn.XLOOKUP(C765,products[Product_ID],products[Product_Name],"not found",0)</f>
        <v>Trek Domane S 6 - 2017</v>
      </c>
      <c r="I765" t="e">
        <f>VLOOKUP(products!D765,categories[#All],2,TRUE)</f>
        <v>#N/A</v>
      </c>
    </row>
    <row r="766" spans="1:9" x14ac:dyDescent="0.3">
      <c r="A766">
        <v>765</v>
      </c>
      <c r="B766">
        <v>1</v>
      </c>
      <c r="C766">
        <v>28</v>
      </c>
      <c r="D766">
        <v>2</v>
      </c>
      <c r="E766">
        <v>2499.9899999999998</v>
      </c>
      <c r="F766">
        <v>0.2</v>
      </c>
      <c r="G766">
        <f t="shared" si="11"/>
        <v>4999.78</v>
      </c>
      <c r="H766" t="str">
        <f>_xlfn.XLOOKUP(C766,products[Product_ID],products[Product_Name],"not found",0)</f>
        <v>Surly Karate Monkey 27.5+ Frameset - 2017</v>
      </c>
      <c r="I766" t="e">
        <f>VLOOKUP(products!D766,categories[#All],2,TRUE)</f>
        <v>#N/A</v>
      </c>
    </row>
    <row r="767" spans="1:9" x14ac:dyDescent="0.3">
      <c r="A767">
        <v>766</v>
      </c>
      <c r="B767">
        <v>1</v>
      </c>
      <c r="C767">
        <v>111</v>
      </c>
      <c r="D767">
        <v>1</v>
      </c>
      <c r="E767">
        <v>470.99</v>
      </c>
      <c r="F767">
        <v>0.2</v>
      </c>
      <c r="G767">
        <f t="shared" si="11"/>
        <v>470.79</v>
      </c>
      <c r="H767" t="str">
        <f>_xlfn.XLOOKUP(C767,products[Product_ID],products[Product_Name],"not found",0)</f>
        <v>Sun Bicycles Drifter 7 - Women's - 2017</v>
      </c>
      <c r="I767" t="e">
        <f>VLOOKUP(products!D767,categories[#All],2,TRUE)</f>
        <v>#N/A</v>
      </c>
    </row>
    <row r="768" spans="1:9" x14ac:dyDescent="0.3">
      <c r="A768">
        <v>767</v>
      </c>
      <c r="B768">
        <v>1</v>
      </c>
      <c r="C768">
        <v>63</v>
      </c>
      <c r="D768">
        <v>1</v>
      </c>
      <c r="E768">
        <v>3499.99</v>
      </c>
      <c r="F768">
        <v>0.1</v>
      </c>
      <c r="G768">
        <f t="shared" si="11"/>
        <v>3499.89</v>
      </c>
      <c r="H768" t="str">
        <f>_xlfn.XLOOKUP(C768,products[Product_ID],products[Product_Name],"not found",0)</f>
        <v>Trek Boone Race Shop Limited - 2017</v>
      </c>
      <c r="I768" t="e">
        <f>VLOOKUP(products!D768,categories[#All],2,TRUE)</f>
        <v>#N/A</v>
      </c>
    </row>
    <row r="769" spans="1:9" x14ac:dyDescent="0.3">
      <c r="A769">
        <v>768</v>
      </c>
      <c r="B769">
        <v>1</v>
      </c>
      <c r="C769">
        <v>31</v>
      </c>
      <c r="D769">
        <v>1</v>
      </c>
      <c r="E769">
        <v>1632.99</v>
      </c>
      <c r="F769">
        <v>0.2</v>
      </c>
      <c r="G769">
        <f t="shared" si="11"/>
        <v>1632.79</v>
      </c>
      <c r="H769" t="str">
        <f>_xlfn.XLOOKUP(C769,products[Product_ID],products[Product_Name],"not found",0)</f>
        <v>Surly Wednesday - 2017</v>
      </c>
      <c r="I769" t="e">
        <f>VLOOKUP(products!D769,categories[#All],2,TRUE)</f>
        <v>#N/A</v>
      </c>
    </row>
    <row r="770" spans="1:9" x14ac:dyDescent="0.3">
      <c r="A770">
        <v>769</v>
      </c>
      <c r="B770">
        <v>1</v>
      </c>
      <c r="C770">
        <v>8</v>
      </c>
      <c r="D770">
        <v>1</v>
      </c>
      <c r="E770">
        <v>1799.99</v>
      </c>
      <c r="F770">
        <v>0.1</v>
      </c>
      <c r="G770">
        <f t="shared" ref="G770:G833" si="12">(E770*D770)-F770</f>
        <v>1799.89</v>
      </c>
      <c r="H770" t="str">
        <f>_xlfn.XLOOKUP(C770,products[Product_ID],products[Product_Name],"not found",0)</f>
        <v>Trek Remedy 29 Carbon Frameset - 2016</v>
      </c>
      <c r="I770" t="e">
        <f>VLOOKUP(products!D770,categories[#All],2,TRUE)</f>
        <v>#N/A</v>
      </c>
    </row>
    <row r="771" spans="1:9" x14ac:dyDescent="0.3">
      <c r="A771">
        <v>770</v>
      </c>
      <c r="B771">
        <v>1</v>
      </c>
      <c r="C771">
        <v>110</v>
      </c>
      <c r="D771">
        <v>1</v>
      </c>
      <c r="E771">
        <v>470.99</v>
      </c>
      <c r="F771">
        <v>0.05</v>
      </c>
      <c r="G771">
        <f t="shared" si="12"/>
        <v>470.94</v>
      </c>
      <c r="H771" t="str">
        <f>_xlfn.XLOOKUP(C771,products[Product_ID],products[Product_Name],"not found",0)</f>
        <v>Sun Bicycles Drifter 7 - 2017</v>
      </c>
      <c r="I771" t="e">
        <f>VLOOKUP(products!D771,categories[#All],2,TRUE)</f>
        <v>#N/A</v>
      </c>
    </row>
    <row r="772" spans="1:9" x14ac:dyDescent="0.3">
      <c r="A772">
        <v>771</v>
      </c>
      <c r="B772">
        <v>1</v>
      </c>
      <c r="C772">
        <v>13</v>
      </c>
      <c r="D772">
        <v>2</v>
      </c>
      <c r="E772">
        <v>269.99</v>
      </c>
      <c r="F772">
        <v>0.2</v>
      </c>
      <c r="G772">
        <f t="shared" si="12"/>
        <v>539.78</v>
      </c>
      <c r="H772" t="str">
        <f>_xlfn.XLOOKUP(C772,products[Product_ID],products[Product_Name],"not found",0)</f>
        <v>Electra Cruiser 1 (24-Inch) - 2016</v>
      </c>
      <c r="I772" t="e">
        <f>VLOOKUP(products!D772,categories[#All],2,TRUE)</f>
        <v>#N/A</v>
      </c>
    </row>
    <row r="773" spans="1:9" x14ac:dyDescent="0.3">
      <c r="A773">
        <v>772</v>
      </c>
      <c r="B773">
        <v>1</v>
      </c>
      <c r="C773">
        <v>103</v>
      </c>
      <c r="D773">
        <v>1</v>
      </c>
      <c r="E773">
        <v>551.99</v>
      </c>
      <c r="F773">
        <v>7.0000000000000007E-2</v>
      </c>
      <c r="G773">
        <f t="shared" si="12"/>
        <v>551.91999999999996</v>
      </c>
      <c r="H773" t="str">
        <f>_xlfn.XLOOKUP(C773,products[Product_ID],products[Product_Name],"not found",0)</f>
        <v>Sun Bicycles Streamway 3 - 2017</v>
      </c>
      <c r="I773" t="e">
        <f>VLOOKUP(products!D773,categories[#All],2,TRUE)</f>
        <v>#N/A</v>
      </c>
    </row>
    <row r="774" spans="1:9" x14ac:dyDescent="0.3">
      <c r="A774">
        <v>773</v>
      </c>
      <c r="B774">
        <v>1</v>
      </c>
      <c r="C774">
        <v>92</v>
      </c>
      <c r="D774">
        <v>1</v>
      </c>
      <c r="E774">
        <v>209.99</v>
      </c>
      <c r="F774">
        <v>0.1</v>
      </c>
      <c r="G774">
        <f t="shared" si="12"/>
        <v>209.89000000000001</v>
      </c>
      <c r="H774" t="str">
        <f>_xlfn.XLOOKUP(C774,products[Product_ID],products[Product_Name],"not found",0)</f>
        <v>Haro Shredder 20 - 2017</v>
      </c>
      <c r="I774" t="e">
        <f>VLOOKUP(products!D774,categories[#All],2,TRUE)</f>
        <v>#N/A</v>
      </c>
    </row>
    <row r="775" spans="1:9" x14ac:dyDescent="0.3">
      <c r="A775">
        <v>774</v>
      </c>
      <c r="B775">
        <v>1</v>
      </c>
      <c r="C775">
        <v>65</v>
      </c>
      <c r="D775">
        <v>1</v>
      </c>
      <c r="E775">
        <v>346.99</v>
      </c>
      <c r="F775">
        <v>0.05</v>
      </c>
      <c r="G775">
        <f t="shared" si="12"/>
        <v>346.94</v>
      </c>
      <c r="H775" t="str">
        <f>_xlfn.XLOOKUP(C775,products[Product_ID],products[Product_Name],"not found",0)</f>
        <v>Sun Bicycles Lil Bolt Type-R - 2017</v>
      </c>
      <c r="I775" t="e">
        <f>VLOOKUP(products!D775,categories[#All],2,TRUE)</f>
        <v>#N/A</v>
      </c>
    </row>
    <row r="776" spans="1:9" x14ac:dyDescent="0.3">
      <c r="A776">
        <v>775</v>
      </c>
      <c r="B776">
        <v>1</v>
      </c>
      <c r="C776">
        <v>39</v>
      </c>
      <c r="D776">
        <v>1</v>
      </c>
      <c r="E776">
        <v>1499.99</v>
      </c>
      <c r="F776">
        <v>7.0000000000000007E-2</v>
      </c>
      <c r="G776">
        <f t="shared" si="12"/>
        <v>1499.92</v>
      </c>
      <c r="H776" t="str">
        <f>_xlfn.XLOOKUP(C776,products[Product_ID],products[Product_Name],"not found",0)</f>
        <v>Trek Stache 5 - 2017</v>
      </c>
      <c r="I776" t="e">
        <f>VLOOKUP(products!D776,categories[#All],2,TRUE)</f>
        <v>#N/A</v>
      </c>
    </row>
    <row r="777" spans="1:9" x14ac:dyDescent="0.3">
      <c r="A777">
        <v>776</v>
      </c>
      <c r="B777">
        <v>1</v>
      </c>
      <c r="C777">
        <v>28</v>
      </c>
      <c r="D777">
        <v>1</v>
      </c>
      <c r="E777">
        <v>2499.9899999999998</v>
      </c>
      <c r="F777">
        <v>0.2</v>
      </c>
      <c r="G777">
        <f t="shared" si="12"/>
        <v>2499.79</v>
      </c>
      <c r="H777" t="str">
        <f>_xlfn.XLOOKUP(C777,products[Product_ID],products[Product_Name],"not found",0)</f>
        <v>Surly Karate Monkey 27.5+ Frameset - 2017</v>
      </c>
      <c r="I777" t="e">
        <f>VLOOKUP(products!D777,categories[#All],2,TRUE)</f>
        <v>#N/A</v>
      </c>
    </row>
    <row r="778" spans="1:9" x14ac:dyDescent="0.3">
      <c r="A778">
        <v>777</v>
      </c>
      <c r="B778">
        <v>1</v>
      </c>
      <c r="C778">
        <v>5</v>
      </c>
      <c r="D778">
        <v>1</v>
      </c>
      <c r="E778">
        <v>1320.99</v>
      </c>
      <c r="F778">
        <v>0.2</v>
      </c>
      <c r="G778">
        <f t="shared" si="12"/>
        <v>1320.79</v>
      </c>
      <c r="H778" t="str">
        <f>_xlfn.XLOOKUP(C778,products[Product_ID],products[Product_Name],"not found",0)</f>
        <v>Heller Shagamaw Frame - 2016</v>
      </c>
      <c r="I778" t="e">
        <f>VLOOKUP(products!D778,categories[#All],2,TRUE)</f>
        <v>#N/A</v>
      </c>
    </row>
    <row r="779" spans="1:9" x14ac:dyDescent="0.3">
      <c r="A779">
        <v>778</v>
      </c>
      <c r="B779">
        <v>1</v>
      </c>
      <c r="C779">
        <v>64</v>
      </c>
      <c r="D779">
        <v>1</v>
      </c>
      <c r="E779">
        <v>489.99</v>
      </c>
      <c r="F779">
        <v>0.1</v>
      </c>
      <c r="G779">
        <f t="shared" si="12"/>
        <v>489.89</v>
      </c>
      <c r="H779" t="str">
        <f>_xlfn.XLOOKUP(C779,products[Product_ID],products[Product_Name],"not found",0)</f>
        <v>Electra Townie Original 7D - 2017</v>
      </c>
      <c r="I779" t="e">
        <f>VLOOKUP(products!D779,categories[#All],2,TRUE)</f>
        <v>#N/A</v>
      </c>
    </row>
    <row r="780" spans="1:9" x14ac:dyDescent="0.3">
      <c r="A780">
        <v>779</v>
      </c>
      <c r="B780">
        <v>1</v>
      </c>
      <c r="C780">
        <v>101</v>
      </c>
      <c r="D780">
        <v>1</v>
      </c>
      <c r="E780">
        <v>339.99</v>
      </c>
      <c r="F780">
        <v>0.05</v>
      </c>
      <c r="G780">
        <f t="shared" si="12"/>
        <v>339.94</v>
      </c>
      <c r="H780" t="str">
        <f>_xlfn.XLOOKUP(C780,products[Product_ID],products[Product_Name],"not found",0)</f>
        <v>Electra Townie 7D (20-inch) - Boys' - 2017</v>
      </c>
      <c r="I780" t="e">
        <f>VLOOKUP(products!D780,categories[#All],2,TRUE)</f>
        <v>#N/A</v>
      </c>
    </row>
    <row r="781" spans="1:9" x14ac:dyDescent="0.3">
      <c r="A781">
        <v>780</v>
      </c>
      <c r="B781">
        <v>1</v>
      </c>
      <c r="C781">
        <v>32</v>
      </c>
      <c r="D781">
        <v>1</v>
      </c>
      <c r="E781">
        <v>469.99</v>
      </c>
      <c r="F781">
        <v>0.1</v>
      </c>
      <c r="G781">
        <f t="shared" si="12"/>
        <v>469.89</v>
      </c>
      <c r="H781" t="str">
        <f>_xlfn.XLOOKUP(C781,products[Product_ID],products[Product_Name],"not found",0)</f>
        <v>Trek Farley Alloy Frameset - 2017</v>
      </c>
      <c r="I781" t="e">
        <f>VLOOKUP(products!D781,categories[#All],2,TRUE)</f>
        <v>#N/A</v>
      </c>
    </row>
    <row r="782" spans="1:9" x14ac:dyDescent="0.3">
      <c r="A782">
        <v>781</v>
      </c>
      <c r="B782">
        <v>1</v>
      </c>
      <c r="C782">
        <v>109</v>
      </c>
      <c r="D782">
        <v>2</v>
      </c>
      <c r="E782">
        <v>416.99</v>
      </c>
      <c r="F782">
        <v>0.05</v>
      </c>
      <c r="G782">
        <f t="shared" si="12"/>
        <v>833.93000000000006</v>
      </c>
      <c r="H782" t="str">
        <f>_xlfn.XLOOKUP(C782,products[Product_ID],products[Product_Name],"not found",0)</f>
        <v>Sun Bicycles Cruz 7 - Women's - 2017</v>
      </c>
      <c r="I782" t="e">
        <f>VLOOKUP(products!D782,categories[#All],2,TRUE)</f>
        <v>#N/A</v>
      </c>
    </row>
    <row r="783" spans="1:9" x14ac:dyDescent="0.3">
      <c r="A783">
        <v>782</v>
      </c>
      <c r="B783">
        <v>1</v>
      </c>
      <c r="C783">
        <v>20</v>
      </c>
      <c r="D783">
        <v>2</v>
      </c>
      <c r="E783">
        <v>599.99</v>
      </c>
      <c r="F783">
        <v>7.0000000000000007E-2</v>
      </c>
      <c r="G783">
        <f t="shared" si="12"/>
        <v>1199.9100000000001</v>
      </c>
      <c r="H783" t="str">
        <f>_xlfn.XLOOKUP(C783,products[Product_ID],products[Product_Name],"not found",0)</f>
        <v>Electra Townie Original 7D EQ - Women's - 2016</v>
      </c>
      <c r="I783" t="e">
        <f>VLOOKUP(products!D783,categories[#All],2,TRUE)</f>
        <v>#N/A</v>
      </c>
    </row>
    <row r="784" spans="1:9" x14ac:dyDescent="0.3">
      <c r="A784">
        <v>783</v>
      </c>
      <c r="B784">
        <v>1</v>
      </c>
      <c r="C784">
        <v>92</v>
      </c>
      <c r="D784">
        <v>1</v>
      </c>
      <c r="E784">
        <v>209.99</v>
      </c>
      <c r="F784">
        <v>0.2</v>
      </c>
      <c r="G784">
        <f t="shared" si="12"/>
        <v>209.79000000000002</v>
      </c>
      <c r="H784" t="str">
        <f>_xlfn.XLOOKUP(C784,products[Product_ID],products[Product_Name],"not found",0)</f>
        <v>Haro Shredder 20 - 2017</v>
      </c>
      <c r="I784" t="e">
        <f>VLOOKUP(products!D784,categories[#All],2,TRUE)</f>
        <v>#N/A</v>
      </c>
    </row>
    <row r="785" spans="1:9" x14ac:dyDescent="0.3">
      <c r="A785">
        <v>784</v>
      </c>
      <c r="B785">
        <v>1</v>
      </c>
      <c r="C785">
        <v>22</v>
      </c>
      <c r="D785">
        <v>1</v>
      </c>
      <c r="E785">
        <v>269.99</v>
      </c>
      <c r="F785">
        <v>7.0000000000000007E-2</v>
      </c>
      <c r="G785">
        <f t="shared" si="12"/>
        <v>269.92</v>
      </c>
      <c r="H785" t="str">
        <f>_xlfn.XLOOKUP(C785,products[Product_ID],products[Product_Name],"not found",0)</f>
        <v>Electra Girl's Hawaii 1 (16-inch) - 2015/2016</v>
      </c>
      <c r="I785" t="e">
        <f>VLOOKUP(products!D785,categories[#All],2,TRUE)</f>
        <v>#N/A</v>
      </c>
    </row>
    <row r="786" spans="1:9" x14ac:dyDescent="0.3">
      <c r="A786">
        <v>785</v>
      </c>
      <c r="B786">
        <v>1</v>
      </c>
      <c r="C786">
        <v>59</v>
      </c>
      <c r="D786">
        <v>2</v>
      </c>
      <c r="E786">
        <v>2599.9899999999998</v>
      </c>
      <c r="F786">
        <v>0.2</v>
      </c>
      <c r="G786">
        <f t="shared" si="12"/>
        <v>5199.78</v>
      </c>
      <c r="H786" t="str">
        <f>_xlfn.XLOOKUP(C786,products[Product_ID],products[Product_Name],"not found",0)</f>
        <v>Trek Domane S 5 Disc - 2017</v>
      </c>
      <c r="I786" t="e">
        <f>VLOOKUP(products!D786,categories[#All],2,TRUE)</f>
        <v>#N/A</v>
      </c>
    </row>
    <row r="787" spans="1:9" x14ac:dyDescent="0.3">
      <c r="A787">
        <v>786</v>
      </c>
      <c r="B787">
        <v>1</v>
      </c>
      <c r="C787">
        <v>80</v>
      </c>
      <c r="D787">
        <v>1</v>
      </c>
      <c r="E787">
        <v>761.99</v>
      </c>
      <c r="F787">
        <v>0.05</v>
      </c>
      <c r="G787">
        <f t="shared" si="12"/>
        <v>761.94</v>
      </c>
      <c r="H787" t="str">
        <f>_xlfn.XLOOKUP(C787,products[Product_ID],products[Product_Name],"not found",0)</f>
        <v>Sun Bicycles Brickell Tandem CB - 2017</v>
      </c>
      <c r="I787" t="e">
        <f>VLOOKUP(products!D787,categories[#All],2,TRUE)</f>
        <v>#N/A</v>
      </c>
    </row>
    <row r="788" spans="1:9" x14ac:dyDescent="0.3">
      <c r="A788">
        <v>787</v>
      </c>
      <c r="B788">
        <v>1</v>
      </c>
      <c r="C788">
        <v>51</v>
      </c>
      <c r="D788">
        <v>2</v>
      </c>
      <c r="E788">
        <v>6499.99</v>
      </c>
      <c r="F788">
        <v>7.0000000000000007E-2</v>
      </c>
      <c r="G788">
        <f t="shared" si="12"/>
        <v>12999.91</v>
      </c>
      <c r="H788" t="str">
        <f>_xlfn.XLOOKUP(C788,products[Product_ID],products[Product_Name],"not found",0)</f>
        <v>Trek Silque SLR 8 Women's - 2017</v>
      </c>
      <c r="I788" t="e">
        <f>VLOOKUP(products!D788,categories[#All],2,TRUE)</f>
        <v>#N/A</v>
      </c>
    </row>
    <row r="789" spans="1:9" x14ac:dyDescent="0.3">
      <c r="A789">
        <v>788</v>
      </c>
      <c r="B789">
        <v>1</v>
      </c>
      <c r="C789">
        <v>48</v>
      </c>
      <c r="D789">
        <v>1</v>
      </c>
      <c r="E789">
        <v>1499.99</v>
      </c>
      <c r="F789">
        <v>0.2</v>
      </c>
      <c r="G789">
        <f t="shared" si="12"/>
        <v>1499.79</v>
      </c>
      <c r="H789" t="str">
        <f>_xlfn.XLOOKUP(C789,products[Product_ID],products[Product_Name],"not found",0)</f>
        <v>Trek Emonda S 4 - 2017</v>
      </c>
      <c r="I789" t="e">
        <f>VLOOKUP(products!D789,categories[#All],2,TRUE)</f>
        <v>#N/A</v>
      </c>
    </row>
    <row r="790" spans="1:9" x14ac:dyDescent="0.3">
      <c r="A790">
        <v>789</v>
      </c>
      <c r="B790">
        <v>1</v>
      </c>
      <c r="C790">
        <v>100</v>
      </c>
      <c r="D790">
        <v>2</v>
      </c>
      <c r="E790">
        <v>489.99</v>
      </c>
      <c r="F790">
        <v>0.2</v>
      </c>
      <c r="G790">
        <f t="shared" si="12"/>
        <v>979.78</v>
      </c>
      <c r="H790" t="str">
        <f>_xlfn.XLOOKUP(C790,products[Product_ID],products[Product_Name],"not found",0)</f>
        <v>Electra Townie 3i EQ (20-inch) - Boys' - 2017</v>
      </c>
      <c r="I790" t="e">
        <f>VLOOKUP(products!D790,categories[#All],2,TRUE)</f>
        <v>#N/A</v>
      </c>
    </row>
    <row r="791" spans="1:9" x14ac:dyDescent="0.3">
      <c r="A791">
        <v>790</v>
      </c>
      <c r="B791">
        <v>1</v>
      </c>
      <c r="C791">
        <v>62</v>
      </c>
      <c r="D791">
        <v>2</v>
      </c>
      <c r="E791">
        <v>3499.99</v>
      </c>
      <c r="F791">
        <v>7.0000000000000007E-2</v>
      </c>
      <c r="G791">
        <f t="shared" si="12"/>
        <v>6999.91</v>
      </c>
      <c r="H791" t="str">
        <f>_xlfn.XLOOKUP(C791,products[Product_ID],products[Product_Name],"not found",0)</f>
        <v>Trek Boone 7 - 2017</v>
      </c>
      <c r="I791" t="e">
        <f>VLOOKUP(products!D791,categories[#All],2,TRUE)</f>
        <v>#N/A</v>
      </c>
    </row>
    <row r="792" spans="1:9" x14ac:dyDescent="0.3">
      <c r="A792">
        <v>791</v>
      </c>
      <c r="B792">
        <v>1</v>
      </c>
      <c r="C792">
        <v>54</v>
      </c>
      <c r="D792">
        <v>1</v>
      </c>
      <c r="E792">
        <v>3199.99</v>
      </c>
      <c r="F792">
        <v>0.2</v>
      </c>
      <c r="G792">
        <f t="shared" si="12"/>
        <v>3199.79</v>
      </c>
      <c r="H792" t="str">
        <f>_xlfn.XLOOKUP(C792,products[Product_ID],products[Product_Name],"not found",0)</f>
        <v>Trek Domane SL Disc Frameset - 2017</v>
      </c>
      <c r="I792" t="e">
        <f>VLOOKUP(products!D792,categories[#All],2,TRUE)</f>
        <v>#N/A</v>
      </c>
    </row>
    <row r="793" spans="1:9" x14ac:dyDescent="0.3">
      <c r="A793">
        <v>792</v>
      </c>
      <c r="B793">
        <v>1</v>
      </c>
      <c r="C793">
        <v>16</v>
      </c>
      <c r="D793">
        <v>2</v>
      </c>
      <c r="E793">
        <v>599.99</v>
      </c>
      <c r="F793">
        <v>0.2</v>
      </c>
      <c r="G793">
        <f t="shared" si="12"/>
        <v>1199.78</v>
      </c>
      <c r="H793" t="str">
        <f>_xlfn.XLOOKUP(C793,products[Product_ID],products[Product_Name],"not found",0)</f>
        <v>Electra Townie Original 7D EQ - 2016</v>
      </c>
      <c r="I793" t="e">
        <f>VLOOKUP(products!D793,categories[#All],2,TRUE)</f>
        <v>#N/A</v>
      </c>
    </row>
    <row r="794" spans="1:9" x14ac:dyDescent="0.3">
      <c r="A794">
        <v>793</v>
      </c>
      <c r="B794">
        <v>1</v>
      </c>
      <c r="C794">
        <v>60</v>
      </c>
      <c r="D794">
        <v>1</v>
      </c>
      <c r="E794">
        <v>1559.99</v>
      </c>
      <c r="F794">
        <v>0.05</v>
      </c>
      <c r="G794">
        <f t="shared" si="12"/>
        <v>1559.94</v>
      </c>
      <c r="H794" t="str">
        <f>_xlfn.XLOOKUP(C794,products[Product_ID],products[Product_Name],"not found",0)</f>
        <v>Sun Bicycles ElectroLite - 2017</v>
      </c>
      <c r="I794" t="e">
        <f>VLOOKUP(products!D794,categories[#All],2,TRUE)</f>
        <v>#N/A</v>
      </c>
    </row>
    <row r="795" spans="1:9" x14ac:dyDescent="0.3">
      <c r="A795">
        <v>794</v>
      </c>
      <c r="B795">
        <v>1</v>
      </c>
      <c r="C795">
        <v>41</v>
      </c>
      <c r="D795">
        <v>2</v>
      </c>
      <c r="E795">
        <v>1469.99</v>
      </c>
      <c r="F795">
        <v>0.05</v>
      </c>
      <c r="G795">
        <f t="shared" si="12"/>
        <v>2939.93</v>
      </c>
      <c r="H795" t="str">
        <f>_xlfn.XLOOKUP(C795,products[Product_ID],products[Product_Name],"not found",0)</f>
        <v>Haro Shift R3 - 2017</v>
      </c>
      <c r="I795" t="e">
        <f>VLOOKUP(products!D795,categories[#All],2,TRUE)</f>
        <v>#N/A</v>
      </c>
    </row>
    <row r="796" spans="1:9" x14ac:dyDescent="0.3">
      <c r="A796">
        <v>795</v>
      </c>
      <c r="B796">
        <v>1</v>
      </c>
      <c r="C796">
        <v>95</v>
      </c>
      <c r="D796">
        <v>2</v>
      </c>
      <c r="E796">
        <v>299.99</v>
      </c>
      <c r="F796">
        <v>0.05</v>
      </c>
      <c r="G796">
        <f t="shared" si="12"/>
        <v>599.93000000000006</v>
      </c>
      <c r="H796" t="str">
        <f>_xlfn.XLOOKUP(C796,products[Product_ID],products[Product_Name],"not found",0)</f>
        <v>Electra Girl's Hawaii 1 16" - 2017</v>
      </c>
      <c r="I796" t="e">
        <f>VLOOKUP(products!D796,categories[#All],2,TRUE)</f>
        <v>#N/A</v>
      </c>
    </row>
    <row r="797" spans="1:9" x14ac:dyDescent="0.3">
      <c r="A797">
        <v>796</v>
      </c>
      <c r="B797">
        <v>1</v>
      </c>
      <c r="C797">
        <v>6</v>
      </c>
      <c r="D797">
        <v>2</v>
      </c>
      <c r="E797">
        <v>469.99</v>
      </c>
      <c r="F797">
        <v>0.2</v>
      </c>
      <c r="G797">
        <f t="shared" si="12"/>
        <v>939.78</v>
      </c>
      <c r="H797" t="str">
        <f>_xlfn.XLOOKUP(C797,products[Product_ID],products[Product_Name],"not found",0)</f>
        <v>Surly Ice Cream Truck Frameset - 2016</v>
      </c>
      <c r="I797" t="e">
        <f>VLOOKUP(products!D797,categories[#All],2,TRUE)</f>
        <v>#N/A</v>
      </c>
    </row>
    <row r="798" spans="1:9" x14ac:dyDescent="0.3">
      <c r="A798">
        <v>797</v>
      </c>
      <c r="B798">
        <v>1</v>
      </c>
      <c r="C798">
        <v>11</v>
      </c>
      <c r="D798">
        <v>1</v>
      </c>
      <c r="E798">
        <v>1680.99</v>
      </c>
      <c r="F798">
        <v>7.0000000000000007E-2</v>
      </c>
      <c r="G798">
        <f t="shared" si="12"/>
        <v>1680.92</v>
      </c>
      <c r="H798" t="str">
        <f>_xlfn.XLOOKUP(C798,products[Product_ID],products[Product_Name],"not found",0)</f>
        <v>Surly Straggler 650b - 2016</v>
      </c>
      <c r="I798" t="e">
        <f>VLOOKUP(products!D798,categories[#All],2,TRUE)</f>
        <v>#N/A</v>
      </c>
    </row>
    <row r="799" spans="1:9" x14ac:dyDescent="0.3">
      <c r="A799">
        <v>798</v>
      </c>
      <c r="B799">
        <v>1</v>
      </c>
      <c r="C799">
        <v>23</v>
      </c>
      <c r="D799">
        <v>1</v>
      </c>
      <c r="E799">
        <v>299.99</v>
      </c>
      <c r="F799">
        <v>0.1</v>
      </c>
      <c r="G799">
        <f t="shared" si="12"/>
        <v>299.89</v>
      </c>
      <c r="H799" t="str">
        <f>_xlfn.XLOOKUP(C799,products[Product_ID],products[Product_Name],"not found",0)</f>
        <v>Electra Girl's Hawaii 1 (20-inch) - 2015/2016</v>
      </c>
      <c r="I799" t="e">
        <f>VLOOKUP(products!D799,categories[#All],2,TRUE)</f>
        <v>#N/A</v>
      </c>
    </row>
    <row r="800" spans="1:9" x14ac:dyDescent="0.3">
      <c r="A800">
        <v>799</v>
      </c>
      <c r="B800">
        <v>1</v>
      </c>
      <c r="C800">
        <v>5</v>
      </c>
      <c r="D800">
        <v>2</v>
      </c>
      <c r="E800">
        <v>1320.99</v>
      </c>
      <c r="F800">
        <v>0.1</v>
      </c>
      <c r="G800">
        <f t="shared" si="12"/>
        <v>2641.88</v>
      </c>
      <c r="H800" t="str">
        <f>_xlfn.XLOOKUP(C800,products[Product_ID],products[Product_Name],"not found",0)</f>
        <v>Heller Shagamaw Frame - 2016</v>
      </c>
      <c r="I800" t="e">
        <f>VLOOKUP(products!D800,categories[#All],2,TRUE)</f>
        <v>#N/A</v>
      </c>
    </row>
    <row r="801" spans="1:9" x14ac:dyDescent="0.3">
      <c r="A801">
        <v>800</v>
      </c>
      <c r="B801">
        <v>1</v>
      </c>
      <c r="C801">
        <v>65</v>
      </c>
      <c r="D801">
        <v>2</v>
      </c>
      <c r="E801">
        <v>346.99</v>
      </c>
      <c r="F801">
        <v>0.1</v>
      </c>
      <c r="G801">
        <f t="shared" si="12"/>
        <v>693.88</v>
      </c>
      <c r="H801" t="str">
        <f>_xlfn.XLOOKUP(C801,products[Product_ID],products[Product_Name],"not found",0)</f>
        <v>Sun Bicycles Lil Bolt Type-R - 2017</v>
      </c>
      <c r="I801" t="e">
        <f>VLOOKUP(products!D801,categories[#All],2,TRUE)</f>
        <v>#N/A</v>
      </c>
    </row>
    <row r="802" spans="1:9" x14ac:dyDescent="0.3">
      <c r="A802">
        <v>801</v>
      </c>
      <c r="B802">
        <v>1</v>
      </c>
      <c r="C802">
        <v>101</v>
      </c>
      <c r="D802">
        <v>1</v>
      </c>
      <c r="E802">
        <v>339.99</v>
      </c>
      <c r="F802">
        <v>7.0000000000000007E-2</v>
      </c>
      <c r="G802">
        <f t="shared" si="12"/>
        <v>339.92</v>
      </c>
      <c r="H802" t="str">
        <f>_xlfn.XLOOKUP(C802,products[Product_ID],products[Product_Name],"not found",0)</f>
        <v>Electra Townie 7D (20-inch) - Boys' - 2017</v>
      </c>
      <c r="I802" t="e">
        <f>VLOOKUP(products!D802,categories[#All],2,TRUE)</f>
        <v>#N/A</v>
      </c>
    </row>
    <row r="803" spans="1:9" x14ac:dyDescent="0.3">
      <c r="A803">
        <v>802</v>
      </c>
      <c r="B803">
        <v>1</v>
      </c>
      <c r="C803">
        <v>30</v>
      </c>
      <c r="D803">
        <v>1</v>
      </c>
      <c r="E803">
        <v>999.99</v>
      </c>
      <c r="F803">
        <v>0.05</v>
      </c>
      <c r="G803">
        <f t="shared" si="12"/>
        <v>999.94</v>
      </c>
      <c r="H803" t="str">
        <f>_xlfn.XLOOKUP(C803,products[Product_ID],products[Product_Name],"not found",0)</f>
        <v>Surly Ice Cream Truck Frameset - 2017</v>
      </c>
      <c r="I803" t="e">
        <f>VLOOKUP(products!D803,categories[#All],2,TRUE)</f>
        <v>#N/A</v>
      </c>
    </row>
    <row r="804" spans="1:9" x14ac:dyDescent="0.3">
      <c r="A804">
        <v>803</v>
      </c>
      <c r="B804">
        <v>1</v>
      </c>
      <c r="C804">
        <v>111</v>
      </c>
      <c r="D804">
        <v>1</v>
      </c>
      <c r="E804">
        <v>470.99</v>
      </c>
      <c r="F804">
        <v>7.0000000000000007E-2</v>
      </c>
      <c r="G804">
        <f t="shared" si="12"/>
        <v>470.92</v>
      </c>
      <c r="H804" t="str">
        <f>_xlfn.XLOOKUP(C804,products[Product_ID],products[Product_Name],"not found",0)</f>
        <v>Sun Bicycles Drifter 7 - Women's - 2017</v>
      </c>
      <c r="I804" t="e">
        <f>VLOOKUP(products!D804,categories[#All],2,TRUE)</f>
        <v>#N/A</v>
      </c>
    </row>
    <row r="805" spans="1:9" x14ac:dyDescent="0.3">
      <c r="A805">
        <v>804</v>
      </c>
      <c r="B805">
        <v>1</v>
      </c>
      <c r="C805">
        <v>89</v>
      </c>
      <c r="D805">
        <v>2</v>
      </c>
      <c r="E805">
        <v>209.99</v>
      </c>
      <c r="F805">
        <v>0.2</v>
      </c>
      <c r="G805">
        <f t="shared" si="12"/>
        <v>419.78000000000003</v>
      </c>
      <c r="H805" t="str">
        <f>_xlfn.XLOOKUP(C805,products[Product_ID],products[Product_Name],"not found",0)</f>
        <v>Trek Precaliber 16 Boys - 2017</v>
      </c>
      <c r="I805" t="e">
        <f>VLOOKUP(products!D805,categories[#All],2,TRUE)</f>
        <v>#N/A</v>
      </c>
    </row>
    <row r="806" spans="1:9" x14ac:dyDescent="0.3">
      <c r="A806">
        <v>805</v>
      </c>
      <c r="B806">
        <v>1</v>
      </c>
      <c r="C806">
        <v>24</v>
      </c>
      <c r="D806">
        <v>1</v>
      </c>
      <c r="E806">
        <v>549.99</v>
      </c>
      <c r="F806">
        <v>0.05</v>
      </c>
      <c r="G806">
        <f t="shared" si="12"/>
        <v>549.94000000000005</v>
      </c>
      <c r="H806" t="str">
        <f>_xlfn.XLOOKUP(C806,products[Product_ID],products[Product_Name],"not found",0)</f>
        <v>Electra Townie Original 21D - 2016</v>
      </c>
      <c r="I806" t="e">
        <f>VLOOKUP(products!D806,categories[#All],2,TRUE)</f>
        <v>#N/A</v>
      </c>
    </row>
    <row r="807" spans="1:9" x14ac:dyDescent="0.3">
      <c r="A807">
        <v>806</v>
      </c>
      <c r="B807">
        <v>1</v>
      </c>
      <c r="C807">
        <v>93</v>
      </c>
      <c r="D807">
        <v>2</v>
      </c>
      <c r="E807">
        <v>209.99</v>
      </c>
      <c r="F807">
        <v>0.1</v>
      </c>
      <c r="G807">
        <f t="shared" si="12"/>
        <v>419.88</v>
      </c>
      <c r="H807" t="str">
        <f>_xlfn.XLOOKUP(C807,products[Product_ID],products[Product_Name],"not found",0)</f>
        <v>Haro Shredder 20 Girls - 2017</v>
      </c>
      <c r="I807" t="e">
        <f>VLOOKUP(products!D807,categories[#All],2,TRUE)</f>
        <v>#N/A</v>
      </c>
    </row>
    <row r="808" spans="1:9" x14ac:dyDescent="0.3">
      <c r="A808">
        <v>807</v>
      </c>
      <c r="B808">
        <v>1</v>
      </c>
      <c r="C808">
        <v>21</v>
      </c>
      <c r="D808">
        <v>2</v>
      </c>
      <c r="E808">
        <v>269.99</v>
      </c>
      <c r="F808">
        <v>0.2</v>
      </c>
      <c r="G808">
        <f t="shared" si="12"/>
        <v>539.78</v>
      </c>
      <c r="H808" t="str">
        <f>_xlfn.XLOOKUP(C808,products[Product_ID],products[Product_Name],"not found",0)</f>
        <v>Electra Cruiser 1 (24-Inch) - 2016</v>
      </c>
      <c r="I808" t="e">
        <f>VLOOKUP(products!D808,categories[#All],2,TRUE)</f>
        <v>#N/A</v>
      </c>
    </row>
    <row r="809" spans="1:9" x14ac:dyDescent="0.3">
      <c r="A809">
        <v>808</v>
      </c>
      <c r="B809">
        <v>1</v>
      </c>
      <c r="C809">
        <v>96</v>
      </c>
      <c r="D809">
        <v>2</v>
      </c>
      <c r="E809">
        <v>349.99</v>
      </c>
      <c r="F809">
        <v>0.05</v>
      </c>
      <c r="G809">
        <f t="shared" si="12"/>
        <v>699.93000000000006</v>
      </c>
      <c r="H809" t="str">
        <f>_xlfn.XLOOKUP(C809,products[Product_ID],products[Product_Name],"not found",0)</f>
        <v>Electra Moto 3i (20-inch) - Boy's - 2017</v>
      </c>
      <c r="I809" t="e">
        <f>VLOOKUP(products!D809,categories[#All],2,TRUE)</f>
        <v>#N/A</v>
      </c>
    </row>
    <row r="810" spans="1:9" x14ac:dyDescent="0.3">
      <c r="A810">
        <v>809</v>
      </c>
      <c r="B810">
        <v>1</v>
      </c>
      <c r="C810">
        <v>78</v>
      </c>
      <c r="D810">
        <v>1</v>
      </c>
      <c r="E810">
        <v>647.99</v>
      </c>
      <c r="F810">
        <v>0.1</v>
      </c>
      <c r="G810">
        <f t="shared" si="12"/>
        <v>647.89</v>
      </c>
      <c r="H810" t="str">
        <f>_xlfn.XLOOKUP(C810,products[Product_ID],products[Product_Name],"not found",0)</f>
        <v>Sun Bicycles Biscayne Tandem CB - 2017</v>
      </c>
      <c r="I810" t="e">
        <f>VLOOKUP(products!D810,categories[#All],2,TRUE)</f>
        <v>#N/A</v>
      </c>
    </row>
    <row r="811" spans="1:9" x14ac:dyDescent="0.3">
      <c r="A811">
        <v>810</v>
      </c>
      <c r="B811">
        <v>1</v>
      </c>
      <c r="C811">
        <v>103</v>
      </c>
      <c r="D811">
        <v>2</v>
      </c>
      <c r="E811">
        <v>551.99</v>
      </c>
      <c r="F811">
        <v>0.05</v>
      </c>
      <c r="G811">
        <f t="shared" si="12"/>
        <v>1103.93</v>
      </c>
      <c r="H811" t="str">
        <f>_xlfn.XLOOKUP(C811,products[Product_ID],products[Product_Name],"not found",0)</f>
        <v>Sun Bicycles Streamway 3 - 2017</v>
      </c>
      <c r="I811" t="e">
        <f>VLOOKUP(products!D811,categories[#All],2,TRUE)</f>
        <v>#N/A</v>
      </c>
    </row>
    <row r="812" spans="1:9" x14ac:dyDescent="0.3">
      <c r="A812">
        <v>811</v>
      </c>
      <c r="B812">
        <v>1</v>
      </c>
      <c r="C812">
        <v>45</v>
      </c>
      <c r="D812">
        <v>2</v>
      </c>
      <c r="E812">
        <v>869.99</v>
      </c>
      <c r="F812">
        <v>7.0000000000000007E-2</v>
      </c>
      <c r="G812">
        <f t="shared" si="12"/>
        <v>1739.91</v>
      </c>
      <c r="H812" t="str">
        <f>_xlfn.XLOOKUP(C812,products[Product_ID],products[Product_Name],"not found",0)</f>
        <v>Haro SR 1.2 - 2017</v>
      </c>
      <c r="I812" t="e">
        <f>VLOOKUP(products!D812,categories[#All],2,TRUE)</f>
        <v>#N/A</v>
      </c>
    </row>
    <row r="813" spans="1:9" x14ac:dyDescent="0.3">
      <c r="A813">
        <v>812</v>
      </c>
      <c r="B813">
        <v>1</v>
      </c>
      <c r="C813">
        <v>76</v>
      </c>
      <c r="D813">
        <v>2</v>
      </c>
      <c r="E813">
        <v>299.99</v>
      </c>
      <c r="F813">
        <v>0.1</v>
      </c>
      <c r="G813">
        <f t="shared" si="12"/>
        <v>599.88</v>
      </c>
      <c r="H813" t="str">
        <f>_xlfn.XLOOKUP(C813,products[Product_ID],products[Product_Name],"not found",0)</f>
        <v>Electra Girl's Hawaii 1 16" - 2017</v>
      </c>
      <c r="I813" t="e">
        <f>VLOOKUP(products!D813,categories[#All],2,TRUE)</f>
        <v>#N/A</v>
      </c>
    </row>
    <row r="814" spans="1:9" x14ac:dyDescent="0.3">
      <c r="A814">
        <v>813</v>
      </c>
      <c r="B814">
        <v>1</v>
      </c>
      <c r="C814">
        <v>96</v>
      </c>
      <c r="D814">
        <v>2</v>
      </c>
      <c r="E814">
        <v>349.99</v>
      </c>
      <c r="F814">
        <v>0.1</v>
      </c>
      <c r="G814">
        <f t="shared" si="12"/>
        <v>699.88</v>
      </c>
      <c r="H814" t="str">
        <f>_xlfn.XLOOKUP(C814,products[Product_ID],products[Product_Name],"not found",0)</f>
        <v>Electra Moto 3i (20-inch) - Boy's - 2017</v>
      </c>
      <c r="I814" t="e">
        <f>VLOOKUP(products!D814,categories[#All],2,TRUE)</f>
        <v>#N/A</v>
      </c>
    </row>
    <row r="815" spans="1:9" x14ac:dyDescent="0.3">
      <c r="A815">
        <v>814</v>
      </c>
      <c r="B815">
        <v>1</v>
      </c>
      <c r="C815">
        <v>69</v>
      </c>
      <c r="D815">
        <v>2</v>
      </c>
      <c r="E815">
        <v>416.99</v>
      </c>
      <c r="F815">
        <v>0.1</v>
      </c>
      <c r="G815">
        <f t="shared" si="12"/>
        <v>833.88</v>
      </c>
      <c r="H815" t="str">
        <f>_xlfn.XLOOKUP(C815,products[Product_ID],products[Product_Name],"not found",0)</f>
        <v>Sun Bicycles Cruz 7 - 2017</v>
      </c>
      <c r="I815" t="e">
        <f>VLOOKUP(products!D815,categories[#All],2,TRUE)</f>
        <v>#N/A</v>
      </c>
    </row>
    <row r="816" spans="1:9" x14ac:dyDescent="0.3">
      <c r="A816">
        <v>815</v>
      </c>
      <c r="B816">
        <v>1</v>
      </c>
      <c r="C816">
        <v>105</v>
      </c>
      <c r="D816">
        <v>2</v>
      </c>
      <c r="E816">
        <v>533.99</v>
      </c>
      <c r="F816">
        <v>0.2</v>
      </c>
      <c r="G816">
        <f t="shared" si="12"/>
        <v>1067.78</v>
      </c>
      <c r="H816" t="str">
        <f>_xlfn.XLOOKUP(C816,products[Product_ID],products[Product_Name],"not found",0)</f>
        <v>Sun Bicycles Streamway 7 - 2017</v>
      </c>
      <c r="I816" t="e">
        <f>VLOOKUP(products!D816,categories[#All],2,TRUE)</f>
        <v>#N/A</v>
      </c>
    </row>
    <row r="817" spans="1:9" x14ac:dyDescent="0.3">
      <c r="A817">
        <v>816</v>
      </c>
      <c r="B817">
        <v>1</v>
      </c>
      <c r="C817">
        <v>75</v>
      </c>
      <c r="D817">
        <v>2</v>
      </c>
      <c r="E817">
        <v>599.99</v>
      </c>
      <c r="F817">
        <v>0.1</v>
      </c>
      <c r="G817">
        <f t="shared" si="12"/>
        <v>1199.8800000000001</v>
      </c>
      <c r="H817" t="str">
        <f>_xlfn.XLOOKUP(C817,products[Product_ID],products[Product_Name],"not found",0)</f>
        <v>Electra Cruiser Lux Fat Tire 1 Ladies - 2017</v>
      </c>
      <c r="I817" t="e">
        <f>VLOOKUP(products!D817,categories[#All],2,TRUE)</f>
        <v>#N/A</v>
      </c>
    </row>
    <row r="818" spans="1:9" x14ac:dyDescent="0.3">
      <c r="A818">
        <v>817</v>
      </c>
      <c r="B818">
        <v>1</v>
      </c>
      <c r="C818">
        <v>85</v>
      </c>
      <c r="D818">
        <v>1</v>
      </c>
      <c r="E818">
        <v>329.99</v>
      </c>
      <c r="F818">
        <v>0.05</v>
      </c>
      <c r="G818">
        <f t="shared" si="12"/>
        <v>329.94</v>
      </c>
      <c r="H818" t="str">
        <f>_xlfn.XLOOKUP(C818,products[Product_ID],products[Product_Name],"not found",0)</f>
        <v>Haro Downtown 16 - 2017</v>
      </c>
      <c r="I818" t="e">
        <f>VLOOKUP(products!D818,categories[#All],2,TRUE)</f>
        <v>#N/A</v>
      </c>
    </row>
    <row r="819" spans="1:9" x14ac:dyDescent="0.3">
      <c r="A819">
        <v>818</v>
      </c>
      <c r="B819">
        <v>1</v>
      </c>
      <c r="C819">
        <v>103</v>
      </c>
      <c r="D819">
        <v>1</v>
      </c>
      <c r="E819">
        <v>551.99</v>
      </c>
      <c r="F819">
        <v>0.05</v>
      </c>
      <c r="G819">
        <f t="shared" si="12"/>
        <v>551.94000000000005</v>
      </c>
      <c r="H819" t="str">
        <f>_xlfn.XLOOKUP(C819,products[Product_ID],products[Product_Name],"not found",0)</f>
        <v>Sun Bicycles Streamway 3 - 2017</v>
      </c>
      <c r="I819" t="e">
        <f>VLOOKUP(products!D819,categories[#All],2,TRUE)</f>
        <v>#N/A</v>
      </c>
    </row>
    <row r="820" spans="1:9" x14ac:dyDescent="0.3">
      <c r="A820">
        <v>819</v>
      </c>
      <c r="B820">
        <v>1</v>
      </c>
      <c r="C820">
        <v>94</v>
      </c>
      <c r="D820">
        <v>1</v>
      </c>
      <c r="E820">
        <v>249.99</v>
      </c>
      <c r="F820">
        <v>0.2</v>
      </c>
      <c r="G820">
        <f t="shared" si="12"/>
        <v>249.79000000000002</v>
      </c>
      <c r="H820" t="str">
        <f>_xlfn.XLOOKUP(C820,products[Product_ID],products[Product_Name],"not found",0)</f>
        <v>Haro Shredder Pro 20 - 2017</v>
      </c>
      <c r="I820" t="e">
        <f>VLOOKUP(products!D820,categories[#All],2,TRUE)</f>
        <v>#N/A</v>
      </c>
    </row>
    <row r="821" spans="1:9" x14ac:dyDescent="0.3">
      <c r="A821">
        <v>820</v>
      </c>
      <c r="B821">
        <v>1</v>
      </c>
      <c r="C821">
        <v>107</v>
      </c>
      <c r="D821">
        <v>1</v>
      </c>
      <c r="E821">
        <v>416.99</v>
      </c>
      <c r="F821">
        <v>0.05</v>
      </c>
      <c r="G821">
        <f t="shared" si="12"/>
        <v>416.94</v>
      </c>
      <c r="H821" t="str">
        <f>_xlfn.XLOOKUP(C821,products[Product_ID],products[Product_Name],"not found",0)</f>
        <v>Sun Bicycles Cruz 7 - 2017</v>
      </c>
      <c r="I821" t="e">
        <f>VLOOKUP(products!D821,categories[#All],2,TRUE)</f>
        <v>#N/A</v>
      </c>
    </row>
    <row r="822" spans="1:9" x14ac:dyDescent="0.3">
      <c r="A822">
        <v>821</v>
      </c>
      <c r="B822">
        <v>1</v>
      </c>
      <c r="C822">
        <v>102</v>
      </c>
      <c r="D822">
        <v>1</v>
      </c>
      <c r="E822">
        <v>489.99</v>
      </c>
      <c r="F822">
        <v>7.0000000000000007E-2</v>
      </c>
      <c r="G822">
        <f t="shared" si="12"/>
        <v>489.92</v>
      </c>
      <c r="H822" t="str">
        <f>_xlfn.XLOOKUP(C822,products[Product_ID],products[Product_Name],"not found",0)</f>
        <v>Electra Townie Original 7D - 2017</v>
      </c>
      <c r="I822" t="e">
        <f>VLOOKUP(products!D822,categories[#All],2,TRUE)</f>
        <v>#N/A</v>
      </c>
    </row>
    <row r="823" spans="1:9" x14ac:dyDescent="0.3">
      <c r="A823">
        <v>822</v>
      </c>
      <c r="B823">
        <v>1</v>
      </c>
      <c r="C823">
        <v>53</v>
      </c>
      <c r="D823">
        <v>1</v>
      </c>
      <c r="E823">
        <v>749.99</v>
      </c>
      <c r="F823">
        <v>0.05</v>
      </c>
      <c r="G823">
        <f t="shared" si="12"/>
        <v>749.94</v>
      </c>
      <c r="H823" t="str">
        <f>_xlfn.XLOOKUP(C823,products[Product_ID],products[Product_Name],"not found",0)</f>
        <v>Surly Ogre Frameset - 2017</v>
      </c>
      <c r="I823" t="e">
        <f>VLOOKUP(products!D823,categories[#All],2,TRUE)</f>
        <v>#N/A</v>
      </c>
    </row>
    <row r="824" spans="1:9" x14ac:dyDescent="0.3">
      <c r="A824">
        <v>823</v>
      </c>
      <c r="B824">
        <v>1</v>
      </c>
      <c r="C824">
        <v>56</v>
      </c>
      <c r="D824">
        <v>2</v>
      </c>
      <c r="E824">
        <v>5499.99</v>
      </c>
      <c r="F824">
        <v>7.0000000000000007E-2</v>
      </c>
      <c r="G824">
        <f t="shared" si="12"/>
        <v>10999.91</v>
      </c>
      <c r="H824" t="str">
        <f>_xlfn.XLOOKUP(C824,products[Product_ID],products[Product_Name],"not found",0)</f>
        <v>Trek Domane SLR 6 Disc - 2017</v>
      </c>
      <c r="I824" t="e">
        <f>VLOOKUP(products!D824,categories[#All],2,TRUE)</f>
        <v>#N/A</v>
      </c>
    </row>
    <row r="825" spans="1:9" x14ac:dyDescent="0.3">
      <c r="A825">
        <v>824</v>
      </c>
      <c r="B825">
        <v>1</v>
      </c>
      <c r="C825">
        <v>92</v>
      </c>
      <c r="D825">
        <v>2</v>
      </c>
      <c r="E825">
        <v>209.99</v>
      </c>
      <c r="F825">
        <v>0.1</v>
      </c>
      <c r="G825">
        <f t="shared" si="12"/>
        <v>419.88</v>
      </c>
      <c r="H825" t="str">
        <f>_xlfn.XLOOKUP(C825,products[Product_ID],products[Product_Name],"not found",0)</f>
        <v>Haro Shredder 20 - 2017</v>
      </c>
      <c r="I825" t="e">
        <f>VLOOKUP(products!D825,categories[#All],2,TRUE)</f>
        <v>#N/A</v>
      </c>
    </row>
    <row r="826" spans="1:9" x14ac:dyDescent="0.3">
      <c r="A826">
        <v>825</v>
      </c>
      <c r="B826">
        <v>1</v>
      </c>
      <c r="C826">
        <v>19</v>
      </c>
      <c r="D826">
        <v>1</v>
      </c>
      <c r="E826">
        <v>449</v>
      </c>
      <c r="F826">
        <v>0.1</v>
      </c>
      <c r="G826">
        <f t="shared" si="12"/>
        <v>448.9</v>
      </c>
      <c r="H826" t="str">
        <f>_xlfn.XLOOKUP(C826,products[Product_ID],products[Product_Name],"not found",0)</f>
        <v>Pure Cycles William 3-Speed - 2016</v>
      </c>
      <c r="I826" t="e">
        <f>VLOOKUP(products!D826,categories[#All],2,TRUE)</f>
        <v>#N/A</v>
      </c>
    </row>
    <row r="827" spans="1:9" x14ac:dyDescent="0.3">
      <c r="A827">
        <v>826</v>
      </c>
      <c r="B827">
        <v>1</v>
      </c>
      <c r="C827">
        <v>45</v>
      </c>
      <c r="D827">
        <v>2</v>
      </c>
      <c r="E827">
        <v>869.99</v>
      </c>
      <c r="F827">
        <v>0.2</v>
      </c>
      <c r="G827">
        <f t="shared" si="12"/>
        <v>1739.78</v>
      </c>
      <c r="H827" t="str">
        <f>_xlfn.XLOOKUP(C827,products[Product_ID],products[Product_Name],"not found",0)</f>
        <v>Haro SR 1.2 - 2017</v>
      </c>
      <c r="I827" t="e">
        <f>VLOOKUP(products!D827,categories[#All],2,TRUE)</f>
        <v>#N/A</v>
      </c>
    </row>
    <row r="828" spans="1:9" x14ac:dyDescent="0.3">
      <c r="A828">
        <v>827</v>
      </c>
      <c r="B828">
        <v>1</v>
      </c>
      <c r="C828">
        <v>43</v>
      </c>
      <c r="D828">
        <v>1</v>
      </c>
      <c r="E828">
        <v>5299.99</v>
      </c>
      <c r="F828">
        <v>0.05</v>
      </c>
      <c r="G828">
        <f t="shared" si="12"/>
        <v>5299.94</v>
      </c>
      <c r="H828" t="str">
        <f>_xlfn.XLOOKUP(C828,products[Product_ID],products[Product_Name],"not found",0)</f>
        <v>Trek Fuel EX 9.8 27.5 Plus - 2017</v>
      </c>
      <c r="I828" t="e">
        <f>VLOOKUP(products!D828,categories[#All],2,TRUE)</f>
        <v>#N/A</v>
      </c>
    </row>
    <row r="829" spans="1:9" x14ac:dyDescent="0.3">
      <c r="A829">
        <v>828</v>
      </c>
      <c r="B829">
        <v>1</v>
      </c>
      <c r="C829">
        <v>25</v>
      </c>
      <c r="D829">
        <v>2</v>
      </c>
      <c r="E829">
        <v>499.99</v>
      </c>
      <c r="F829">
        <v>0.2</v>
      </c>
      <c r="G829">
        <f t="shared" si="12"/>
        <v>999.78</v>
      </c>
      <c r="H829" t="str">
        <f>_xlfn.XLOOKUP(C829,products[Product_ID],products[Product_Name],"not found",0)</f>
        <v>Electra Townie Original 7D - 2015/2016</v>
      </c>
      <c r="I829" t="e">
        <f>VLOOKUP(products!D829,categories[#All],2,TRUE)</f>
        <v>#N/A</v>
      </c>
    </row>
    <row r="830" spans="1:9" x14ac:dyDescent="0.3">
      <c r="A830">
        <v>829</v>
      </c>
      <c r="B830">
        <v>1</v>
      </c>
      <c r="C830">
        <v>103</v>
      </c>
      <c r="D830">
        <v>1</v>
      </c>
      <c r="E830">
        <v>551.99</v>
      </c>
      <c r="F830">
        <v>0.2</v>
      </c>
      <c r="G830">
        <f t="shared" si="12"/>
        <v>551.79</v>
      </c>
      <c r="H830" t="str">
        <f>_xlfn.XLOOKUP(C830,products[Product_ID],products[Product_Name],"not found",0)</f>
        <v>Sun Bicycles Streamway 3 - 2017</v>
      </c>
      <c r="I830" t="e">
        <f>VLOOKUP(products!D830,categories[#All],2,TRUE)</f>
        <v>#N/A</v>
      </c>
    </row>
    <row r="831" spans="1:9" x14ac:dyDescent="0.3">
      <c r="A831">
        <v>830</v>
      </c>
      <c r="B831">
        <v>1</v>
      </c>
      <c r="C831">
        <v>85</v>
      </c>
      <c r="D831">
        <v>2</v>
      </c>
      <c r="E831">
        <v>329.99</v>
      </c>
      <c r="F831">
        <v>0.2</v>
      </c>
      <c r="G831">
        <f t="shared" si="12"/>
        <v>659.78</v>
      </c>
      <c r="H831" t="str">
        <f>_xlfn.XLOOKUP(C831,products[Product_ID],products[Product_Name],"not found",0)</f>
        <v>Haro Downtown 16 - 2017</v>
      </c>
      <c r="I831" t="e">
        <f>VLOOKUP(products!D831,categories[#All],2,TRUE)</f>
        <v>#N/A</v>
      </c>
    </row>
    <row r="832" spans="1:9" x14ac:dyDescent="0.3">
      <c r="A832">
        <v>831</v>
      </c>
      <c r="B832">
        <v>1</v>
      </c>
      <c r="C832">
        <v>67</v>
      </c>
      <c r="D832">
        <v>1</v>
      </c>
      <c r="E832">
        <v>250.99</v>
      </c>
      <c r="F832">
        <v>0.2</v>
      </c>
      <c r="G832">
        <f t="shared" si="12"/>
        <v>250.79000000000002</v>
      </c>
      <c r="H832" t="str">
        <f>_xlfn.XLOOKUP(C832,products[Product_ID],products[Product_Name],"not found",0)</f>
        <v>Sun Bicycles Revolutions 24 - Girl's - 2017</v>
      </c>
      <c r="I832" t="e">
        <f>VLOOKUP(products!D832,categories[#All],2,TRUE)</f>
        <v>#N/A</v>
      </c>
    </row>
    <row r="833" spans="1:9" x14ac:dyDescent="0.3">
      <c r="A833">
        <v>832</v>
      </c>
      <c r="B833">
        <v>1</v>
      </c>
      <c r="C833">
        <v>54</v>
      </c>
      <c r="D833">
        <v>1</v>
      </c>
      <c r="E833">
        <v>3199.99</v>
      </c>
      <c r="F833">
        <v>0.05</v>
      </c>
      <c r="G833">
        <f t="shared" si="12"/>
        <v>3199.9399999999996</v>
      </c>
      <c r="H833" t="str">
        <f>_xlfn.XLOOKUP(C833,products[Product_ID],products[Product_Name],"not found",0)</f>
        <v>Trek Domane SL Disc Frameset - 2017</v>
      </c>
      <c r="I833" t="e">
        <f>VLOOKUP(products!D833,categories[#All],2,TRUE)</f>
        <v>#N/A</v>
      </c>
    </row>
    <row r="834" spans="1:9" x14ac:dyDescent="0.3">
      <c r="A834">
        <v>833</v>
      </c>
      <c r="B834">
        <v>1</v>
      </c>
      <c r="C834">
        <v>20</v>
      </c>
      <c r="D834">
        <v>2</v>
      </c>
      <c r="E834">
        <v>599.99</v>
      </c>
      <c r="F834">
        <v>0.05</v>
      </c>
      <c r="G834">
        <f t="shared" ref="G834:G897" si="13">(E834*D834)-F834</f>
        <v>1199.93</v>
      </c>
      <c r="H834" t="str">
        <f>_xlfn.XLOOKUP(C834,products[Product_ID],products[Product_Name],"not found",0)</f>
        <v>Electra Townie Original 7D EQ - Women's - 2016</v>
      </c>
      <c r="I834" t="e">
        <f>VLOOKUP(products!D834,categories[#All],2,TRUE)</f>
        <v>#N/A</v>
      </c>
    </row>
    <row r="835" spans="1:9" x14ac:dyDescent="0.3">
      <c r="A835">
        <v>834</v>
      </c>
      <c r="B835">
        <v>1</v>
      </c>
      <c r="C835">
        <v>54</v>
      </c>
      <c r="D835">
        <v>1</v>
      </c>
      <c r="E835">
        <v>3199.99</v>
      </c>
      <c r="F835">
        <v>7.0000000000000007E-2</v>
      </c>
      <c r="G835">
        <f t="shared" si="13"/>
        <v>3199.9199999999996</v>
      </c>
      <c r="H835" t="str">
        <f>_xlfn.XLOOKUP(C835,products[Product_ID],products[Product_Name],"not found",0)</f>
        <v>Trek Domane SL Disc Frameset - 2017</v>
      </c>
      <c r="I835" t="e">
        <f>VLOOKUP(products!D835,categories[#All],2,TRUE)</f>
        <v>#N/A</v>
      </c>
    </row>
    <row r="836" spans="1:9" x14ac:dyDescent="0.3">
      <c r="A836">
        <v>835</v>
      </c>
      <c r="B836">
        <v>1</v>
      </c>
      <c r="C836">
        <v>65</v>
      </c>
      <c r="D836">
        <v>2</v>
      </c>
      <c r="E836">
        <v>346.99</v>
      </c>
      <c r="F836">
        <v>7.0000000000000007E-2</v>
      </c>
      <c r="G836">
        <f t="shared" si="13"/>
        <v>693.91</v>
      </c>
      <c r="H836" t="str">
        <f>_xlfn.XLOOKUP(C836,products[Product_ID],products[Product_Name],"not found",0)</f>
        <v>Sun Bicycles Lil Bolt Type-R - 2017</v>
      </c>
      <c r="I836" t="e">
        <f>VLOOKUP(products!D836,categories[#All],2,TRUE)</f>
        <v>#N/A</v>
      </c>
    </row>
    <row r="837" spans="1:9" x14ac:dyDescent="0.3">
      <c r="A837">
        <v>836</v>
      </c>
      <c r="B837">
        <v>1</v>
      </c>
      <c r="C837">
        <v>108</v>
      </c>
      <c r="D837">
        <v>2</v>
      </c>
      <c r="E837">
        <v>449.99</v>
      </c>
      <c r="F837">
        <v>0.2</v>
      </c>
      <c r="G837">
        <f t="shared" si="13"/>
        <v>899.78</v>
      </c>
      <c r="H837" t="str">
        <f>_xlfn.XLOOKUP(C837,products[Product_ID],products[Product_Name],"not found",0)</f>
        <v>Sun Bicycles Cruz 3 - Women's - 2017</v>
      </c>
      <c r="I837" t="e">
        <f>VLOOKUP(products!D837,categories[#All],2,TRUE)</f>
        <v>#N/A</v>
      </c>
    </row>
    <row r="838" spans="1:9" x14ac:dyDescent="0.3">
      <c r="A838">
        <v>837</v>
      </c>
      <c r="B838">
        <v>1</v>
      </c>
      <c r="C838">
        <v>51</v>
      </c>
      <c r="D838">
        <v>1</v>
      </c>
      <c r="E838">
        <v>6499.99</v>
      </c>
      <c r="F838">
        <v>0.05</v>
      </c>
      <c r="G838">
        <f t="shared" si="13"/>
        <v>6499.94</v>
      </c>
      <c r="H838" t="str">
        <f>_xlfn.XLOOKUP(C838,products[Product_ID],products[Product_Name],"not found",0)</f>
        <v>Trek Silque SLR 8 Women's - 2017</v>
      </c>
      <c r="I838" t="e">
        <f>VLOOKUP(products!D838,categories[#All],2,TRUE)</f>
        <v>#N/A</v>
      </c>
    </row>
    <row r="839" spans="1:9" x14ac:dyDescent="0.3">
      <c r="A839">
        <v>838</v>
      </c>
      <c r="B839">
        <v>1</v>
      </c>
      <c r="C839">
        <v>28</v>
      </c>
      <c r="D839">
        <v>1</v>
      </c>
      <c r="E839">
        <v>2499.9899999999998</v>
      </c>
      <c r="F839">
        <v>0.1</v>
      </c>
      <c r="G839">
        <f t="shared" si="13"/>
        <v>2499.89</v>
      </c>
      <c r="H839" t="str">
        <f>_xlfn.XLOOKUP(C839,products[Product_ID],products[Product_Name],"not found",0)</f>
        <v>Surly Karate Monkey 27.5+ Frameset - 2017</v>
      </c>
      <c r="I839" t="e">
        <f>VLOOKUP(products!D839,categories[#All],2,TRUE)</f>
        <v>#N/A</v>
      </c>
    </row>
    <row r="840" spans="1:9" x14ac:dyDescent="0.3">
      <c r="A840">
        <v>839</v>
      </c>
      <c r="B840">
        <v>1</v>
      </c>
      <c r="C840">
        <v>55</v>
      </c>
      <c r="D840">
        <v>1</v>
      </c>
      <c r="E840">
        <v>2699.99</v>
      </c>
      <c r="F840">
        <v>7.0000000000000007E-2</v>
      </c>
      <c r="G840">
        <f t="shared" si="13"/>
        <v>2699.9199999999996</v>
      </c>
      <c r="H840" t="str">
        <f>_xlfn.XLOOKUP(C840,products[Product_ID],products[Product_Name],"not found",0)</f>
        <v>Trek Domane S 6 - 2017</v>
      </c>
      <c r="I840" t="e">
        <f>VLOOKUP(products!D840,categories[#All],2,TRUE)</f>
        <v>#N/A</v>
      </c>
    </row>
    <row r="841" spans="1:9" x14ac:dyDescent="0.3">
      <c r="A841">
        <v>840</v>
      </c>
      <c r="B841">
        <v>1</v>
      </c>
      <c r="C841">
        <v>27</v>
      </c>
      <c r="D841">
        <v>1</v>
      </c>
      <c r="E841">
        <v>999.99</v>
      </c>
      <c r="F841">
        <v>7.0000000000000007E-2</v>
      </c>
      <c r="G841">
        <f t="shared" si="13"/>
        <v>999.92</v>
      </c>
      <c r="H841" t="str">
        <f>_xlfn.XLOOKUP(C841,products[Product_ID],products[Product_Name],"not found",0)</f>
        <v>Surly Big Dummy Frameset - 2017</v>
      </c>
      <c r="I841" t="e">
        <f>VLOOKUP(products!D841,categories[#All],2,TRUE)</f>
        <v>#N/A</v>
      </c>
    </row>
    <row r="842" spans="1:9" x14ac:dyDescent="0.3">
      <c r="A842">
        <v>841</v>
      </c>
      <c r="B842">
        <v>1</v>
      </c>
      <c r="C842">
        <v>22</v>
      </c>
      <c r="D842">
        <v>2</v>
      </c>
      <c r="E842">
        <v>269.99</v>
      </c>
      <c r="F842">
        <v>0.1</v>
      </c>
      <c r="G842">
        <f t="shared" si="13"/>
        <v>539.88</v>
      </c>
      <c r="H842" t="str">
        <f>_xlfn.XLOOKUP(C842,products[Product_ID],products[Product_Name],"not found",0)</f>
        <v>Electra Girl's Hawaii 1 (16-inch) - 2015/2016</v>
      </c>
      <c r="I842" t="e">
        <f>VLOOKUP(products!D842,categories[#All],2,TRUE)</f>
        <v>#N/A</v>
      </c>
    </row>
    <row r="843" spans="1:9" x14ac:dyDescent="0.3">
      <c r="A843">
        <v>842</v>
      </c>
      <c r="B843">
        <v>1</v>
      </c>
      <c r="C843">
        <v>81</v>
      </c>
      <c r="D843">
        <v>2</v>
      </c>
      <c r="E843">
        <v>1099.99</v>
      </c>
      <c r="F843">
        <v>7.0000000000000007E-2</v>
      </c>
      <c r="G843">
        <f t="shared" si="13"/>
        <v>2199.91</v>
      </c>
      <c r="H843" t="str">
        <f>_xlfn.XLOOKUP(C843,products[Product_ID],products[Product_Name],"not found",0)</f>
        <v>Electra Amsterdam Fashion 7i Ladies' - 2017</v>
      </c>
      <c r="I843" t="e">
        <f>VLOOKUP(products!D843,categories[#All],2,TRUE)</f>
        <v>#N/A</v>
      </c>
    </row>
    <row r="844" spans="1:9" x14ac:dyDescent="0.3">
      <c r="A844">
        <v>843</v>
      </c>
      <c r="B844">
        <v>1</v>
      </c>
      <c r="C844">
        <v>72</v>
      </c>
      <c r="D844">
        <v>1</v>
      </c>
      <c r="E844">
        <v>619.99</v>
      </c>
      <c r="F844">
        <v>0.1</v>
      </c>
      <c r="G844">
        <f t="shared" si="13"/>
        <v>619.89</v>
      </c>
      <c r="H844" t="str">
        <f>_xlfn.XLOOKUP(C844,products[Product_ID],products[Product_Name],"not found",0)</f>
        <v>Sun Bicycles Biscayne Tandem 7 - 2017</v>
      </c>
      <c r="I844" t="e">
        <f>VLOOKUP(products!D844,categories[#All],2,TRUE)</f>
        <v>#N/A</v>
      </c>
    </row>
    <row r="845" spans="1:9" x14ac:dyDescent="0.3">
      <c r="A845">
        <v>844</v>
      </c>
      <c r="B845">
        <v>1</v>
      </c>
      <c r="C845">
        <v>79</v>
      </c>
      <c r="D845">
        <v>2</v>
      </c>
      <c r="E845">
        <v>402.99</v>
      </c>
      <c r="F845">
        <v>7.0000000000000007E-2</v>
      </c>
      <c r="G845">
        <f t="shared" si="13"/>
        <v>805.91</v>
      </c>
      <c r="H845" t="str">
        <f>_xlfn.XLOOKUP(C845,products[Product_ID],products[Product_Name],"not found",0)</f>
        <v>Sun Bicycles Boardwalk (24-inch Wheels) - 2017</v>
      </c>
      <c r="I845" t="e">
        <f>VLOOKUP(products!D845,categories[#All],2,TRUE)</f>
        <v>#N/A</v>
      </c>
    </row>
    <row r="846" spans="1:9" x14ac:dyDescent="0.3">
      <c r="A846">
        <v>845</v>
      </c>
      <c r="B846">
        <v>1</v>
      </c>
      <c r="C846">
        <v>16</v>
      </c>
      <c r="D846">
        <v>2</v>
      </c>
      <c r="E846">
        <v>599.99</v>
      </c>
      <c r="F846">
        <v>0.2</v>
      </c>
      <c r="G846">
        <f t="shared" si="13"/>
        <v>1199.78</v>
      </c>
      <c r="H846" t="str">
        <f>_xlfn.XLOOKUP(C846,products[Product_ID],products[Product_Name],"not found",0)</f>
        <v>Electra Townie Original 7D EQ - 2016</v>
      </c>
      <c r="I846" t="e">
        <f>VLOOKUP(products!D846,categories[#All],2,TRUE)</f>
        <v>#N/A</v>
      </c>
    </row>
    <row r="847" spans="1:9" x14ac:dyDescent="0.3">
      <c r="A847">
        <v>846</v>
      </c>
      <c r="B847">
        <v>1</v>
      </c>
      <c r="C847">
        <v>46</v>
      </c>
      <c r="D847">
        <v>2</v>
      </c>
      <c r="E847">
        <v>1409.99</v>
      </c>
      <c r="F847">
        <v>0.05</v>
      </c>
      <c r="G847">
        <f t="shared" si="13"/>
        <v>2819.93</v>
      </c>
      <c r="H847" t="str">
        <f>_xlfn.XLOOKUP(C847,products[Product_ID],products[Product_Name],"not found",0)</f>
        <v>Haro SR 1.3 - 2017</v>
      </c>
      <c r="I847" t="e">
        <f>VLOOKUP(products!D847,categories[#All],2,TRUE)</f>
        <v>#N/A</v>
      </c>
    </row>
    <row r="848" spans="1:9" x14ac:dyDescent="0.3">
      <c r="A848">
        <v>847</v>
      </c>
      <c r="B848">
        <v>1</v>
      </c>
      <c r="C848">
        <v>61</v>
      </c>
      <c r="D848">
        <v>2</v>
      </c>
      <c r="E848">
        <v>4999.99</v>
      </c>
      <c r="F848">
        <v>0.05</v>
      </c>
      <c r="G848">
        <f t="shared" si="13"/>
        <v>9999.93</v>
      </c>
      <c r="H848" t="str">
        <f>_xlfn.XLOOKUP(C848,products[Product_ID],products[Product_Name],"not found",0)</f>
        <v>Trek Powerfly 8 FS Plus - 2017</v>
      </c>
      <c r="I848" t="e">
        <f>VLOOKUP(products!D848,categories[#All],2,TRUE)</f>
        <v>#N/A</v>
      </c>
    </row>
    <row r="849" spans="1:9" x14ac:dyDescent="0.3">
      <c r="A849">
        <v>848</v>
      </c>
      <c r="B849">
        <v>1</v>
      </c>
      <c r="C849">
        <v>93</v>
      </c>
      <c r="D849">
        <v>1</v>
      </c>
      <c r="E849">
        <v>209.99</v>
      </c>
      <c r="F849">
        <v>7.0000000000000007E-2</v>
      </c>
      <c r="G849">
        <f t="shared" si="13"/>
        <v>209.92000000000002</v>
      </c>
      <c r="H849" t="str">
        <f>_xlfn.XLOOKUP(C849,products[Product_ID],products[Product_Name],"not found",0)</f>
        <v>Haro Shredder 20 Girls - 2017</v>
      </c>
      <c r="I849" t="e">
        <f>VLOOKUP(products!D849,categories[#All],2,TRUE)</f>
        <v>#N/A</v>
      </c>
    </row>
    <row r="850" spans="1:9" x14ac:dyDescent="0.3">
      <c r="A850">
        <v>849</v>
      </c>
      <c r="B850">
        <v>1</v>
      </c>
      <c r="C850">
        <v>109</v>
      </c>
      <c r="D850">
        <v>1</v>
      </c>
      <c r="E850">
        <v>416.99</v>
      </c>
      <c r="F850">
        <v>0.2</v>
      </c>
      <c r="G850">
        <f t="shared" si="13"/>
        <v>416.79</v>
      </c>
      <c r="H850" t="str">
        <f>_xlfn.XLOOKUP(C850,products[Product_ID],products[Product_Name],"not found",0)</f>
        <v>Sun Bicycles Cruz 7 - Women's - 2017</v>
      </c>
      <c r="I850" t="e">
        <f>VLOOKUP(products!D850,categories[#All],2,TRUE)</f>
        <v>#N/A</v>
      </c>
    </row>
    <row r="851" spans="1:9" x14ac:dyDescent="0.3">
      <c r="A851">
        <v>850</v>
      </c>
      <c r="B851">
        <v>1</v>
      </c>
      <c r="C851">
        <v>101</v>
      </c>
      <c r="D851">
        <v>2</v>
      </c>
      <c r="E851">
        <v>339.99</v>
      </c>
      <c r="F851">
        <v>7.0000000000000007E-2</v>
      </c>
      <c r="G851">
        <f t="shared" si="13"/>
        <v>679.91</v>
      </c>
      <c r="H851" t="str">
        <f>_xlfn.XLOOKUP(C851,products[Product_ID],products[Product_Name],"not found",0)</f>
        <v>Electra Townie 7D (20-inch) - Boys' - 2017</v>
      </c>
      <c r="I851" t="e">
        <f>VLOOKUP(products!D851,categories[#All],2,TRUE)</f>
        <v>#N/A</v>
      </c>
    </row>
    <row r="852" spans="1:9" x14ac:dyDescent="0.3">
      <c r="A852">
        <v>851</v>
      </c>
      <c r="B852">
        <v>1</v>
      </c>
      <c r="C852">
        <v>30</v>
      </c>
      <c r="D852">
        <v>1</v>
      </c>
      <c r="E852">
        <v>999.99</v>
      </c>
      <c r="F852">
        <v>0.2</v>
      </c>
      <c r="G852">
        <f t="shared" si="13"/>
        <v>999.79</v>
      </c>
      <c r="H852" t="str">
        <f>_xlfn.XLOOKUP(C852,products[Product_ID],products[Product_Name],"not found",0)</f>
        <v>Surly Ice Cream Truck Frameset - 2017</v>
      </c>
      <c r="I852" t="e">
        <f>VLOOKUP(products!D852,categories[#All],2,TRUE)</f>
        <v>#N/A</v>
      </c>
    </row>
    <row r="853" spans="1:9" x14ac:dyDescent="0.3">
      <c r="A853">
        <v>852</v>
      </c>
      <c r="B853">
        <v>1</v>
      </c>
      <c r="C853">
        <v>46</v>
      </c>
      <c r="D853">
        <v>2</v>
      </c>
      <c r="E853">
        <v>1409.99</v>
      </c>
      <c r="F853">
        <v>7.0000000000000007E-2</v>
      </c>
      <c r="G853">
        <f t="shared" si="13"/>
        <v>2819.91</v>
      </c>
      <c r="H853" t="str">
        <f>_xlfn.XLOOKUP(C853,products[Product_ID],products[Product_Name],"not found",0)</f>
        <v>Haro SR 1.3 - 2017</v>
      </c>
      <c r="I853" t="e">
        <f>VLOOKUP(products!D853,categories[#All],2,TRUE)</f>
        <v>#N/A</v>
      </c>
    </row>
    <row r="854" spans="1:9" x14ac:dyDescent="0.3">
      <c r="A854">
        <v>853</v>
      </c>
      <c r="B854">
        <v>1</v>
      </c>
      <c r="C854">
        <v>99</v>
      </c>
      <c r="D854">
        <v>1</v>
      </c>
      <c r="E854">
        <v>299.99</v>
      </c>
      <c r="F854">
        <v>0.05</v>
      </c>
      <c r="G854">
        <f t="shared" si="13"/>
        <v>299.94</v>
      </c>
      <c r="H854" t="str">
        <f>_xlfn.XLOOKUP(C854,products[Product_ID],products[Product_Name],"not found",0)</f>
        <v>Electra Sugar Skulls 1 (20-inch) - Girl's - 2017</v>
      </c>
      <c r="I854" t="e">
        <f>VLOOKUP(products!D854,categories[#All],2,TRUE)</f>
        <v>#N/A</v>
      </c>
    </row>
    <row r="855" spans="1:9" x14ac:dyDescent="0.3">
      <c r="A855">
        <v>854</v>
      </c>
      <c r="B855">
        <v>1</v>
      </c>
      <c r="C855">
        <v>87</v>
      </c>
      <c r="D855">
        <v>1</v>
      </c>
      <c r="E855">
        <v>189.99</v>
      </c>
      <c r="F855">
        <v>0.1</v>
      </c>
      <c r="G855">
        <f t="shared" si="13"/>
        <v>189.89000000000001</v>
      </c>
      <c r="H855" t="str">
        <f>_xlfn.XLOOKUP(C855,products[Product_ID],products[Product_Name],"not found",0)</f>
        <v>Trek Precaliber 12 Boys - 2017</v>
      </c>
      <c r="I855" t="e">
        <f>VLOOKUP(products!D855,categories[#All],2,TRUE)</f>
        <v>#N/A</v>
      </c>
    </row>
    <row r="856" spans="1:9" x14ac:dyDescent="0.3">
      <c r="A856">
        <v>855</v>
      </c>
      <c r="B856">
        <v>1</v>
      </c>
      <c r="C856">
        <v>18</v>
      </c>
      <c r="D856">
        <v>1</v>
      </c>
      <c r="E856">
        <v>449</v>
      </c>
      <c r="F856">
        <v>0.1</v>
      </c>
      <c r="G856">
        <f t="shared" si="13"/>
        <v>448.9</v>
      </c>
      <c r="H856" t="str">
        <f>_xlfn.XLOOKUP(C856,products[Product_ID],products[Product_Name],"not found",0)</f>
        <v>Pure Cycles Western 3-Speed - Women's - 2015/2016</v>
      </c>
      <c r="I856" t="e">
        <f>VLOOKUP(products!D856,categories[#All],2,TRUE)</f>
        <v>#N/A</v>
      </c>
    </row>
    <row r="857" spans="1:9" x14ac:dyDescent="0.3">
      <c r="A857">
        <v>856</v>
      </c>
      <c r="B857">
        <v>1</v>
      </c>
      <c r="C857">
        <v>38</v>
      </c>
      <c r="D857">
        <v>2</v>
      </c>
      <c r="E857">
        <v>549.99</v>
      </c>
      <c r="F857">
        <v>0.05</v>
      </c>
      <c r="G857">
        <f t="shared" si="13"/>
        <v>1099.93</v>
      </c>
      <c r="H857" t="str">
        <f>_xlfn.XLOOKUP(C857,products[Product_ID],products[Product_Name],"not found",0)</f>
        <v>Haro Flightline Two 26 Plus - 2017</v>
      </c>
      <c r="I857" t="e">
        <f>VLOOKUP(products!D857,categories[#All],2,TRUE)</f>
        <v>#N/A</v>
      </c>
    </row>
    <row r="858" spans="1:9" x14ac:dyDescent="0.3">
      <c r="A858">
        <v>857</v>
      </c>
      <c r="B858">
        <v>1</v>
      </c>
      <c r="C858">
        <v>29</v>
      </c>
      <c r="D858">
        <v>1</v>
      </c>
      <c r="E858">
        <v>999.99</v>
      </c>
      <c r="F858">
        <v>0.2</v>
      </c>
      <c r="G858">
        <f t="shared" si="13"/>
        <v>999.79</v>
      </c>
      <c r="H858" t="str">
        <f>_xlfn.XLOOKUP(C858,products[Product_ID],products[Product_Name],"not found",0)</f>
        <v>Trek X-Caliber 8 - 2017</v>
      </c>
      <c r="I858" t="e">
        <f>VLOOKUP(products!D858,categories[#All],2,TRUE)</f>
        <v>#N/A</v>
      </c>
    </row>
    <row r="859" spans="1:9" x14ac:dyDescent="0.3">
      <c r="A859">
        <v>858</v>
      </c>
      <c r="B859">
        <v>1</v>
      </c>
      <c r="C859">
        <v>45</v>
      </c>
      <c r="D859">
        <v>2</v>
      </c>
      <c r="E859">
        <v>869.99</v>
      </c>
      <c r="F859">
        <v>0.2</v>
      </c>
      <c r="G859">
        <f t="shared" si="13"/>
        <v>1739.78</v>
      </c>
      <c r="H859" t="str">
        <f>_xlfn.XLOOKUP(C859,products[Product_ID],products[Product_Name],"not found",0)</f>
        <v>Haro SR 1.2 - 2017</v>
      </c>
      <c r="I859" t="e">
        <f>VLOOKUP(products!D859,categories[#All],2,TRUE)</f>
        <v>#N/A</v>
      </c>
    </row>
    <row r="860" spans="1:9" x14ac:dyDescent="0.3">
      <c r="A860">
        <v>859</v>
      </c>
      <c r="B860">
        <v>1</v>
      </c>
      <c r="C860">
        <v>38</v>
      </c>
      <c r="D860">
        <v>2</v>
      </c>
      <c r="E860">
        <v>549.99</v>
      </c>
      <c r="F860">
        <v>7.0000000000000007E-2</v>
      </c>
      <c r="G860">
        <f t="shared" si="13"/>
        <v>1099.9100000000001</v>
      </c>
      <c r="H860" t="str">
        <f>_xlfn.XLOOKUP(C860,products[Product_ID],products[Product_Name],"not found",0)</f>
        <v>Haro Flightline Two 26 Plus - 2017</v>
      </c>
      <c r="I860" t="e">
        <f>VLOOKUP(products!D860,categories[#All],2,TRUE)</f>
        <v>#N/A</v>
      </c>
    </row>
    <row r="861" spans="1:9" x14ac:dyDescent="0.3">
      <c r="A861">
        <v>860</v>
      </c>
      <c r="B861">
        <v>1</v>
      </c>
      <c r="C861">
        <v>6</v>
      </c>
      <c r="D861">
        <v>1</v>
      </c>
      <c r="E861">
        <v>469.99</v>
      </c>
      <c r="F861">
        <v>0.05</v>
      </c>
      <c r="G861">
        <f t="shared" si="13"/>
        <v>469.94</v>
      </c>
      <c r="H861" t="str">
        <f>_xlfn.XLOOKUP(C861,products[Product_ID],products[Product_Name],"not found",0)</f>
        <v>Surly Ice Cream Truck Frameset - 2016</v>
      </c>
      <c r="I861" t="e">
        <f>VLOOKUP(products!D861,categories[#All],2,TRUE)</f>
        <v>#N/A</v>
      </c>
    </row>
    <row r="862" spans="1:9" x14ac:dyDescent="0.3">
      <c r="A862">
        <v>861</v>
      </c>
      <c r="B862">
        <v>1</v>
      </c>
      <c r="C862">
        <v>14</v>
      </c>
      <c r="D862">
        <v>2</v>
      </c>
      <c r="E862">
        <v>269.99</v>
      </c>
      <c r="F862">
        <v>7.0000000000000007E-2</v>
      </c>
      <c r="G862">
        <f t="shared" si="13"/>
        <v>539.91</v>
      </c>
      <c r="H862" t="str">
        <f>_xlfn.XLOOKUP(C862,products[Product_ID],products[Product_Name],"not found",0)</f>
        <v>Electra Girl's Hawaii 1 (16-inch) - 2015/2016</v>
      </c>
      <c r="I862" t="e">
        <f>VLOOKUP(products!D862,categories[#All],2,TRUE)</f>
        <v>#N/A</v>
      </c>
    </row>
    <row r="863" spans="1:9" x14ac:dyDescent="0.3">
      <c r="A863">
        <v>862</v>
      </c>
      <c r="B863">
        <v>1</v>
      </c>
      <c r="C863">
        <v>85</v>
      </c>
      <c r="D863">
        <v>1</v>
      </c>
      <c r="E863">
        <v>329.99</v>
      </c>
      <c r="F863">
        <v>0.05</v>
      </c>
      <c r="G863">
        <f t="shared" si="13"/>
        <v>329.94</v>
      </c>
      <c r="H863" t="str">
        <f>_xlfn.XLOOKUP(C863,products[Product_ID],products[Product_Name],"not found",0)</f>
        <v>Haro Downtown 16 - 2017</v>
      </c>
      <c r="I863" t="e">
        <f>VLOOKUP(products!D863,categories[#All],2,TRUE)</f>
        <v>#N/A</v>
      </c>
    </row>
    <row r="864" spans="1:9" x14ac:dyDescent="0.3">
      <c r="A864">
        <v>863</v>
      </c>
      <c r="B864">
        <v>1</v>
      </c>
      <c r="C864">
        <v>93</v>
      </c>
      <c r="D864">
        <v>2</v>
      </c>
      <c r="E864">
        <v>209.99</v>
      </c>
      <c r="F864">
        <v>0.1</v>
      </c>
      <c r="G864">
        <f t="shared" si="13"/>
        <v>419.88</v>
      </c>
      <c r="H864" t="str">
        <f>_xlfn.XLOOKUP(C864,products[Product_ID],products[Product_Name],"not found",0)</f>
        <v>Haro Shredder 20 Girls - 2017</v>
      </c>
      <c r="I864" t="e">
        <f>VLOOKUP(products!D864,categories[#All],2,TRUE)</f>
        <v>#N/A</v>
      </c>
    </row>
    <row r="865" spans="1:9" x14ac:dyDescent="0.3">
      <c r="A865">
        <v>864</v>
      </c>
      <c r="B865">
        <v>1</v>
      </c>
      <c r="C865">
        <v>37</v>
      </c>
      <c r="D865">
        <v>1</v>
      </c>
      <c r="E865">
        <v>379.99</v>
      </c>
      <c r="F865">
        <v>0.1</v>
      </c>
      <c r="G865">
        <f t="shared" si="13"/>
        <v>379.89</v>
      </c>
      <c r="H865" t="str">
        <f>_xlfn.XLOOKUP(C865,products[Product_ID],products[Product_Name],"not found",0)</f>
        <v>Haro Flightline One ST - 2017</v>
      </c>
      <c r="I865" t="e">
        <f>VLOOKUP(products!D865,categories[#All],2,TRUE)</f>
        <v>#N/A</v>
      </c>
    </row>
    <row r="866" spans="1:9" x14ac:dyDescent="0.3">
      <c r="A866">
        <v>865</v>
      </c>
      <c r="B866">
        <v>1</v>
      </c>
      <c r="C866">
        <v>109</v>
      </c>
      <c r="D866">
        <v>2</v>
      </c>
      <c r="E866">
        <v>416.99</v>
      </c>
      <c r="F866">
        <v>0.1</v>
      </c>
      <c r="G866">
        <f t="shared" si="13"/>
        <v>833.88</v>
      </c>
      <c r="H866" t="str">
        <f>_xlfn.XLOOKUP(C866,products[Product_ID],products[Product_Name],"not found",0)</f>
        <v>Sun Bicycles Cruz 7 - Women's - 2017</v>
      </c>
      <c r="I866" t="e">
        <f>VLOOKUP(products!D866,categories[#All],2,TRUE)</f>
        <v>#N/A</v>
      </c>
    </row>
    <row r="867" spans="1:9" x14ac:dyDescent="0.3">
      <c r="A867">
        <v>866</v>
      </c>
      <c r="B867">
        <v>1</v>
      </c>
      <c r="C867">
        <v>88</v>
      </c>
      <c r="D867">
        <v>1</v>
      </c>
      <c r="E867">
        <v>189.99</v>
      </c>
      <c r="F867">
        <v>0.2</v>
      </c>
      <c r="G867">
        <f t="shared" si="13"/>
        <v>189.79000000000002</v>
      </c>
      <c r="H867" t="str">
        <f>_xlfn.XLOOKUP(C867,products[Product_ID],products[Product_Name],"not found",0)</f>
        <v>Trek Precaliber 12 Girls - 2017</v>
      </c>
      <c r="I867" t="e">
        <f>VLOOKUP(products!D867,categories[#All],2,TRUE)</f>
        <v>#N/A</v>
      </c>
    </row>
    <row r="868" spans="1:9" x14ac:dyDescent="0.3">
      <c r="A868">
        <v>867</v>
      </c>
      <c r="B868">
        <v>1</v>
      </c>
      <c r="C868">
        <v>101</v>
      </c>
      <c r="D868">
        <v>1</v>
      </c>
      <c r="E868">
        <v>339.99</v>
      </c>
      <c r="F868">
        <v>0.05</v>
      </c>
      <c r="G868">
        <f t="shared" si="13"/>
        <v>339.94</v>
      </c>
      <c r="H868" t="str">
        <f>_xlfn.XLOOKUP(C868,products[Product_ID],products[Product_Name],"not found",0)</f>
        <v>Electra Townie 7D (20-inch) - Boys' - 2017</v>
      </c>
      <c r="I868" t="e">
        <f>VLOOKUP(products!D868,categories[#All],2,TRUE)</f>
        <v>#N/A</v>
      </c>
    </row>
    <row r="869" spans="1:9" x14ac:dyDescent="0.3">
      <c r="A869">
        <v>868</v>
      </c>
      <c r="B869">
        <v>1</v>
      </c>
      <c r="C869">
        <v>46</v>
      </c>
      <c r="D869">
        <v>1</v>
      </c>
      <c r="E869">
        <v>1409.99</v>
      </c>
      <c r="F869">
        <v>7.0000000000000007E-2</v>
      </c>
      <c r="G869">
        <f t="shared" si="13"/>
        <v>1409.92</v>
      </c>
      <c r="H869" t="str">
        <f>_xlfn.XLOOKUP(C869,products[Product_ID],products[Product_Name],"not found",0)</f>
        <v>Haro SR 1.3 - 2017</v>
      </c>
      <c r="I869" t="e">
        <f>VLOOKUP(products!D869,categories[#All],2,TRUE)</f>
        <v>#N/A</v>
      </c>
    </row>
    <row r="870" spans="1:9" x14ac:dyDescent="0.3">
      <c r="A870">
        <v>869</v>
      </c>
      <c r="B870">
        <v>1</v>
      </c>
      <c r="C870">
        <v>7</v>
      </c>
      <c r="D870">
        <v>1</v>
      </c>
      <c r="E870">
        <v>3999.99</v>
      </c>
      <c r="F870">
        <v>0.2</v>
      </c>
      <c r="G870">
        <f t="shared" si="13"/>
        <v>3999.79</v>
      </c>
      <c r="H870" t="str">
        <f>_xlfn.XLOOKUP(C870,products[Product_ID],products[Product_Name],"not found",0)</f>
        <v>Trek Slash 8 27.5 - 2016</v>
      </c>
      <c r="I870" t="e">
        <f>VLOOKUP(products!D870,categories[#All],2,TRUE)</f>
        <v>#N/A</v>
      </c>
    </row>
    <row r="871" spans="1:9" x14ac:dyDescent="0.3">
      <c r="A871">
        <v>870</v>
      </c>
      <c r="B871">
        <v>1</v>
      </c>
      <c r="C871">
        <v>63</v>
      </c>
      <c r="D871">
        <v>1</v>
      </c>
      <c r="E871">
        <v>3499.99</v>
      </c>
      <c r="F871">
        <v>7.0000000000000007E-2</v>
      </c>
      <c r="G871">
        <f t="shared" si="13"/>
        <v>3499.9199999999996</v>
      </c>
      <c r="H871" t="str">
        <f>_xlfn.XLOOKUP(C871,products[Product_ID],products[Product_Name],"not found",0)</f>
        <v>Trek Boone Race Shop Limited - 2017</v>
      </c>
      <c r="I871" t="e">
        <f>VLOOKUP(products!D871,categories[#All],2,TRUE)</f>
        <v>#N/A</v>
      </c>
    </row>
    <row r="872" spans="1:9" x14ac:dyDescent="0.3">
      <c r="A872">
        <v>871</v>
      </c>
      <c r="B872">
        <v>1</v>
      </c>
      <c r="C872">
        <v>106</v>
      </c>
      <c r="D872">
        <v>1</v>
      </c>
      <c r="E872">
        <v>449.99</v>
      </c>
      <c r="F872">
        <v>0.2</v>
      </c>
      <c r="G872">
        <f t="shared" si="13"/>
        <v>449.79</v>
      </c>
      <c r="H872" t="str">
        <f>_xlfn.XLOOKUP(C872,products[Product_ID],products[Product_Name],"not found",0)</f>
        <v>Sun Bicycles Cruz 3 - 2017</v>
      </c>
      <c r="I872" t="e">
        <f>VLOOKUP(products!D872,categories[#All],2,TRUE)</f>
        <v>#N/A</v>
      </c>
    </row>
    <row r="873" spans="1:9" x14ac:dyDescent="0.3">
      <c r="A873">
        <v>872</v>
      </c>
      <c r="B873">
        <v>1</v>
      </c>
      <c r="C873">
        <v>62</v>
      </c>
      <c r="D873">
        <v>2</v>
      </c>
      <c r="E873">
        <v>3499.99</v>
      </c>
      <c r="F873">
        <v>7.0000000000000007E-2</v>
      </c>
      <c r="G873">
        <f t="shared" si="13"/>
        <v>6999.91</v>
      </c>
      <c r="H873" t="str">
        <f>_xlfn.XLOOKUP(C873,products[Product_ID],products[Product_Name],"not found",0)</f>
        <v>Trek Boone 7 - 2017</v>
      </c>
      <c r="I873" t="e">
        <f>VLOOKUP(products!D873,categories[#All],2,TRUE)</f>
        <v>#N/A</v>
      </c>
    </row>
    <row r="874" spans="1:9" x14ac:dyDescent="0.3">
      <c r="A874">
        <v>873</v>
      </c>
      <c r="B874">
        <v>1</v>
      </c>
      <c r="C874">
        <v>32</v>
      </c>
      <c r="D874">
        <v>2</v>
      </c>
      <c r="E874">
        <v>469.99</v>
      </c>
      <c r="F874">
        <v>0.1</v>
      </c>
      <c r="G874">
        <f t="shared" si="13"/>
        <v>939.88</v>
      </c>
      <c r="H874" t="str">
        <f>_xlfn.XLOOKUP(C874,products[Product_ID],products[Product_Name],"not found",0)</f>
        <v>Trek Farley Alloy Frameset - 2017</v>
      </c>
      <c r="I874" t="e">
        <f>VLOOKUP(products!D874,categories[#All],2,TRUE)</f>
        <v>#N/A</v>
      </c>
    </row>
    <row r="875" spans="1:9" x14ac:dyDescent="0.3">
      <c r="A875">
        <v>874</v>
      </c>
      <c r="B875">
        <v>1</v>
      </c>
      <c r="C875">
        <v>56</v>
      </c>
      <c r="D875">
        <v>1</v>
      </c>
      <c r="E875">
        <v>5499.99</v>
      </c>
      <c r="F875">
        <v>0.05</v>
      </c>
      <c r="G875">
        <f t="shared" si="13"/>
        <v>5499.94</v>
      </c>
      <c r="H875" t="str">
        <f>_xlfn.XLOOKUP(C875,products[Product_ID],products[Product_Name],"not found",0)</f>
        <v>Trek Domane SLR 6 Disc - 2017</v>
      </c>
      <c r="I875" t="e">
        <f>VLOOKUP(products!D875,categories[#All],2,TRUE)</f>
        <v>#N/A</v>
      </c>
    </row>
    <row r="876" spans="1:9" x14ac:dyDescent="0.3">
      <c r="A876">
        <v>875</v>
      </c>
      <c r="B876">
        <v>1</v>
      </c>
      <c r="C876">
        <v>5</v>
      </c>
      <c r="D876">
        <v>2</v>
      </c>
      <c r="E876">
        <v>1320.99</v>
      </c>
      <c r="F876">
        <v>0.1</v>
      </c>
      <c r="G876">
        <f t="shared" si="13"/>
        <v>2641.88</v>
      </c>
      <c r="H876" t="str">
        <f>_xlfn.XLOOKUP(C876,products[Product_ID],products[Product_Name],"not found",0)</f>
        <v>Heller Shagamaw Frame - 2016</v>
      </c>
      <c r="I876" t="e">
        <f>VLOOKUP(products!D876,categories[#All],2,TRUE)</f>
        <v>#N/A</v>
      </c>
    </row>
    <row r="877" spans="1:9" x14ac:dyDescent="0.3">
      <c r="A877">
        <v>876</v>
      </c>
      <c r="B877">
        <v>1</v>
      </c>
      <c r="C877">
        <v>17</v>
      </c>
      <c r="D877">
        <v>2</v>
      </c>
      <c r="E877">
        <v>429</v>
      </c>
      <c r="F877">
        <v>0.2</v>
      </c>
      <c r="G877">
        <f t="shared" si="13"/>
        <v>857.8</v>
      </c>
      <c r="H877" t="str">
        <f>_xlfn.XLOOKUP(C877,products[Product_ID],products[Product_Name],"not found",0)</f>
        <v>Pure Cycles Vine 8-Speed - 2016</v>
      </c>
      <c r="I877" t="e">
        <f>VLOOKUP(products!D877,categories[#All],2,TRUE)</f>
        <v>#N/A</v>
      </c>
    </row>
    <row r="878" spans="1:9" x14ac:dyDescent="0.3">
      <c r="A878">
        <v>877</v>
      </c>
      <c r="B878">
        <v>1</v>
      </c>
      <c r="C878">
        <v>73</v>
      </c>
      <c r="D878">
        <v>1</v>
      </c>
      <c r="E878">
        <v>749.99</v>
      </c>
      <c r="F878">
        <v>7.0000000000000007E-2</v>
      </c>
      <c r="G878">
        <f t="shared" si="13"/>
        <v>749.92</v>
      </c>
      <c r="H878" t="str">
        <f>_xlfn.XLOOKUP(C878,products[Product_ID],products[Product_Name],"not found",0)</f>
        <v>Sun Bicycles Brickell Tandem 7 - 2017</v>
      </c>
      <c r="I878" t="e">
        <f>VLOOKUP(products!D878,categories[#All],2,TRUE)</f>
        <v>#N/A</v>
      </c>
    </row>
    <row r="879" spans="1:9" x14ac:dyDescent="0.3">
      <c r="A879">
        <v>878</v>
      </c>
      <c r="B879">
        <v>1</v>
      </c>
      <c r="C879">
        <v>103</v>
      </c>
      <c r="D879">
        <v>1</v>
      </c>
      <c r="E879">
        <v>551.99</v>
      </c>
      <c r="F879">
        <v>0.2</v>
      </c>
      <c r="G879">
        <f t="shared" si="13"/>
        <v>551.79</v>
      </c>
      <c r="H879" t="str">
        <f>_xlfn.XLOOKUP(C879,products[Product_ID],products[Product_Name],"not found",0)</f>
        <v>Sun Bicycles Streamway 3 - 2017</v>
      </c>
      <c r="I879" t="e">
        <f>VLOOKUP(products!D879,categories[#All],2,TRUE)</f>
        <v>#N/A</v>
      </c>
    </row>
    <row r="880" spans="1:9" x14ac:dyDescent="0.3">
      <c r="A880">
        <v>879</v>
      </c>
      <c r="B880">
        <v>1</v>
      </c>
      <c r="C880">
        <v>100</v>
      </c>
      <c r="D880">
        <v>2</v>
      </c>
      <c r="E880">
        <v>489.99</v>
      </c>
      <c r="F880">
        <v>0.2</v>
      </c>
      <c r="G880">
        <f t="shared" si="13"/>
        <v>979.78</v>
      </c>
      <c r="H880" t="str">
        <f>_xlfn.XLOOKUP(C880,products[Product_ID],products[Product_Name],"not found",0)</f>
        <v>Electra Townie 3i EQ (20-inch) - Boys' - 2017</v>
      </c>
      <c r="I880" t="e">
        <f>VLOOKUP(products!D880,categories[#All],2,TRUE)</f>
        <v>#N/A</v>
      </c>
    </row>
    <row r="881" spans="1:9" x14ac:dyDescent="0.3">
      <c r="A881">
        <v>880</v>
      </c>
      <c r="B881">
        <v>1</v>
      </c>
      <c r="C881">
        <v>28</v>
      </c>
      <c r="D881">
        <v>2</v>
      </c>
      <c r="E881">
        <v>2499.9899999999998</v>
      </c>
      <c r="F881">
        <v>0.2</v>
      </c>
      <c r="G881">
        <f t="shared" si="13"/>
        <v>4999.78</v>
      </c>
      <c r="H881" t="str">
        <f>_xlfn.XLOOKUP(C881,products[Product_ID],products[Product_Name],"not found",0)</f>
        <v>Surly Karate Monkey 27.5+ Frameset - 2017</v>
      </c>
      <c r="I881" t="e">
        <f>VLOOKUP(products!D881,categories[#All],2,TRUE)</f>
        <v>#N/A</v>
      </c>
    </row>
    <row r="882" spans="1:9" x14ac:dyDescent="0.3">
      <c r="A882">
        <v>881</v>
      </c>
      <c r="B882">
        <v>1</v>
      </c>
      <c r="C882">
        <v>98</v>
      </c>
      <c r="D882">
        <v>1</v>
      </c>
      <c r="E882">
        <v>489.99</v>
      </c>
      <c r="F882">
        <v>7.0000000000000007E-2</v>
      </c>
      <c r="G882">
        <f t="shared" si="13"/>
        <v>489.92</v>
      </c>
      <c r="H882" t="str">
        <f>_xlfn.XLOOKUP(C882,products[Product_ID],products[Product_Name],"not found",0)</f>
        <v>Electra Straight 8 3i (20-inch) - Boy's - 2017</v>
      </c>
      <c r="I882" t="e">
        <f>VLOOKUP(products!D882,categories[#All],2,TRUE)</f>
        <v>#N/A</v>
      </c>
    </row>
    <row r="883" spans="1:9" x14ac:dyDescent="0.3">
      <c r="A883">
        <v>882</v>
      </c>
      <c r="B883">
        <v>1</v>
      </c>
      <c r="C883">
        <v>63</v>
      </c>
      <c r="D883">
        <v>2</v>
      </c>
      <c r="E883">
        <v>3499.99</v>
      </c>
      <c r="F883">
        <v>7.0000000000000007E-2</v>
      </c>
      <c r="G883">
        <f t="shared" si="13"/>
        <v>6999.91</v>
      </c>
      <c r="H883" t="str">
        <f>_xlfn.XLOOKUP(C883,products[Product_ID],products[Product_Name],"not found",0)</f>
        <v>Trek Boone Race Shop Limited - 2017</v>
      </c>
      <c r="I883" t="e">
        <f>VLOOKUP(products!D883,categories[#All],2,TRUE)</f>
        <v>#N/A</v>
      </c>
    </row>
    <row r="884" spans="1:9" x14ac:dyDescent="0.3">
      <c r="A884">
        <v>883</v>
      </c>
      <c r="B884">
        <v>1</v>
      </c>
      <c r="C884">
        <v>44</v>
      </c>
      <c r="D884">
        <v>1</v>
      </c>
      <c r="E884">
        <v>539.99</v>
      </c>
      <c r="F884">
        <v>0.05</v>
      </c>
      <c r="G884">
        <f t="shared" si="13"/>
        <v>539.94000000000005</v>
      </c>
      <c r="H884" t="str">
        <f>_xlfn.XLOOKUP(C884,products[Product_ID],products[Product_Name],"not found",0)</f>
        <v>Haro SR 1.1 - 2017</v>
      </c>
      <c r="I884" t="e">
        <f>VLOOKUP(products!D884,categories[#All],2,TRUE)</f>
        <v>#N/A</v>
      </c>
    </row>
    <row r="885" spans="1:9" x14ac:dyDescent="0.3">
      <c r="A885">
        <v>884</v>
      </c>
      <c r="B885">
        <v>1</v>
      </c>
      <c r="C885">
        <v>49</v>
      </c>
      <c r="D885">
        <v>2</v>
      </c>
      <c r="E885">
        <v>3499.99</v>
      </c>
      <c r="F885">
        <v>0.05</v>
      </c>
      <c r="G885">
        <f t="shared" si="13"/>
        <v>6999.9299999999994</v>
      </c>
      <c r="H885" t="str">
        <f>_xlfn.XLOOKUP(C885,products[Product_ID],products[Product_Name],"not found",0)</f>
        <v>Trek Domane SL 6 - 2017</v>
      </c>
      <c r="I885" t="e">
        <f>VLOOKUP(products!D885,categories[#All],2,TRUE)</f>
        <v>#N/A</v>
      </c>
    </row>
    <row r="886" spans="1:9" x14ac:dyDescent="0.3">
      <c r="A886">
        <v>885</v>
      </c>
      <c r="B886">
        <v>1</v>
      </c>
      <c r="C886">
        <v>106</v>
      </c>
      <c r="D886">
        <v>1</v>
      </c>
      <c r="E886">
        <v>449.99</v>
      </c>
      <c r="F886">
        <v>7.0000000000000007E-2</v>
      </c>
      <c r="G886">
        <f t="shared" si="13"/>
        <v>449.92</v>
      </c>
      <c r="H886" t="str">
        <f>_xlfn.XLOOKUP(C886,products[Product_ID],products[Product_Name],"not found",0)</f>
        <v>Sun Bicycles Cruz 3 - 2017</v>
      </c>
      <c r="I886" t="e">
        <f>VLOOKUP(products!D886,categories[#All],2,TRUE)</f>
        <v>#N/A</v>
      </c>
    </row>
    <row r="887" spans="1:9" x14ac:dyDescent="0.3">
      <c r="A887">
        <v>886</v>
      </c>
      <c r="B887">
        <v>1</v>
      </c>
      <c r="C887">
        <v>47</v>
      </c>
      <c r="D887">
        <v>1</v>
      </c>
      <c r="E887">
        <v>5299.99</v>
      </c>
      <c r="F887">
        <v>0.05</v>
      </c>
      <c r="G887">
        <f t="shared" si="13"/>
        <v>5299.94</v>
      </c>
      <c r="H887" t="str">
        <f>_xlfn.XLOOKUP(C887,products[Product_ID],products[Product_Name],"not found",0)</f>
        <v>Trek Remedy 9.8 - 2017</v>
      </c>
      <c r="I887" t="e">
        <f>VLOOKUP(products!D887,categories[#All],2,TRUE)</f>
        <v>#N/A</v>
      </c>
    </row>
    <row r="888" spans="1:9" x14ac:dyDescent="0.3">
      <c r="A888">
        <v>887</v>
      </c>
      <c r="B888">
        <v>1</v>
      </c>
      <c r="C888">
        <v>50</v>
      </c>
      <c r="D888">
        <v>2</v>
      </c>
      <c r="E888">
        <v>5999.99</v>
      </c>
      <c r="F888">
        <v>0.05</v>
      </c>
      <c r="G888">
        <f t="shared" si="13"/>
        <v>11999.93</v>
      </c>
      <c r="H888" t="str">
        <f>_xlfn.XLOOKUP(C888,products[Product_ID],products[Product_Name],"not found",0)</f>
        <v>Trek Silque SLR 7 Women's - 2017</v>
      </c>
      <c r="I888" t="e">
        <f>VLOOKUP(products!D888,categories[#All],2,TRUE)</f>
        <v>#N/A</v>
      </c>
    </row>
    <row r="889" spans="1:9" x14ac:dyDescent="0.3">
      <c r="A889">
        <v>888</v>
      </c>
      <c r="B889">
        <v>1</v>
      </c>
      <c r="C889">
        <v>33</v>
      </c>
      <c r="D889">
        <v>2</v>
      </c>
      <c r="E889">
        <v>469.99</v>
      </c>
      <c r="F889">
        <v>0.1</v>
      </c>
      <c r="G889">
        <f t="shared" si="13"/>
        <v>939.88</v>
      </c>
      <c r="H889" t="str">
        <f>_xlfn.XLOOKUP(C889,products[Product_ID],products[Product_Name],"not found",0)</f>
        <v>Surly Wednesday Frameset - 2017</v>
      </c>
      <c r="I889" t="e">
        <f>VLOOKUP(products!D889,categories[#All],2,TRUE)</f>
        <v>#N/A</v>
      </c>
    </row>
    <row r="890" spans="1:9" x14ac:dyDescent="0.3">
      <c r="A890">
        <v>889</v>
      </c>
      <c r="B890">
        <v>1</v>
      </c>
      <c r="C890">
        <v>12</v>
      </c>
      <c r="D890">
        <v>2</v>
      </c>
      <c r="E890">
        <v>549.99</v>
      </c>
      <c r="F890">
        <v>0.1</v>
      </c>
      <c r="G890">
        <f t="shared" si="13"/>
        <v>1099.8800000000001</v>
      </c>
      <c r="H890" t="str">
        <f>_xlfn.XLOOKUP(C890,products[Product_ID],products[Product_Name],"not found",0)</f>
        <v>Electra Townie Original 21D - 2016</v>
      </c>
      <c r="I890" t="e">
        <f>VLOOKUP(products!D890,categories[#All],2,TRUE)</f>
        <v>#N/A</v>
      </c>
    </row>
    <row r="891" spans="1:9" x14ac:dyDescent="0.3">
      <c r="A891">
        <v>890</v>
      </c>
      <c r="B891">
        <v>1</v>
      </c>
      <c r="C891">
        <v>16</v>
      </c>
      <c r="D891">
        <v>2</v>
      </c>
      <c r="E891">
        <v>599.99</v>
      </c>
      <c r="F891">
        <v>0.1</v>
      </c>
      <c r="G891">
        <f t="shared" si="13"/>
        <v>1199.8800000000001</v>
      </c>
      <c r="H891" t="str">
        <f>_xlfn.XLOOKUP(C891,products[Product_ID],products[Product_Name],"not found",0)</f>
        <v>Electra Townie Original 7D EQ - 2016</v>
      </c>
      <c r="I891" t="e">
        <f>VLOOKUP(products!D891,categories[#All],2,TRUE)</f>
        <v>#N/A</v>
      </c>
    </row>
    <row r="892" spans="1:9" x14ac:dyDescent="0.3">
      <c r="A892">
        <v>891</v>
      </c>
      <c r="B892">
        <v>1</v>
      </c>
      <c r="C892">
        <v>107</v>
      </c>
      <c r="D892">
        <v>2</v>
      </c>
      <c r="E892">
        <v>416.99</v>
      </c>
      <c r="F892">
        <v>0.1</v>
      </c>
      <c r="G892">
        <f t="shared" si="13"/>
        <v>833.88</v>
      </c>
      <c r="H892" t="str">
        <f>_xlfn.XLOOKUP(C892,products[Product_ID],products[Product_Name],"not found",0)</f>
        <v>Sun Bicycles Cruz 7 - 2017</v>
      </c>
      <c r="I892" t="e">
        <f>VLOOKUP(products!D892,categories[#All],2,TRUE)</f>
        <v>#N/A</v>
      </c>
    </row>
    <row r="893" spans="1:9" x14ac:dyDescent="0.3">
      <c r="A893">
        <v>892</v>
      </c>
      <c r="B893">
        <v>1</v>
      </c>
      <c r="C893">
        <v>36</v>
      </c>
      <c r="D893">
        <v>1</v>
      </c>
      <c r="E893">
        <v>832.99</v>
      </c>
      <c r="F893">
        <v>0.1</v>
      </c>
      <c r="G893">
        <f t="shared" si="13"/>
        <v>832.89</v>
      </c>
      <c r="H893" t="str">
        <f>_xlfn.XLOOKUP(C893,products[Product_ID],products[Product_Name],"not found",0)</f>
        <v>Surly Troll Frameset - 2017</v>
      </c>
      <c r="I893" t="e">
        <f>VLOOKUP(products!D893,categories[#All],2,TRUE)</f>
        <v>#N/A</v>
      </c>
    </row>
    <row r="894" spans="1:9" x14ac:dyDescent="0.3">
      <c r="A894">
        <v>893</v>
      </c>
      <c r="B894">
        <v>1</v>
      </c>
      <c r="C894">
        <v>67</v>
      </c>
      <c r="D894">
        <v>2</v>
      </c>
      <c r="E894">
        <v>250.99</v>
      </c>
      <c r="F894">
        <v>0.05</v>
      </c>
      <c r="G894">
        <f t="shared" si="13"/>
        <v>501.93</v>
      </c>
      <c r="H894" t="str">
        <f>_xlfn.XLOOKUP(C894,products[Product_ID],products[Product_Name],"not found",0)</f>
        <v>Sun Bicycles Revolutions 24 - Girl's - 2017</v>
      </c>
      <c r="I894" t="e">
        <f>VLOOKUP(products!D894,categories[#All],2,TRUE)</f>
        <v>#N/A</v>
      </c>
    </row>
    <row r="895" spans="1:9" x14ac:dyDescent="0.3">
      <c r="A895">
        <v>894</v>
      </c>
      <c r="B895">
        <v>1</v>
      </c>
      <c r="C895">
        <v>101</v>
      </c>
      <c r="D895">
        <v>2</v>
      </c>
      <c r="E895">
        <v>339.99</v>
      </c>
      <c r="F895">
        <v>0.2</v>
      </c>
      <c r="G895">
        <f t="shared" si="13"/>
        <v>679.78</v>
      </c>
      <c r="H895" t="str">
        <f>_xlfn.XLOOKUP(C895,products[Product_ID],products[Product_Name],"not found",0)</f>
        <v>Electra Townie 7D (20-inch) - Boys' - 2017</v>
      </c>
      <c r="I895" t="e">
        <f>VLOOKUP(products!D895,categories[#All],2,TRUE)</f>
        <v>#N/A</v>
      </c>
    </row>
    <row r="896" spans="1:9" x14ac:dyDescent="0.3">
      <c r="A896">
        <v>895</v>
      </c>
      <c r="B896">
        <v>1</v>
      </c>
      <c r="C896">
        <v>106</v>
      </c>
      <c r="D896">
        <v>1</v>
      </c>
      <c r="E896">
        <v>449.99</v>
      </c>
      <c r="F896">
        <v>7.0000000000000007E-2</v>
      </c>
      <c r="G896">
        <f t="shared" si="13"/>
        <v>449.92</v>
      </c>
      <c r="H896" t="str">
        <f>_xlfn.XLOOKUP(C896,products[Product_ID],products[Product_Name],"not found",0)</f>
        <v>Sun Bicycles Cruz 3 - 2017</v>
      </c>
      <c r="I896" t="e">
        <f>VLOOKUP(products!D896,categories[#All],2,TRUE)</f>
        <v>#N/A</v>
      </c>
    </row>
    <row r="897" spans="1:9" x14ac:dyDescent="0.3">
      <c r="A897">
        <v>896</v>
      </c>
      <c r="B897">
        <v>1</v>
      </c>
      <c r="C897">
        <v>91</v>
      </c>
      <c r="D897">
        <v>2</v>
      </c>
      <c r="E897">
        <v>349.99</v>
      </c>
      <c r="F897">
        <v>0.05</v>
      </c>
      <c r="G897">
        <f t="shared" si="13"/>
        <v>699.93000000000006</v>
      </c>
      <c r="H897" t="str">
        <f>_xlfn.XLOOKUP(C897,products[Product_ID],products[Product_Name],"not found",0)</f>
        <v>Trek Precaliber 24 (21-Speed) - Girls - 2017</v>
      </c>
      <c r="I897" t="e">
        <f>VLOOKUP(products!D897,categories[#All],2,TRUE)</f>
        <v>#N/A</v>
      </c>
    </row>
    <row r="898" spans="1:9" x14ac:dyDescent="0.3">
      <c r="A898">
        <v>897</v>
      </c>
      <c r="B898">
        <v>1</v>
      </c>
      <c r="C898">
        <v>105</v>
      </c>
      <c r="D898">
        <v>1</v>
      </c>
      <c r="E898">
        <v>533.99</v>
      </c>
      <c r="F898">
        <v>0.05</v>
      </c>
      <c r="G898">
        <f t="shared" ref="G898:G961" si="14">(E898*D898)-F898</f>
        <v>533.94000000000005</v>
      </c>
      <c r="H898" t="str">
        <f>_xlfn.XLOOKUP(C898,products[Product_ID],products[Product_Name],"not found",0)</f>
        <v>Sun Bicycles Streamway 7 - 2017</v>
      </c>
      <c r="I898" t="e">
        <f>VLOOKUP(products!D898,categories[#All],2,TRUE)</f>
        <v>#N/A</v>
      </c>
    </row>
    <row r="899" spans="1:9" x14ac:dyDescent="0.3">
      <c r="A899">
        <v>898</v>
      </c>
      <c r="B899">
        <v>1</v>
      </c>
      <c r="C899">
        <v>45</v>
      </c>
      <c r="D899">
        <v>2</v>
      </c>
      <c r="E899">
        <v>869.99</v>
      </c>
      <c r="F899">
        <v>0.2</v>
      </c>
      <c r="G899">
        <f t="shared" si="14"/>
        <v>1739.78</v>
      </c>
      <c r="H899" t="str">
        <f>_xlfn.XLOOKUP(C899,products[Product_ID],products[Product_Name],"not found",0)</f>
        <v>Haro SR 1.2 - 2017</v>
      </c>
      <c r="I899" t="e">
        <f>VLOOKUP(products!D899,categories[#All],2,TRUE)</f>
        <v>#N/A</v>
      </c>
    </row>
    <row r="900" spans="1:9" x14ac:dyDescent="0.3">
      <c r="A900">
        <v>899</v>
      </c>
      <c r="B900">
        <v>1</v>
      </c>
      <c r="C900">
        <v>59</v>
      </c>
      <c r="D900">
        <v>2</v>
      </c>
      <c r="E900">
        <v>2599.9899999999998</v>
      </c>
      <c r="F900">
        <v>0.1</v>
      </c>
      <c r="G900">
        <f t="shared" si="14"/>
        <v>5199.8799999999992</v>
      </c>
      <c r="H900" t="str">
        <f>_xlfn.XLOOKUP(C900,products[Product_ID],products[Product_Name],"not found",0)</f>
        <v>Trek Domane S 5 Disc - 2017</v>
      </c>
      <c r="I900" t="e">
        <f>VLOOKUP(products!D900,categories[#All],2,TRUE)</f>
        <v>#N/A</v>
      </c>
    </row>
    <row r="901" spans="1:9" x14ac:dyDescent="0.3">
      <c r="A901">
        <v>900</v>
      </c>
      <c r="B901">
        <v>1</v>
      </c>
      <c r="C901">
        <v>26</v>
      </c>
      <c r="D901">
        <v>2</v>
      </c>
      <c r="E901">
        <v>599.99</v>
      </c>
      <c r="F901">
        <v>0.05</v>
      </c>
      <c r="G901">
        <f t="shared" si="14"/>
        <v>1199.93</v>
      </c>
      <c r="H901" t="str">
        <f>_xlfn.XLOOKUP(C901,products[Product_ID],products[Product_Name],"not found",0)</f>
        <v>Electra Townie Original 7D EQ - 2016</v>
      </c>
      <c r="I901" t="e">
        <f>VLOOKUP(products!D901,categories[#All],2,TRUE)</f>
        <v>#N/A</v>
      </c>
    </row>
    <row r="902" spans="1:9" x14ac:dyDescent="0.3">
      <c r="A902">
        <v>901</v>
      </c>
      <c r="B902">
        <v>1</v>
      </c>
      <c r="C902">
        <v>50</v>
      </c>
      <c r="D902">
        <v>1</v>
      </c>
      <c r="E902">
        <v>5999.99</v>
      </c>
      <c r="F902">
        <v>0.2</v>
      </c>
      <c r="G902">
        <f t="shared" si="14"/>
        <v>5999.79</v>
      </c>
      <c r="H902" t="str">
        <f>_xlfn.XLOOKUP(C902,products[Product_ID],products[Product_Name],"not found",0)</f>
        <v>Trek Silque SLR 7 Women's - 2017</v>
      </c>
      <c r="I902" t="e">
        <f>VLOOKUP(products!D902,categories[#All],2,TRUE)</f>
        <v>#N/A</v>
      </c>
    </row>
    <row r="903" spans="1:9" x14ac:dyDescent="0.3">
      <c r="A903">
        <v>902</v>
      </c>
      <c r="B903">
        <v>1</v>
      </c>
      <c r="C903">
        <v>38</v>
      </c>
      <c r="D903">
        <v>2</v>
      </c>
      <c r="E903">
        <v>549.99</v>
      </c>
      <c r="F903">
        <v>7.0000000000000007E-2</v>
      </c>
      <c r="G903">
        <f t="shared" si="14"/>
        <v>1099.9100000000001</v>
      </c>
      <c r="H903" t="str">
        <f>_xlfn.XLOOKUP(C903,products[Product_ID],products[Product_Name],"not found",0)</f>
        <v>Haro Flightline Two 26 Plus - 2017</v>
      </c>
      <c r="I903" t="e">
        <f>VLOOKUP(products!D903,categories[#All],2,TRUE)</f>
        <v>#N/A</v>
      </c>
    </row>
    <row r="904" spans="1:9" x14ac:dyDescent="0.3">
      <c r="A904">
        <v>903</v>
      </c>
      <c r="B904">
        <v>1</v>
      </c>
      <c r="C904">
        <v>31</v>
      </c>
      <c r="D904">
        <v>2</v>
      </c>
      <c r="E904">
        <v>1632.99</v>
      </c>
      <c r="F904">
        <v>7.0000000000000007E-2</v>
      </c>
      <c r="G904">
        <f t="shared" si="14"/>
        <v>3265.91</v>
      </c>
      <c r="H904" t="str">
        <f>_xlfn.XLOOKUP(C904,products[Product_ID],products[Product_Name],"not found",0)</f>
        <v>Surly Wednesday - 2017</v>
      </c>
      <c r="I904" t="e">
        <f>VLOOKUP(products!D904,categories[#All],2,TRUE)</f>
        <v>#N/A</v>
      </c>
    </row>
    <row r="905" spans="1:9" x14ac:dyDescent="0.3">
      <c r="A905">
        <v>904</v>
      </c>
      <c r="B905">
        <v>1</v>
      </c>
      <c r="C905">
        <v>36</v>
      </c>
      <c r="D905">
        <v>2</v>
      </c>
      <c r="E905">
        <v>832.99</v>
      </c>
      <c r="F905">
        <v>0.1</v>
      </c>
      <c r="G905">
        <f t="shared" si="14"/>
        <v>1665.88</v>
      </c>
      <c r="H905" t="str">
        <f>_xlfn.XLOOKUP(C905,products[Product_ID],products[Product_Name],"not found",0)</f>
        <v>Surly Troll Frameset - 2017</v>
      </c>
      <c r="I905" t="e">
        <f>VLOOKUP(products!D905,categories[#All],2,TRUE)</f>
        <v>#N/A</v>
      </c>
    </row>
    <row r="906" spans="1:9" x14ac:dyDescent="0.3">
      <c r="A906">
        <v>905</v>
      </c>
      <c r="B906">
        <v>1</v>
      </c>
      <c r="C906">
        <v>67</v>
      </c>
      <c r="D906">
        <v>1</v>
      </c>
      <c r="E906">
        <v>250.99</v>
      </c>
      <c r="F906">
        <v>0.1</v>
      </c>
      <c r="G906">
        <f t="shared" si="14"/>
        <v>250.89000000000001</v>
      </c>
      <c r="H906" t="str">
        <f>_xlfn.XLOOKUP(C906,products[Product_ID],products[Product_Name],"not found",0)</f>
        <v>Sun Bicycles Revolutions 24 - Girl's - 2017</v>
      </c>
      <c r="I906" t="e">
        <f>VLOOKUP(products!D906,categories[#All],2,TRUE)</f>
        <v>#N/A</v>
      </c>
    </row>
    <row r="907" spans="1:9" x14ac:dyDescent="0.3">
      <c r="A907">
        <v>906</v>
      </c>
      <c r="B907">
        <v>1</v>
      </c>
      <c r="C907">
        <v>23</v>
      </c>
      <c r="D907">
        <v>2</v>
      </c>
      <c r="E907">
        <v>299.99</v>
      </c>
      <c r="F907">
        <v>0.2</v>
      </c>
      <c r="G907">
        <f t="shared" si="14"/>
        <v>599.78</v>
      </c>
      <c r="H907" t="str">
        <f>_xlfn.XLOOKUP(C907,products[Product_ID],products[Product_Name],"not found",0)</f>
        <v>Electra Girl's Hawaii 1 (20-inch) - 2015/2016</v>
      </c>
      <c r="I907" t="e">
        <f>VLOOKUP(products!D907,categories[#All],2,TRUE)</f>
        <v>#N/A</v>
      </c>
    </row>
    <row r="908" spans="1:9" x14ac:dyDescent="0.3">
      <c r="A908">
        <v>907</v>
      </c>
      <c r="B908">
        <v>1</v>
      </c>
      <c r="C908">
        <v>84</v>
      </c>
      <c r="D908">
        <v>2</v>
      </c>
      <c r="E908">
        <v>109.99</v>
      </c>
      <c r="F908">
        <v>7.0000000000000007E-2</v>
      </c>
      <c r="G908">
        <f t="shared" si="14"/>
        <v>219.91</v>
      </c>
      <c r="H908" t="str">
        <f>_xlfn.XLOOKUP(C908,products[Product_ID],products[Product_Name],"not found",0)</f>
        <v>Sun Bicycles Lil Kitt'n - 2017</v>
      </c>
      <c r="I908" t="e">
        <f>VLOOKUP(products!D908,categories[#All],2,TRUE)</f>
        <v>#N/A</v>
      </c>
    </row>
    <row r="909" spans="1:9" x14ac:dyDescent="0.3">
      <c r="A909">
        <v>908</v>
      </c>
      <c r="B909">
        <v>1</v>
      </c>
      <c r="C909">
        <v>41</v>
      </c>
      <c r="D909">
        <v>1</v>
      </c>
      <c r="E909">
        <v>1469.99</v>
      </c>
      <c r="F909">
        <v>0.2</v>
      </c>
      <c r="G909">
        <f t="shared" si="14"/>
        <v>1469.79</v>
      </c>
      <c r="H909" t="str">
        <f>_xlfn.XLOOKUP(C909,products[Product_ID],products[Product_Name],"not found",0)</f>
        <v>Haro Shift R3 - 2017</v>
      </c>
      <c r="I909" t="e">
        <f>VLOOKUP(products!D909,categories[#All],2,TRUE)</f>
        <v>#N/A</v>
      </c>
    </row>
    <row r="910" spans="1:9" x14ac:dyDescent="0.3">
      <c r="A910">
        <v>909</v>
      </c>
      <c r="B910">
        <v>1</v>
      </c>
      <c r="C910">
        <v>5</v>
      </c>
      <c r="D910">
        <v>1</v>
      </c>
      <c r="E910">
        <v>1320.99</v>
      </c>
      <c r="F910">
        <v>0.2</v>
      </c>
      <c r="G910">
        <f t="shared" si="14"/>
        <v>1320.79</v>
      </c>
      <c r="H910" t="str">
        <f>_xlfn.XLOOKUP(C910,products[Product_ID],products[Product_Name],"not found",0)</f>
        <v>Heller Shagamaw Frame - 2016</v>
      </c>
      <c r="I910" t="e">
        <f>VLOOKUP(products!D910,categories[#All],2,TRUE)</f>
        <v>#N/A</v>
      </c>
    </row>
    <row r="911" spans="1:9" x14ac:dyDescent="0.3">
      <c r="A911">
        <v>910</v>
      </c>
      <c r="B911">
        <v>1</v>
      </c>
      <c r="C911">
        <v>23</v>
      </c>
      <c r="D911">
        <v>1</v>
      </c>
      <c r="E911">
        <v>299.99</v>
      </c>
      <c r="F911">
        <v>0.1</v>
      </c>
      <c r="G911">
        <f t="shared" si="14"/>
        <v>299.89</v>
      </c>
      <c r="H911" t="str">
        <f>_xlfn.XLOOKUP(C911,products[Product_ID],products[Product_Name],"not found",0)</f>
        <v>Electra Girl's Hawaii 1 (20-inch) - 2015/2016</v>
      </c>
      <c r="I911" t="e">
        <f>VLOOKUP(products!D911,categories[#All],2,TRUE)</f>
        <v>#N/A</v>
      </c>
    </row>
    <row r="912" spans="1:9" x14ac:dyDescent="0.3">
      <c r="A912">
        <v>911</v>
      </c>
      <c r="B912">
        <v>1</v>
      </c>
      <c r="C912">
        <v>66</v>
      </c>
      <c r="D912">
        <v>2</v>
      </c>
      <c r="E912">
        <v>250.99</v>
      </c>
      <c r="F912">
        <v>0.05</v>
      </c>
      <c r="G912">
        <f t="shared" si="14"/>
        <v>501.93</v>
      </c>
      <c r="H912" t="str">
        <f>_xlfn.XLOOKUP(C912,products[Product_ID],products[Product_Name],"not found",0)</f>
        <v>Sun Bicycles Revolutions 24 - 2017</v>
      </c>
      <c r="I912" t="e">
        <f>VLOOKUP(products!D912,categories[#All],2,TRUE)</f>
        <v>#N/A</v>
      </c>
    </row>
    <row r="913" spans="1:9" x14ac:dyDescent="0.3">
      <c r="A913">
        <v>912</v>
      </c>
      <c r="B913">
        <v>1</v>
      </c>
      <c r="C913">
        <v>22</v>
      </c>
      <c r="D913">
        <v>2</v>
      </c>
      <c r="E913">
        <v>269.99</v>
      </c>
      <c r="F913">
        <v>0.2</v>
      </c>
      <c r="G913">
        <f t="shared" si="14"/>
        <v>539.78</v>
      </c>
      <c r="H913" t="str">
        <f>_xlfn.XLOOKUP(C913,products[Product_ID],products[Product_Name],"not found",0)</f>
        <v>Electra Girl's Hawaii 1 (16-inch) - 2015/2016</v>
      </c>
      <c r="I913" t="e">
        <f>VLOOKUP(products!D913,categories[#All],2,TRUE)</f>
        <v>#N/A</v>
      </c>
    </row>
    <row r="914" spans="1:9" x14ac:dyDescent="0.3">
      <c r="A914">
        <v>913</v>
      </c>
      <c r="B914">
        <v>1</v>
      </c>
      <c r="C914">
        <v>90</v>
      </c>
      <c r="D914">
        <v>2</v>
      </c>
      <c r="E914">
        <v>209.99</v>
      </c>
      <c r="F914">
        <v>0.1</v>
      </c>
      <c r="G914">
        <f t="shared" si="14"/>
        <v>419.88</v>
      </c>
      <c r="H914" t="str">
        <f>_xlfn.XLOOKUP(C914,products[Product_ID],products[Product_Name],"not found",0)</f>
        <v>Trek Precaliber 16 Girls - 2017</v>
      </c>
      <c r="I914" t="e">
        <f>VLOOKUP(products!D914,categories[#All],2,TRUE)</f>
        <v>#N/A</v>
      </c>
    </row>
    <row r="915" spans="1:9" x14ac:dyDescent="0.3">
      <c r="A915">
        <v>914</v>
      </c>
      <c r="B915">
        <v>1</v>
      </c>
      <c r="C915">
        <v>38</v>
      </c>
      <c r="D915">
        <v>1</v>
      </c>
      <c r="E915">
        <v>549.99</v>
      </c>
      <c r="F915">
        <v>7.0000000000000007E-2</v>
      </c>
      <c r="G915">
        <f t="shared" si="14"/>
        <v>549.91999999999996</v>
      </c>
      <c r="H915" t="str">
        <f>_xlfn.XLOOKUP(C915,products[Product_ID],products[Product_Name],"not found",0)</f>
        <v>Haro Flightline Two 26 Plus - 2017</v>
      </c>
      <c r="I915" t="e">
        <f>VLOOKUP(products!D915,categories[#All],2,TRUE)</f>
        <v>#N/A</v>
      </c>
    </row>
    <row r="916" spans="1:9" x14ac:dyDescent="0.3">
      <c r="A916">
        <v>915</v>
      </c>
      <c r="B916">
        <v>1</v>
      </c>
      <c r="C916">
        <v>64</v>
      </c>
      <c r="D916">
        <v>1</v>
      </c>
      <c r="E916">
        <v>489.99</v>
      </c>
      <c r="F916">
        <v>0.05</v>
      </c>
      <c r="G916">
        <f t="shared" si="14"/>
        <v>489.94</v>
      </c>
      <c r="H916" t="str">
        <f>_xlfn.XLOOKUP(C916,products[Product_ID],products[Product_Name],"not found",0)</f>
        <v>Electra Townie Original 7D - 2017</v>
      </c>
      <c r="I916" t="e">
        <f>VLOOKUP(products!D916,categories[#All],2,TRUE)</f>
        <v>#N/A</v>
      </c>
    </row>
    <row r="917" spans="1:9" x14ac:dyDescent="0.3">
      <c r="A917">
        <v>916</v>
      </c>
      <c r="B917">
        <v>1</v>
      </c>
      <c r="C917">
        <v>92</v>
      </c>
      <c r="D917">
        <v>1</v>
      </c>
      <c r="E917">
        <v>209.99</v>
      </c>
      <c r="F917">
        <v>0.2</v>
      </c>
      <c r="G917">
        <f t="shared" si="14"/>
        <v>209.79000000000002</v>
      </c>
      <c r="H917" t="str">
        <f>_xlfn.XLOOKUP(C917,products[Product_ID],products[Product_Name],"not found",0)</f>
        <v>Haro Shredder 20 - 2017</v>
      </c>
      <c r="I917" t="e">
        <f>VLOOKUP(products!D917,categories[#All],2,TRUE)</f>
        <v>#N/A</v>
      </c>
    </row>
    <row r="918" spans="1:9" x14ac:dyDescent="0.3">
      <c r="A918">
        <v>917</v>
      </c>
      <c r="B918">
        <v>1</v>
      </c>
      <c r="C918">
        <v>41</v>
      </c>
      <c r="D918">
        <v>1</v>
      </c>
      <c r="E918">
        <v>1469.99</v>
      </c>
      <c r="F918">
        <v>7.0000000000000007E-2</v>
      </c>
      <c r="G918">
        <f t="shared" si="14"/>
        <v>1469.92</v>
      </c>
      <c r="H918" t="str">
        <f>_xlfn.XLOOKUP(C918,products[Product_ID],products[Product_Name],"not found",0)</f>
        <v>Haro Shift R3 - 2017</v>
      </c>
      <c r="I918" t="e">
        <f>VLOOKUP(products!D918,categories[#All],2,TRUE)</f>
        <v>#N/A</v>
      </c>
    </row>
    <row r="919" spans="1:9" x14ac:dyDescent="0.3">
      <c r="A919">
        <v>918</v>
      </c>
      <c r="B919">
        <v>1</v>
      </c>
      <c r="C919">
        <v>91</v>
      </c>
      <c r="D919">
        <v>1</v>
      </c>
      <c r="E919">
        <v>349.99</v>
      </c>
      <c r="F919">
        <v>0.2</v>
      </c>
      <c r="G919">
        <f t="shared" si="14"/>
        <v>349.79</v>
      </c>
      <c r="H919" t="str">
        <f>_xlfn.XLOOKUP(C919,products[Product_ID],products[Product_Name],"not found",0)</f>
        <v>Trek Precaliber 24 (21-Speed) - Girls - 2017</v>
      </c>
      <c r="I919" t="e">
        <f>VLOOKUP(products!D919,categories[#All],2,TRUE)</f>
        <v>#N/A</v>
      </c>
    </row>
    <row r="920" spans="1:9" x14ac:dyDescent="0.3">
      <c r="A920">
        <v>919</v>
      </c>
      <c r="B920">
        <v>1</v>
      </c>
      <c r="C920">
        <v>7</v>
      </c>
      <c r="D920">
        <v>1</v>
      </c>
      <c r="E920">
        <v>3999.99</v>
      </c>
      <c r="F920">
        <v>7.0000000000000007E-2</v>
      </c>
      <c r="G920">
        <f t="shared" si="14"/>
        <v>3999.9199999999996</v>
      </c>
      <c r="H920" t="str">
        <f>_xlfn.XLOOKUP(C920,products[Product_ID],products[Product_Name],"not found",0)</f>
        <v>Trek Slash 8 27.5 - 2016</v>
      </c>
      <c r="I920" t="e">
        <f>VLOOKUP(products!D920,categories[#All],2,TRUE)</f>
        <v>#N/A</v>
      </c>
    </row>
    <row r="921" spans="1:9" x14ac:dyDescent="0.3">
      <c r="A921">
        <v>920</v>
      </c>
      <c r="B921">
        <v>1</v>
      </c>
      <c r="C921">
        <v>76</v>
      </c>
      <c r="D921">
        <v>1</v>
      </c>
      <c r="E921">
        <v>299.99</v>
      </c>
      <c r="F921">
        <v>0.05</v>
      </c>
      <c r="G921">
        <f t="shared" si="14"/>
        <v>299.94</v>
      </c>
      <c r="H921" t="str">
        <f>_xlfn.XLOOKUP(C921,products[Product_ID],products[Product_Name],"not found",0)</f>
        <v>Electra Girl's Hawaii 1 16" - 2017</v>
      </c>
      <c r="I921" t="e">
        <f>VLOOKUP(products!D921,categories[#All],2,TRUE)</f>
        <v>#N/A</v>
      </c>
    </row>
    <row r="922" spans="1:9" x14ac:dyDescent="0.3">
      <c r="A922">
        <v>921</v>
      </c>
      <c r="B922">
        <v>1</v>
      </c>
      <c r="C922">
        <v>77</v>
      </c>
      <c r="D922">
        <v>1</v>
      </c>
      <c r="E922">
        <v>799.99</v>
      </c>
      <c r="F922">
        <v>0.2</v>
      </c>
      <c r="G922">
        <f t="shared" si="14"/>
        <v>799.79</v>
      </c>
      <c r="H922" t="str">
        <f>_xlfn.XLOOKUP(C922,products[Product_ID],products[Product_Name],"not found",0)</f>
        <v>Electra Glam Punk 3i Ladies' - 2017</v>
      </c>
      <c r="I922" t="e">
        <f>VLOOKUP(products!D922,categories[#All],2,TRUE)</f>
        <v>#N/A</v>
      </c>
    </row>
    <row r="923" spans="1:9" x14ac:dyDescent="0.3">
      <c r="A923">
        <v>922</v>
      </c>
      <c r="B923">
        <v>1</v>
      </c>
      <c r="C923">
        <v>68</v>
      </c>
      <c r="D923">
        <v>1</v>
      </c>
      <c r="E923">
        <v>449.99</v>
      </c>
      <c r="F923">
        <v>0.2</v>
      </c>
      <c r="G923">
        <f t="shared" si="14"/>
        <v>449.79</v>
      </c>
      <c r="H923" t="str">
        <f>_xlfn.XLOOKUP(C923,products[Product_ID],products[Product_Name],"not found",0)</f>
        <v>Sun Bicycles Cruz 3 - 2017</v>
      </c>
      <c r="I923" t="e">
        <f>VLOOKUP(products!D923,categories[#All],2,TRUE)</f>
        <v>#N/A</v>
      </c>
    </row>
    <row r="924" spans="1:9" x14ac:dyDescent="0.3">
      <c r="A924">
        <v>923</v>
      </c>
      <c r="B924">
        <v>1</v>
      </c>
      <c r="C924">
        <v>74</v>
      </c>
      <c r="D924">
        <v>2</v>
      </c>
      <c r="E924">
        <v>439.99</v>
      </c>
      <c r="F924">
        <v>0.05</v>
      </c>
      <c r="G924">
        <f t="shared" si="14"/>
        <v>879.93000000000006</v>
      </c>
      <c r="H924" t="str">
        <f>_xlfn.XLOOKUP(C924,products[Product_ID],products[Product_Name],"not found",0)</f>
        <v>Electra Cruiser Lux 1 - 2017</v>
      </c>
      <c r="I924" t="e">
        <f>VLOOKUP(products!D924,categories[#All],2,TRUE)</f>
        <v>#N/A</v>
      </c>
    </row>
    <row r="925" spans="1:9" x14ac:dyDescent="0.3">
      <c r="A925">
        <v>924</v>
      </c>
      <c r="B925">
        <v>1</v>
      </c>
      <c r="C925">
        <v>97</v>
      </c>
      <c r="D925">
        <v>2</v>
      </c>
      <c r="E925">
        <v>349.99</v>
      </c>
      <c r="F925">
        <v>0.2</v>
      </c>
      <c r="G925">
        <f t="shared" si="14"/>
        <v>699.78</v>
      </c>
      <c r="H925" t="str">
        <f>_xlfn.XLOOKUP(C925,products[Product_ID],products[Product_Name],"not found",0)</f>
        <v>Electra Savannah 3i (20-inch) - Girl's - 2017</v>
      </c>
      <c r="I925" t="e">
        <f>VLOOKUP(products!D925,categories[#All],2,TRUE)</f>
        <v>#N/A</v>
      </c>
    </row>
    <row r="926" spans="1:9" x14ac:dyDescent="0.3">
      <c r="A926">
        <v>925</v>
      </c>
      <c r="B926">
        <v>1</v>
      </c>
      <c r="C926">
        <v>97</v>
      </c>
      <c r="D926">
        <v>1</v>
      </c>
      <c r="E926">
        <v>349.99</v>
      </c>
      <c r="F926">
        <v>7.0000000000000007E-2</v>
      </c>
      <c r="G926">
        <f t="shared" si="14"/>
        <v>349.92</v>
      </c>
      <c r="H926" t="str">
        <f>_xlfn.XLOOKUP(C926,products[Product_ID],products[Product_Name],"not found",0)</f>
        <v>Electra Savannah 3i (20-inch) - Girl's - 2017</v>
      </c>
      <c r="I926" t="e">
        <f>VLOOKUP(products!D926,categories[#All],2,TRUE)</f>
        <v>#N/A</v>
      </c>
    </row>
    <row r="927" spans="1:9" x14ac:dyDescent="0.3">
      <c r="A927">
        <v>926</v>
      </c>
      <c r="B927">
        <v>1</v>
      </c>
      <c r="C927">
        <v>37</v>
      </c>
      <c r="D927">
        <v>2</v>
      </c>
      <c r="E927">
        <v>379.99</v>
      </c>
      <c r="F927">
        <v>0.2</v>
      </c>
      <c r="G927">
        <f t="shared" si="14"/>
        <v>759.78</v>
      </c>
      <c r="H927" t="str">
        <f>_xlfn.XLOOKUP(C927,products[Product_ID],products[Product_Name],"not found",0)</f>
        <v>Haro Flightline One ST - 2017</v>
      </c>
      <c r="I927" t="e">
        <f>VLOOKUP(products!D927,categories[#All],2,TRUE)</f>
        <v>#N/A</v>
      </c>
    </row>
    <row r="928" spans="1:9" x14ac:dyDescent="0.3">
      <c r="A928">
        <v>927</v>
      </c>
      <c r="B928">
        <v>1</v>
      </c>
      <c r="C928">
        <v>74</v>
      </c>
      <c r="D928">
        <v>2</v>
      </c>
      <c r="E928">
        <v>439.99</v>
      </c>
      <c r="F928">
        <v>0.1</v>
      </c>
      <c r="G928">
        <f t="shared" si="14"/>
        <v>879.88</v>
      </c>
      <c r="H928" t="str">
        <f>_xlfn.XLOOKUP(C928,products[Product_ID],products[Product_Name],"not found",0)</f>
        <v>Electra Cruiser Lux 1 - 2017</v>
      </c>
      <c r="I928" t="e">
        <f>VLOOKUP(products!D928,categories[#All],2,TRUE)</f>
        <v>#N/A</v>
      </c>
    </row>
    <row r="929" spans="1:9" x14ac:dyDescent="0.3">
      <c r="A929">
        <v>928</v>
      </c>
      <c r="B929">
        <v>1</v>
      </c>
      <c r="C929">
        <v>71</v>
      </c>
      <c r="D929">
        <v>2</v>
      </c>
      <c r="E929">
        <v>416.99</v>
      </c>
      <c r="F929">
        <v>0.05</v>
      </c>
      <c r="G929">
        <f t="shared" si="14"/>
        <v>833.93000000000006</v>
      </c>
      <c r="H929" t="str">
        <f>_xlfn.XLOOKUP(C929,products[Product_ID],products[Product_Name],"not found",0)</f>
        <v>Sun Bicycles Atlas X-Type - 2017</v>
      </c>
      <c r="I929" t="e">
        <f>VLOOKUP(products!D929,categories[#All],2,TRUE)</f>
        <v>#N/A</v>
      </c>
    </row>
    <row r="930" spans="1:9" x14ac:dyDescent="0.3">
      <c r="A930">
        <v>929</v>
      </c>
      <c r="B930">
        <v>1</v>
      </c>
      <c r="C930">
        <v>82</v>
      </c>
      <c r="D930">
        <v>1</v>
      </c>
      <c r="E930">
        <v>659.99</v>
      </c>
      <c r="F930">
        <v>0.2</v>
      </c>
      <c r="G930">
        <f t="shared" si="14"/>
        <v>659.79</v>
      </c>
      <c r="H930" t="str">
        <f>_xlfn.XLOOKUP(C930,products[Product_ID],products[Product_Name],"not found",0)</f>
        <v>Electra Amsterdam Original 3i Ladies' - 2017</v>
      </c>
      <c r="I930" t="e">
        <f>VLOOKUP(products!D930,categories[#All],2,TRUE)</f>
        <v>#N/A</v>
      </c>
    </row>
    <row r="931" spans="1:9" x14ac:dyDescent="0.3">
      <c r="A931">
        <v>930</v>
      </c>
      <c r="B931">
        <v>1</v>
      </c>
      <c r="C931">
        <v>56</v>
      </c>
      <c r="D931">
        <v>2</v>
      </c>
      <c r="E931">
        <v>5499.99</v>
      </c>
      <c r="F931">
        <v>7.0000000000000007E-2</v>
      </c>
      <c r="G931">
        <f t="shared" si="14"/>
        <v>10999.91</v>
      </c>
      <c r="H931" t="str">
        <f>_xlfn.XLOOKUP(C931,products[Product_ID],products[Product_Name],"not found",0)</f>
        <v>Trek Domane SLR 6 Disc - 2017</v>
      </c>
      <c r="I931" t="e">
        <f>VLOOKUP(products!D931,categories[#All],2,TRUE)</f>
        <v>#N/A</v>
      </c>
    </row>
    <row r="932" spans="1:9" x14ac:dyDescent="0.3">
      <c r="A932">
        <v>931</v>
      </c>
      <c r="B932">
        <v>1</v>
      </c>
      <c r="C932">
        <v>49</v>
      </c>
      <c r="D932">
        <v>2</v>
      </c>
      <c r="E932">
        <v>3499.99</v>
      </c>
      <c r="F932">
        <v>7.0000000000000007E-2</v>
      </c>
      <c r="G932">
        <f t="shared" si="14"/>
        <v>6999.91</v>
      </c>
      <c r="H932" t="str">
        <f>_xlfn.XLOOKUP(C932,products[Product_ID],products[Product_Name],"not found",0)</f>
        <v>Trek Domane SL 6 - 2017</v>
      </c>
      <c r="I932" t="e">
        <f>VLOOKUP(products!D932,categories[#All],2,TRUE)</f>
        <v>#N/A</v>
      </c>
    </row>
    <row r="933" spans="1:9" x14ac:dyDescent="0.3">
      <c r="A933">
        <v>932</v>
      </c>
      <c r="B933">
        <v>1</v>
      </c>
      <c r="C933">
        <v>74</v>
      </c>
      <c r="D933">
        <v>1</v>
      </c>
      <c r="E933">
        <v>439.99</v>
      </c>
      <c r="F933">
        <v>0.05</v>
      </c>
      <c r="G933">
        <f t="shared" si="14"/>
        <v>439.94</v>
      </c>
      <c r="H933" t="str">
        <f>_xlfn.XLOOKUP(C933,products[Product_ID],products[Product_Name],"not found",0)</f>
        <v>Electra Cruiser Lux 1 - 2017</v>
      </c>
      <c r="I933" t="e">
        <f>VLOOKUP(products!D933,categories[#All],2,TRUE)</f>
        <v>#N/A</v>
      </c>
    </row>
    <row r="934" spans="1:9" x14ac:dyDescent="0.3">
      <c r="A934">
        <v>933</v>
      </c>
      <c r="B934">
        <v>1</v>
      </c>
      <c r="C934">
        <v>77</v>
      </c>
      <c r="D934">
        <v>1</v>
      </c>
      <c r="E934">
        <v>799.99</v>
      </c>
      <c r="F934">
        <v>7.0000000000000007E-2</v>
      </c>
      <c r="G934">
        <f t="shared" si="14"/>
        <v>799.92</v>
      </c>
      <c r="H934" t="str">
        <f>_xlfn.XLOOKUP(C934,products[Product_ID],products[Product_Name],"not found",0)</f>
        <v>Electra Glam Punk 3i Ladies' - 2017</v>
      </c>
      <c r="I934" t="e">
        <f>VLOOKUP(products!D934,categories[#All],2,TRUE)</f>
        <v>#N/A</v>
      </c>
    </row>
    <row r="935" spans="1:9" x14ac:dyDescent="0.3">
      <c r="A935">
        <v>934</v>
      </c>
      <c r="B935">
        <v>1</v>
      </c>
      <c r="C935">
        <v>35</v>
      </c>
      <c r="D935">
        <v>2</v>
      </c>
      <c r="E935">
        <v>832.99</v>
      </c>
      <c r="F935">
        <v>0.05</v>
      </c>
      <c r="G935">
        <f t="shared" si="14"/>
        <v>1665.93</v>
      </c>
      <c r="H935" t="str">
        <f>_xlfn.XLOOKUP(C935,products[Product_ID],products[Product_Name],"not found",0)</f>
        <v>Sun Bicycles Spider 3i - 2017</v>
      </c>
      <c r="I935" t="e">
        <f>VLOOKUP(products!D935,categories[#All],2,TRUE)</f>
        <v>#N/A</v>
      </c>
    </row>
    <row r="936" spans="1:9" x14ac:dyDescent="0.3">
      <c r="A936">
        <v>935</v>
      </c>
      <c r="B936">
        <v>1</v>
      </c>
      <c r="C936">
        <v>65</v>
      </c>
      <c r="D936">
        <v>2</v>
      </c>
      <c r="E936">
        <v>346.99</v>
      </c>
      <c r="F936">
        <v>0.2</v>
      </c>
      <c r="G936">
        <f t="shared" si="14"/>
        <v>693.78</v>
      </c>
      <c r="H936" t="str">
        <f>_xlfn.XLOOKUP(C936,products[Product_ID],products[Product_Name],"not found",0)</f>
        <v>Sun Bicycles Lil Bolt Type-R - 2017</v>
      </c>
      <c r="I936" t="e">
        <f>VLOOKUP(products!D936,categories[#All],2,TRUE)</f>
        <v>#N/A</v>
      </c>
    </row>
    <row r="937" spans="1:9" x14ac:dyDescent="0.3">
      <c r="A937">
        <v>936</v>
      </c>
      <c r="B937">
        <v>1</v>
      </c>
      <c r="C937">
        <v>70</v>
      </c>
      <c r="D937">
        <v>1</v>
      </c>
      <c r="E937">
        <v>659.99</v>
      </c>
      <c r="F937">
        <v>0.1</v>
      </c>
      <c r="G937">
        <f t="shared" si="14"/>
        <v>659.89</v>
      </c>
      <c r="H937" t="str">
        <f>_xlfn.XLOOKUP(C937,products[Product_ID],products[Product_Name],"not found",0)</f>
        <v>Electra Amsterdam Original 3i - 2015/2017</v>
      </c>
      <c r="I937" t="e">
        <f>VLOOKUP(products!D937,categories[#All],2,TRUE)</f>
        <v>#N/A</v>
      </c>
    </row>
    <row r="938" spans="1:9" x14ac:dyDescent="0.3">
      <c r="A938">
        <v>937</v>
      </c>
      <c r="B938">
        <v>1</v>
      </c>
      <c r="C938">
        <v>108</v>
      </c>
      <c r="D938">
        <v>2</v>
      </c>
      <c r="E938">
        <v>449.99</v>
      </c>
      <c r="F938">
        <v>0.1</v>
      </c>
      <c r="G938">
        <f t="shared" si="14"/>
        <v>899.88</v>
      </c>
      <c r="H938" t="str">
        <f>_xlfn.XLOOKUP(C938,products[Product_ID],products[Product_Name],"not found",0)</f>
        <v>Sun Bicycles Cruz 3 - Women's - 2017</v>
      </c>
      <c r="I938" t="e">
        <f>VLOOKUP(products!D938,categories[#All],2,TRUE)</f>
        <v>#N/A</v>
      </c>
    </row>
    <row r="939" spans="1:9" x14ac:dyDescent="0.3">
      <c r="A939">
        <v>938</v>
      </c>
      <c r="B939">
        <v>1</v>
      </c>
      <c r="C939">
        <v>4</v>
      </c>
      <c r="D939">
        <v>1</v>
      </c>
      <c r="E939">
        <v>2899.99</v>
      </c>
      <c r="F939">
        <v>0.05</v>
      </c>
      <c r="G939">
        <f t="shared" si="14"/>
        <v>2899.9399999999996</v>
      </c>
      <c r="H939" t="str">
        <f>_xlfn.XLOOKUP(C939,products[Product_ID],products[Product_Name],"not found",0)</f>
        <v>Trek Fuel EX 8 29 - 2016</v>
      </c>
      <c r="I939" t="e">
        <f>VLOOKUP(products!D939,categories[#All],2,TRUE)</f>
        <v>#N/A</v>
      </c>
    </row>
    <row r="940" spans="1:9" x14ac:dyDescent="0.3">
      <c r="A940">
        <v>939</v>
      </c>
      <c r="B940">
        <v>1</v>
      </c>
      <c r="C940">
        <v>5</v>
      </c>
      <c r="D940">
        <v>1</v>
      </c>
      <c r="E940">
        <v>1320.99</v>
      </c>
      <c r="F940">
        <v>0.1</v>
      </c>
      <c r="G940">
        <f t="shared" si="14"/>
        <v>1320.89</v>
      </c>
      <c r="H940" t="str">
        <f>_xlfn.XLOOKUP(C940,products[Product_ID],products[Product_Name],"not found",0)</f>
        <v>Heller Shagamaw Frame - 2016</v>
      </c>
      <c r="I940" t="e">
        <f>VLOOKUP(products!D940,categories[#All],2,TRUE)</f>
        <v>#N/A</v>
      </c>
    </row>
    <row r="941" spans="1:9" x14ac:dyDescent="0.3">
      <c r="A941">
        <v>940</v>
      </c>
      <c r="B941">
        <v>1</v>
      </c>
      <c r="C941">
        <v>75</v>
      </c>
      <c r="D941">
        <v>2</v>
      </c>
      <c r="E941">
        <v>599.99</v>
      </c>
      <c r="F941">
        <v>0.2</v>
      </c>
      <c r="G941">
        <f t="shared" si="14"/>
        <v>1199.78</v>
      </c>
      <c r="H941" t="str">
        <f>_xlfn.XLOOKUP(C941,products[Product_ID],products[Product_Name],"not found",0)</f>
        <v>Electra Cruiser Lux Fat Tire 1 Ladies - 2017</v>
      </c>
      <c r="I941" t="e">
        <f>VLOOKUP(products!D941,categories[#All],2,TRUE)</f>
        <v>#N/A</v>
      </c>
    </row>
    <row r="942" spans="1:9" x14ac:dyDescent="0.3">
      <c r="A942">
        <v>941</v>
      </c>
      <c r="B942">
        <v>1</v>
      </c>
      <c r="C942">
        <v>25</v>
      </c>
      <c r="D942">
        <v>1</v>
      </c>
      <c r="E942">
        <v>499.99</v>
      </c>
      <c r="F942">
        <v>0.1</v>
      </c>
      <c r="G942">
        <f t="shared" si="14"/>
        <v>499.89</v>
      </c>
      <c r="H942" t="str">
        <f>_xlfn.XLOOKUP(C942,products[Product_ID],products[Product_Name],"not found",0)</f>
        <v>Electra Townie Original 7D - 2015/2016</v>
      </c>
      <c r="I942" t="e">
        <f>VLOOKUP(products!D942,categories[#All],2,TRUE)</f>
        <v>#N/A</v>
      </c>
    </row>
    <row r="943" spans="1:9" x14ac:dyDescent="0.3">
      <c r="A943">
        <v>942</v>
      </c>
      <c r="B943">
        <v>1</v>
      </c>
      <c r="C943">
        <v>98</v>
      </c>
      <c r="D943">
        <v>2</v>
      </c>
      <c r="E943">
        <v>489.99</v>
      </c>
      <c r="F943">
        <v>0.05</v>
      </c>
      <c r="G943">
        <f t="shared" si="14"/>
        <v>979.93000000000006</v>
      </c>
      <c r="H943" t="str">
        <f>_xlfn.XLOOKUP(C943,products[Product_ID],products[Product_Name],"not found",0)</f>
        <v>Electra Straight 8 3i (20-inch) - Boy's - 2017</v>
      </c>
      <c r="I943" t="e">
        <f>VLOOKUP(products!D943,categories[#All],2,TRUE)</f>
        <v>#N/A</v>
      </c>
    </row>
    <row r="944" spans="1:9" x14ac:dyDescent="0.3">
      <c r="A944">
        <v>943</v>
      </c>
      <c r="B944">
        <v>1</v>
      </c>
      <c r="C944">
        <v>25</v>
      </c>
      <c r="D944">
        <v>1</v>
      </c>
      <c r="E944">
        <v>499.99</v>
      </c>
      <c r="F944">
        <v>0.2</v>
      </c>
      <c r="G944">
        <f t="shared" si="14"/>
        <v>499.79</v>
      </c>
      <c r="H944" t="str">
        <f>_xlfn.XLOOKUP(C944,products[Product_ID],products[Product_Name],"not found",0)</f>
        <v>Electra Townie Original 7D - 2015/2016</v>
      </c>
      <c r="I944" t="e">
        <f>VLOOKUP(products!D944,categories[#All],2,TRUE)</f>
        <v>#N/A</v>
      </c>
    </row>
    <row r="945" spans="1:9" x14ac:dyDescent="0.3">
      <c r="A945">
        <v>944</v>
      </c>
      <c r="B945">
        <v>1</v>
      </c>
      <c r="C945">
        <v>29</v>
      </c>
      <c r="D945">
        <v>2</v>
      </c>
      <c r="E945">
        <v>999.99</v>
      </c>
      <c r="F945">
        <v>7.0000000000000007E-2</v>
      </c>
      <c r="G945">
        <f t="shared" si="14"/>
        <v>1999.91</v>
      </c>
      <c r="H945" t="str">
        <f>_xlfn.XLOOKUP(C945,products[Product_ID],products[Product_Name],"not found",0)</f>
        <v>Trek X-Caliber 8 - 2017</v>
      </c>
      <c r="I945" t="e">
        <f>VLOOKUP(products!D945,categories[#All],2,TRUE)</f>
        <v>#N/A</v>
      </c>
    </row>
    <row r="946" spans="1:9" x14ac:dyDescent="0.3">
      <c r="A946">
        <v>945</v>
      </c>
      <c r="B946">
        <v>1</v>
      </c>
      <c r="C946">
        <v>105</v>
      </c>
      <c r="D946">
        <v>1</v>
      </c>
      <c r="E946">
        <v>533.99</v>
      </c>
      <c r="F946">
        <v>0.05</v>
      </c>
      <c r="G946">
        <f t="shared" si="14"/>
        <v>533.94000000000005</v>
      </c>
      <c r="H946" t="str">
        <f>_xlfn.XLOOKUP(C946,products[Product_ID],products[Product_Name],"not found",0)</f>
        <v>Sun Bicycles Streamway 7 - 2017</v>
      </c>
      <c r="I946" t="e">
        <f>VLOOKUP(products!D946,categories[#All],2,TRUE)</f>
        <v>#N/A</v>
      </c>
    </row>
    <row r="947" spans="1:9" x14ac:dyDescent="0.3">
      <c r="A947">
        <v>946</v>
      </c>
      <c r="B947">
        <v>1</v>
      </c>
      <c r="C947">
        <v>7</v>
      </c>
      <c r="D947">
        <v>1</v>
      </c>
      <c r="E947">
        <v>3999.99</v>
      </c>
      <c r="F947">
        <v>0.1</v>
      </c>
      <c r="G947">
        <f t="shared" si="14"/>
        <v>3999.89</v>
      </c>
      <c r="H947" t="str">
        <f>_xlfn.XLOOKUP(C947,products[Product_ID],products[Product_Name],"not found",0)</f>
        <v>Trek Slash 8 27.5 - 2016</v>
      </c>
      <c r="I947" t="e">
        <f>VLOOKUP(products!D947,categories[#All],2,TRUE)</f>
        <v>#N/A</v>
      </c>
    </row>
    <row r="948" spans="1:9" x14ac:dyDescent="0.3">
      <c r="A948">
        <v>947</v>
      </c>
      <c r="B948">
        <v>1</v>
      </c>
      <c r="C948">
        <v>32</v>
      </c>
      <c r="D948">
        <v>1</v>
      </c>
      <c r="E948">
        <v>469.99</v>
      </c>
      <c r="F948">
        <v>0.05</v>
      </c>
      <c r="G948">
        <f t="shared" si="14"/>
        <v>469.94</v>
      </c>
      <c r="H948" t="str">
        <f>_xlfn.XLOOKUP(C948,products[Product_ID],products[Product_Name],"not found",0)</f>
        <v>Trek Farley Alloy Frameset - 2017</v>
      </c>
      <c r="I948" t="e">
        <f>VLOOKUP(products!D948,categories[#All],2,TRUE)</f>
        <v>#N/A</v>
      </c>
    </row>
    <row r="949" spans="1:9" x14ac:dyDescent="0.3">
      <c r="A949">
        <v>948</v>
      </c>
      <c r="B949">
        <v>1</v>
      </c>
      <c r="C949">
        <v>23</v>
      </c>
      <c r="D949">
        <v>2</v>
      </c>
      <c r="E949">
        <v>299.99</v>
      </c>
      <c r="F949">
        <v>0.2</v>
      </c>
      <c r="G949">
        <f t="shared" si="14"/>
        <v>599.78</v>
      </c>
      <c r="H949" t="str">
        <f>_xlfn.XLOOKUP(C949,products[Product_ID],products[Product_Name],"not found",0)</f>
        <v>Electra Girl's Hawaii 1 (20-inch) - 2015/2016</v>
      </c>
      <c r="I949" t="e">
        <f>VLOOKUP(products!D949,categories[#All],2,TRUE)</f>
        <v>#N/A</v>
      </c>
    </row>
    <row r="950" spans="1:9" x14ac:dyDescent="0.3">
      <c r="A950">
        <v>949</v>
      </c>
      <c r="B950">
        <v>1</v>
      </c>
      <c r="C950">
        <v>9</v>
      </c>
      <c r="D950">
        <v>2</v>
      </c>
      <c r="E950">
        <v>2999.99</v>
      </c>
      <c r="F950">
        <v>0.1</v>
      </c>
      <c r="G950">
        <f t="shared" si="14"/>
        <v>5999.8799999999992</v>
      </c>
      <c r="H950" t="str">
        <f>_xlfn.XLOOKUP(C950,products[Product_ID],products[Product_Name],"not found",0)</f>
        <v>Trek Conduit+ - 2016</v>
      </c>
      <c r="I950" t="e">
        <f>VLOOKUP(products!D950,categories[#All],2,TRUE)</f>
        <v>#N/A</v>
      </c>
    </row>
    <row r="951" spans="1:9" x14ac:dyDescent="0.3">
      <c r="A951">
        <v>950</v>
      </c>
      <c r="B951">
        <v>1</v>
      </c>
      <c r="C951">
        <v>56</v>
      </c>
      <c r="D951">
        <v>1</v>
      </c>
      <c r="E951">
        <v>5499.99</v>
      </c>
      <c r="F951">
        <v>0.05</v>
      </c>
      <c r="G951">
        <f t="shared" si="14"/>
        <v>5499.94</v>
      </c>
      <c r="H951" t="str">
        <f>_xlfn.XLOOKUP(C951,products[Product_ID],products[Product_Name],"not found",0)</f>
        <v>Trek Domane SLR 6 Disc - 2017</v>
      </c>
      <c r="I951" t="e">
        <f>VLOOKUP(products!D951,categories[#All],2,TRUE)</f>
        <v>#N/A</v>
      </c>
    </row>
    <row r="952" spans="1:9" x14ac:dyDescent="0.3">
      <c r="A952">
        <v>951</v>
      </c>
      <c r="B952">
        <v>1</v>
      </c>
      <c r="C952">
        <v>59</v>
      </c>
      <c r="D952">
        <v>1</v>
      </c>
      <c r="E952">
        <v>2599.9899999999998</v>
      </c>
      <c r="F952">
        <v>0.1</v>
      </c>
      <c r="G952">
        <f t="shared" si="14"/>
        <v>2599.89</v>
      </c>
      <c r="H952" t="str">
        <f>_xlfn.XLOOKUP(C952,products[Product_ID],products[Product_Name],"not found",0)</f>
        <v>Trek Domane S 5 Disc - 2017</v>
      </c>
      <c r="I952" t="e">
        <f>VLOOKUP(products!D952,categories[#All],2,TRUE)</f>
        <v>#N/A</v>
      </c>
    </row>
    <row r="953" spans="1:9" x14ac:dyDescent="0.3">
      <c r="A953">
        <v>952</v>
      </c>
      <c r="B953">
        <v>1</v>
      </c>
      <c r="C953">
        <v>20</v>
      </c>
      <c r="D953">
        <v>2</v>
      </c>
      <c r="E953">
        <v>599.99</v>
      </c>
      <c r="F953">
        <v>7.0000000000000007E-2</v>
      </c>
      <c r="G953">
        <f t="shared" si="14"/>
        <v>1199.9100000000001</v>
      </c>
      <c r="H953" t="str">
        <f>_xlfn.XLOOKUP(C953,products[Product_ID],products[Product_Name],"not found",0)</f>
        <v>Electra Townie Original 7D EQ - Women's - 2016</v>
      </c>
      <c r="I953" t="e">
        <f>VLOOKUP(products!D953,categories[#All],2,TRUE)</f>
        <v>#N/A</v>
      </c>
    </row>
    <row r="954" spans="1:9" x14ac:dyDescent="0.3">
      <c r="A954">
        <v>953</v>
      </c>
      <c r="B954">
        <v>1</v>
      </c>
      <c r="C954">
        <v>23</v>
      </c>
      <c r="D954">
        <v>2</v>
      </c>
      <c r="E954">
        <v>299.99</v>
      </c>
      <c r="F954">
        <v>7.0000000000000007E-2</v>
      </c>
      <c r="G954">
        <f t="shared" si="14"/>
        <v>599.91</v>
      </c>
      <c r="H954" t="str">
        <f>_xlfn.XLOOKUP(C954,products[Product_ID],products[Product_Name],"not found",0)</f>
        <v>Electra Girl's Hawaii 1 (20-inch) - 2015/2016</v>
      </c>
      <c r="I954" t="e">
        <f>VLOOKUP(products!D954,categories[#All],2,TRUE)</f>
        <v>#N/A</v>
      </c>
    </row>
    <row r="955" spans="1:9" x14ac:dyDescent="0.3">
      <c r="A955">
        <v>954</v>
      </c>
      <c r="B955">
        <v>1</v>
      </c>
      <c r="C955">
        <v>4</v>
      </c>
      <c r="D955">
        <v>2</v>
      </c>
      <c r="E955">
        <v>2899.99</v>
      </c>
      <c r="F955">
        <v>0.1</v>
      </c>
      <c r="G955">
        <f t="shared" si="14"/>
        <v>5799.8799999999992</v>
      </c>
      <c r="H955" t="str">
        <f>_xlfn.XLOOKUP(C955,products[Product_ID],products[Product_Name],"not found",0)</f>
        <v>Trek Fuel EX 8 29 - 2016</v>
      </c>
      <c r="I955" t="e">
        <f>VLOOKUP(products!D955,categories[#All],2,TRUE)</f>
        <v>#N/A</v>
      </c>
    </row>
    <row r="956" spans="1:9" x14ac:dyDescent="0.3">
      <c r="A956">
        <v>955</v>
      </c>
      <c r="B956">
        <v>1</v>
      </c>
      <c r="C956">
        <v>43</v>
      </c>
      <c r="D956">
        <v>1</v>
      </c>
      <c r="E956">
        <v>5299.99</v>
      </c>
      <c r="F956">
        <v>0.1</v>
      </c>
      <c r="G956">
        <f t="shared" si="14"/>
        <v>5299.8899999999994</v>
      </c>
      <c r="H956" t="str">
        <f>_xlfn.XLOOKUP(C956,products[Product_ID],products[Product_Name],"not found",0)</f>
        <v>Trek Fuel EX 9.8 27.5 Plus - 2017</v>
      </c>
      <c r="I956" t="e">
        <f>VLOOKUP(products!D956,categories[#All],2,TRUE)</f>
        <v>#N/A</v>
      </c>
    </row>
    <row r="957" spans="1:9" x14ac:dyDescent="0.3">
      <c r="A957">
        <v>956</v>
      </c>
      <c r="B957">
        <v>1</v>
      </c>
      <c r="C957">
        <v>76</v>
      </c>
      <c r="D957">
        <v>2</v>
      </c>
      <c r="E957">
        <v>299.99</v>
      </c>
      <c r="F957">
        <v>0.1</v>
      </c>
      <c r="G957">
        <f t="shared" si="14"/>
        <v>599.88</v>
      </c>
      <c r="H957" t="str">
        <f>_xlfn.XLOOKUP(C957,products[Product_ID],products[Product_Name],"not found",0)</f>
        <v>Electra Girl's Hawaii 1 16" - 2017</v>
      </c>
      <c r="I957" t="e">
        <f>VLOOKUP(products!D957,categories[#All],2,TRUE)</f>
        <v>#N/A</v>
      </c>
    </row>
    <row r="958" spans="1:9" x14ac:dyDescent="0.3">
      <c r="A958">
        <v>957</v>
      </c>
      <c r="B958">
        <v>1</v>
      </c>
      <c r="C958">
        <v>108</v>
      </c>
      <c r="D958">
        <v>2</v>
      </c>
      <c r="E958">
        <v>449.99</v>
      </c>
      <c r="F958">
        <v>0.05</v>
      </c>
      <c r="G958">
        <f t="shared" si="14"/>
        <v>899.93000000000006</v>
      </c>
      <c r="H958" t="str">
        <f>_xlfn.XLOOKUP(C958,products[Product_ID],products[Product_Name],"not found",0)</f>
        <v>Sun Bicycles Cruz 3 - Women's - 2017</v>
      </c>
      <c r="I958" t="e">
        <f>VLOOKUP(products!D958,categories[#All],2,TRUE)</f>
        <v>#N/A</v>
      </c>
    </row>
    <row r="959" spans="1:9" x14ac:dyDescent="0.3">
      <c r="A959">
        <v>958</v>
      </c>
      <c r="B959">
        <v>1</v>
      </c>
      <c r="C959">
        <v>51</v>
      </c>
      <c r="D959">
        <v>1</v>
      </c>
      <c r="E959">
        <v>6499.99</v>
      </c>
      <c r="F959">
        <v>0.1</v>
      </c>
      <c r="G959">
        <f t="shared" si="14"/>
        <v>6499.8899999999994</v>
      </c>
      <c r="H959" t="str">
        <f>_xlfn.XLOOKUP(C959,products[Product_ID],products[Product_Name],"not found",0)</f>
        <v>Trek Silque SLR 8 Women's - 2017</v>
      </c>
      <c r="I959" t="e">
        <f>VLOOKUP(products!D959,categories[#All],2,TRUE)</f>
        <v>#N/A</v>
      </c>
    </row>
    <row r="960" spans="1:9" x14ac:dyDescent="0.3">
      <c r="A960">
        <v>959</v>
      </c>
      <c r="B960">
        <v>1</v>
      </c>
      <c r="C960">
        <v>15</v>
      </c>
      <c r="D960">
        <v>1</v>
      </c>
      <c r="E960">
        <v>529.99</v>
      </c>
      <c r="F960">
        <v>0.2</v>
      </c>
      <c r="G960">
        <f t="shared" si="14"/>
        <v>529.79</v>
      </c>
      <c r="H960" t="str">
        <f>_xlfn.XLOOKUP(C960,products[Product_ID],products[Product_Name],"not found",0)</f>
        <v>Electra Moto 1 - 2016</v>
      </c>
      <c r="I960" t="e">
        <f>VLOOKUP(products!D960,categories[#All],2,TRUE)</f>
        <v>#N/A</v>
      </c>
    </row>
    <row r="961" spans="1:9" x14ac:dyDescent="0.3">
      <c r="A961">
        <v>960</v>
      </c>
      <c r="B961">
        <v>1</v>
      </c>
      <c r="C961">
        <v>73</v>
      </c>
      <c r="D961">
        <v>2</v>
      </c>
      <c r="E961">
        <v>749.99</v>
      </c>
      <c r="F961">
        <v>0.05</v>
      </c>
      <c r="G961">
        <f t="shared" si="14"/>
        <v>1499.93</v>
      </c>
      <c r="H961" t="str">
        <f>_xlfn.XLOOKUP(C961,products[Product_ID],products[Product_Name],"not found",0)</f>
        <v>Sun Bicycles Brickell Tandem 7 - 2017</v>
      </c>
      <c r="I961" t="e">
        <f>VLOOKUP(products!D961,categories[#All],2,TRUE)</f>
        <v>#N/A</v>
      </c>
    </row>
    <row r="962" spans="1:9" x14ac:dyDescent="0.3">
      <c r="A962">
        <v>961</v>
      </c>
      <c r="B962">
        <v>1</v>
      </c>
      <c r="C962">
        <v>105</v>
      </c>
      <c r="D962">
        <v>1</v>
      </c>
      <c r="E962">
        <v>533.99</v>
      </c>
      <c r="F962">
        <v>0.1</v>
      </c>
      <c r="G962">
        <f t="shared" ref="G962:G1025" si="15">(E962*D962)-F962</f>
        <v>533.89</v>
      </c>
      <c r="H962" t="str">
        <f>_xlfn.XLOOKUP(C962,products[Product_ID],products[Product_Name],"not found",0)</f>
        <v>Sun Bicycles Streamway 7 - 2017</v>
      </c>
      <c r="I962" t="e">
        <f>VLOOKUP(products!D962,categories[#All],2,TRUE)</f>
        <v>#N/A</v>
      </c>
    </row>
    <row r="963" spans="1:9" x14ac:dyDescent="0.3">
      <c r="A963">
        <v>962</v>
      </c>
      <c r="B963">
        <v>1</v>
      </c>
      <c r="C963">
        <v>65</v>
      </c>
      <c r="D963">
        <v>2</v>
      </c>
      <c r="E963">
        <v>346.99</v>
      </c>
      <c r="F963">
        <v>7.0000000000000007E-2</v>
      </c>
      <c r="G963">
        <f t="shared" si="15"/>
        <v>693.91</v>
      </c>
      <c r="H963" t="str">
        <f>_xlfn.XLOOKUP(C963,products[Product_ID],products[Product_Name],"not found",0)</f>
        <v>Sun Bicycles Lil Bolt Type-R - 2017</v>
      </c>
      <c r="I963" t="e">
        <f>VLOOKUP(products!D963,categories[#All],2,TRUE)</f>
        <v>#N/A</v>
      </c>
    </row>
    <row r="964" spans="1:9" x14ac:dyDescent="0.3">
      <c r="A964">
        <v>963</v>
      </c>
      <c r="B964">
        <v>1</v>
      </c>
      <c r="C964">
        <v>4</v>
      </c>
      <c r="D964">
        <v>1</v>
      </c>
      <c r="E964">
        <v>2899.99</v>
      </c>
      <c r="F964">
        <v>7.0000000000000007E-2</v>
      </c>
      <c r="G964">
        <f t="shared" si="15"/>
        <v>2899.9199999999996</v>
      </c>
      <c r="H964" t="str">
        <f>_xlfn.XLOOKUP(C964,products[Product_ID],products[Product_Name],"not found",0)</f>
        <v>Trek Fuel EX 8 29 - 2016</v>
      </c>
      <c r="I964" t="e">
        <f>VLOOKUP(products!D964,categories[#All],2,TRUE)</f>
        <v>#N/A</v>
      </c>
    </row>
    <row r="965" spans="1:9" x14ac:dyDescent="0.3">
      <c r="A965">
        <v>964</v>
      </c>
      <c r="B965">
        <v>1</v>
      </c>
      <c r="C965">
        <v>90</v>
      </c>
      <c r="D965">
        <v>1</v>
      </c>
      <c r="E965">
        <v>209.99</v>
      </c>
      <c r="F965">
        <v>0.2</v>
      </c>
      <c r="G965">
        <f t="shared" si="15"/>
        <v>209.79000000000002</v>
      </c>
      <c r="H965" t="str">
        <f>_xlfn.XLOOKUP(C965,products[Product_ID],products[Product_Name],"not found",0)</f>
        <v>Trek Precaliber 16 Girls - 2017</v>
      </c>
      <c r="I965" t="e">
        <f>VLOOKUP(products!D965,categories[#All],2,TRUE)</f>
        <v>#N/A</v>
      </c>
    </row>
    <row r="966" spans="1:9" x14ac:dyDescent="0.3">
      <c r="A966">
        <v>965</v>
      </c>
      <c r="B966">
        <v>1</v>
      </c>
      <c r="C966">
        <v>90</v>
      </c>
      <c r="D966">
        <v>2</v>
      </c>
      <c r="E966">
        <v>209.99</v>
      </c>
      <c r="F966">
        <v>0.1</v>
      </c>
      <c r="G966">
        <f t="shared" si="15"/>
        <v>419.88</v>
      </c>
      <c r="H966" t="str">
        <f>_xlfn.XLOOKUP(C966,products[Product_ID],products[Product_Name],"not found",0)</f>
        <v>Trek Precaliber 16 Girls - 2017</v>
      </c>
      <c r="I966" t="e">
        <f>VLOOKUP(products!D966,categories[#All],2,TRUE)</f>
        <v>#N/A</v>
      </c>
    </row>
    <row r="967" spans="1:9" x14ac:dyDescent="0.3">
      <c r="A967">
        <v>966</v>
      </c>
      <c r="B967">
        <v>1</v>
      </c>
      <c r="C967">
        <v>88</v>
      </c>
      <c r="D967">
        <v>1</v>
      </c>
      <c r="E967">
        <v>189.99</v>
      </c>
      <c r="F967">
        <v>0.05</v>
      </c>
      <c r="G967">
        <f t="shared" si="15"/>
        <v>189.94</v>
      </c>
      <c r="H967" t="str">
        <f>_xlfn.XLOOKUP(C967,products[Product_ID],products[Product_Name],"not found",0)</f>
        <v>Trek Precaliber 12 Girls - 2017</v>
      </c>
      <c r="I967" t="e">
        <f>VLOOKUP(products!D967,categories[#All],2,TRUE)</f>
        <v>#N/A</v>
      </c>
    </row>
    <row r="968" spans="1:9" x14ac:dyDescent="0.3">
      <c r="A968">
        <v>967</v>
      </c>
      <c r="B968">
        <v>1</v>
      </c>
      <c r="C968">
        <v>66</v>
      </c>
      <c r="D968">
        <v>1</v>
      </c>
      <c r="E968">
        <v>250.99</v>
      </c>
      <c r="F968">
        <v>0.2</v>
      </c>
      <c r="G968">
        <f t="shared" si="15"/>
        <v>250.79000000000002</v>
      </c>
      <c r="H968" t="str">
        <f>_xlfn.XLOOKUP(C968,products[Product_ID],products[Product_Name],"not found",0)</f>
        <v>Sun Bicycles Revolutions 24 - 2017</v>
      </c>
      <c r="I968" t="e">
        <f>VLOOKUP(products!D968,categories[#All],2,TRUE)</f>
        <v>#N/A</v>
      </c>
    </row>
    <row r="969" spans="1:9" x14ac:dyDescent="0.3">
      <c r="A969">
        <v>968</v>
      </c>
      <c r="B969">
        <v>1</v>
      </c>
      <c r="C969">
        <v>87</v>
      </c>
      <c r="D969">
        <v>1</v>
      </c>
      <c r="E969">
        <v>189.99</v>
      </c>
      <c r="F969">
        <v>0.2</v>
      </c>
      <c r="G969">
        <f t="shared" si="15"/>
        <v>189.79000000000002</v>
      </c>
      <c r="H969" t="str">
        <f>_xlfn.XLOOKUP(C969,products[Product_ID],products[Product_Name],"not found",0)</f>
        <v>Trek Precaliber 12 Boys - 2017</v>
      </c>
      <c r="I969" t="e">
        <f>VLOOKUP(products!D969,categories[#All],2,TRUE)</f>
        <v>#N/A</v>
      </c>
    </row>
    <row r="970" spans="1:9" x14ac:dyDescent="0.3">
      <c r="A970">
        <v>969</v>
      </c>
      <c r="B970">
        <v>1</v>
      </c>
      <c r="C970">
        <v>74</v>
      </c>
      <c r="D970">
        <v>1</v>
      </c>
      <c r="E970">
        <v>439.99</v>
      </c>
      <c r="F970">
        <v>0.2</v>
      </c>
      <c r="G970">
        <f t="shared" si="15"/>
        <v>439.79</v>
      </c>
      <c r="H970" t="str">
        <f>_xlfn.XLOOKUP(C970,products[Product_ID],products[Product_Name],"not found",0)</f>
        <v>Electra Cruiser Lux 1 - 2017</v>
      </c>
      <c r="I970" t="e">
        <f>VLOOKUP(products!D970,categories[#All],2,TRUE)</f>
        <v>#N/A</v>
      </c>
    </row>
    <row r="971" spans="1:9" x14ac:dyDescent="0.3">
      <c r="A971">
        <v>970</v>
      </c>
      <c r="B971">
        <v>1</v>
      </c>
      <c r="C971">
        <v>85</v>
      </c>
      <c r="D971">
        <v>1</v>
      </c>
      <c r="E971">
        <v>329.99</v>
      </c>
      <c r="F971">
        <v>0.1</v>
      </c>
      <c r="G971">
        <f t="shared" si="15"/>
        <v>329.89</v>
      </c>
      <c r="H971" t="str">
        <f>_xlfn.XLOOKUP(C971,products[Product_ID],products[Product_Name],"not found",0)</f>
        <v>Haro Downtown 16 - 2017</v>
      </c>
      <c r="I971" t="e">
        <f>VLOOKUP(products!D971,categories[#All],2,TRUE)</f>
        <v>#N/A</v>
      </c>
    </row>
    <row r="972" spans="1:9" x14ac:dyDescent="0.3">
      <c r="A972">
        <v>971</v>
      </c>
      <c r="B972">
        <v>1</v>
      </c>
      <c r="C972">
        <v>70</v>
      </c>
      <c r="D972">
        <v>2</v>
      </c>
      <c r="E972">
        <v>659.99</v>
      </c>
      <c r="F972">
        <v>0.05</v>
      </c>
      <c r="G972">
        <f t="shared" si="15"/>
        <v>1319.93</v>
      </c>
      <c r="H972" t="str">
        <f>_xlfn.XLOOKUP(C972,products[Product_ID],products[Product_Name],"not found",0)</f>
        <v>Electra Amsterdam Original 3i - 2015/2017</v>
      </c>
      <c r="I972" t="e">
        <f>VLOOKUP(products!D972,categories[#All],2,TRUE)</f>
        <v>#N/A</v>
      </c>
    </row>
    <row r="973" spans="1:9" x14ac:dyDescent="0.3">
      <c r="A973">
        <v>972</v>
      </c>
      <c r="B973">
        <v>1</v>
      </c>
      <c r="C973">
        <v>100</v>
      </c>
      <c r="D973">
        <v>1</v>
      </c>
      <c r="E973">
        <v>489.99</v>
      </c>
      <c r="F973">
        <v>0.2</v>
      </c>
      <c r="G973">
        <f t="shared" si="15"/>
        <v>489.79</v>
      </c>
      <c r="H973" t="str">
        <f>_xlfn.XLOOKUP(C973,products[Product_ID],products[Product_Name],"not found",0)</f>
        <v>Electra Townie 3i EQ (20-inch) - Boys' - 2017</v>
      </c>
      <c r="I973" t="e">
        <f>VLOOKUP(products!D973,categories[#All],2,TRUE)</f>
        <v>#N/A</v>
      </c>
    </row>
    <row r="974" spans="1:9" x14ac:dyDescent="0.3">
      <c r="A974">
        <v>973</v>
      </c>
      <c r="B974">
        <v>1</v>
      </c>
      <c r="C974">
        <v>4</v>
      </c>
      <c r="D974">
        <v>2</v>
      </c>
      <c r="E974">
        <v>2899.99</v>
      </c>
      <c r="F974">
        <v>0.1</v>
      </c>
      <c r="G974">
        <f t="shared" si="15"/>
        <v>5799.8799999999992</v>
      </c>
      <c r="H974" t="str">
        <f>_xlfn.XLOOKUP(C974,products[Product_ID],products[Product_Name],"not found",0)</f>
        <v>Trek Fuel EX 8 29 - 2016</v>
      </c>
      <c r="I974" t="e">
        <f>VLOOKUP(products!D974,categories[#All],2,TRUE)</f>
        <v>#N/A</v>
      </c>
    </row>
    <row r="975" spans="1:9" x14ac:dyDescent="0.3">
      <c r="A975">
        <v>974</v>
      </c>
      <c r="B975">
        <v>1</v>
      </c>
      <c r="C975">
        <v>33</v>
      </c>
      <c r="D975">
        <v>2</v>
      </c>
      <c r="E975">
        <v>469.99</v>
      </c>
      <c r="F975">
        <v>0.1</v>
      </c>
      <c r="G975">
        <f t="shared" si="15"/>
        <v>939.88</v>
      </c>
      <c r="H975" t="str">
        <f>_xlfn.XLOOKUP(C975,products[Product_ID],products[Product_Name],"not found",0)</f>
        <v>Surly Wednesday Frameset - 2017</v>
      </c>
      <c r="I975" t="e">
        <f>VLOOKUP(products!D975,categories[#All],2,TRUE)</f>
        <v>#N/A</v>
      </c>
    </row>
    <row r="976" spans="1:9" x14ac:dyDescent="0.3">
      <c r="A976">
        <v>975</v>
      </c>
      <c r="B976">
        <v>1</v>
      </c>
      <c r="C976">
        <v>110</v>
      </c>
      <c r="D976">
        <v>2</v>
      </c>
      <c r="E976">
        <v>470.99</v>
      </c>
      <c r="F976">
        <v>0.2</v>
      </c>
      <c r="G976">
        <f t="shared" si="15"/>
        <v>941.78</v>
      </c>
      <c r="H976" t="str">
        <f>_xlfn.XLOOKUP(C976,products[Product_ID],products[Product_Name],"not found",0)</f>
        <v>Sun Bicycles Drifter 7 - 2017</v>
      </c>
      <c r="I976" t="e">
        <f>VLOOKUP(products!D976,categories[#All],2,TRUE)</f>
        <v>#N/A</v>
      </c>
    </row>
    <row r="977" spans="1:9" x14ac:dyDescent="0.3">
      <c r="A977">
        <v>976</v>
      </c>
      <c r="B977">
        <v>1</v>
      </c>
      <c r="C977">
        <v>26</v>
      </c>
      <c r="D977">
        <v>2</v>
      </c>
      <c r="E977">
        <v>599.99</v>
      </c>
      <c r="F977">
        <v>0.1</v>
      </c>
      <c r="G977">
        <f t="shared" si="15"/>
        <v>1199.8800000000001</v>
      </c>
      <c r="H977" t="str">
        <f>_xlfn.XLOOKUP(C977,products[Product_ID],products[Product_Name],"not found",0)</f>
        <v>Electra Townie Original 7D EQ - 2016</v>
      </c>
      <c r="I977" t="e">
        <f>VLOOKUP(products!D977,categories[#All],2,TRUE)</f>
        <v>#N/A</v>
      </c>
    </row>
    <row r="978" spans="1:9" x14ac:dyDescent="0.3">
      <c r="A978">
        <v>977</v>
      </c>
      <c r="B978">
        <v>1</v>
      </c>
      <c r="C978">
        <v>52</v>
      </c>
      <c r="D978">
        <v>2</v>
      </c>
      <c r="E978">
        <v>875.99</v>
      </c>
      <c r="F978">
        <v>0.1</v>
      </c>
      <c r="G978">
        <f t="shared" si="15"/>
        <v>1751.88</v>
      </c>
      <c r="H978" t="str">
        <f>_xlfn.XLOOKUP(C978,products[Product_ID],products[Product_Name],"not found",0)</f>
        <v>Surly Steamroller - 2017</v>
      </c>
      <c r="I978" t="e">
        <f>VLOOKUP(products!D978,categories[#All],2,TRUE)</f>
        <v>#N/A</v>
      </c>
    </row>
    <row r="979" spans="1:9" x14ac:dyDescent="0.3">
      <c r="A979">
        <v>978</v>
      </c>
      <c r="B979">
        <v>1</v>
      </c>
      <c r="C979">
        <v>106</v>
      </c>
      <c r="D979">
        <v>2</v>
      </c>
      <c r="E979">
        <v>449.99</v>
      </c>
      <c r="F979">
        <v>0.05</v>
      </c>
      <c r="G979">
        <f t="shared" si="15"/>
        <v>899.93000000000006</v>
      </c>
      <c r="H979" t="str">
        <f>_xlfn.XLOOKUP(C979,products[Product_ID],products[Product_Name],"not found",0)</f>
        <v>Sun Bicycles Cruz 3 - 2017</v>
      </c>
      <c r="I979" t="e">
        <f>VLOOKUP(products!D979,categories[#All],2,TRUE)</f>
        <v>#N/A</v>
      </c>
    </row>
    <row r="980" spans="1:9" x14ac:dyDescent="0.3">
      <c r="A980">
        <v>979</v>
      </c>
      <c r="B980">
        <v>1</v>
      </c>
      <c r="C980">
        <v>55</v>
      </c>
      <c r="D980">
        <v>1</v>
      </c>
      <c r="E980">
        <v>2699.99</v>
      </c>
      <c r="F980">
        <v>0.05</v>
      </c>
      <c r="G980">
        <f t="shared" si="15"/>
        <v>2699.9399999999996</v>
      </c>
      <c r="H980" t="str">
        <f>_xlfn.XLOOKUP(C980,products[Product_ID],products[Product_Name],"not found",0)</f>
        <v>Trek Domane S 6 - 2017</v>
      </c>
      <c r="I980" t="e">
        <f>VLOOKUP(products!D980,categories[#All],2,TRUE)</f>
        <v>#N/A</v>
      </c>
    </row>
    <row r="981" spans="1:9" x14ac:dyDescent="0.3">
      <c r="A981">
        <v>980</v>
      </c>
      <c r="B981">
        <v>1</v>
      </c>
      <c r="C981">
        <v>49</v>
      </c>
      <c r="D981">
        <v>2</v>
      </c>
      <c r="E981">
        <v>3499.99</v>
      </c>
      <c r="F981">
        <v>0.2</v>
      </c>
      <c r="G981">
        <f t="shared" si="15"/>
        <v>6999.78</v>
      </c>
      <c r="H981" t="str">
        <f>_xlfn.XLOOKUP(C981,products[Product_ID],products[Product_Name],"not found",0)</f>
        <v>Trek Domane SL 6 - 2017</v>
      </c>
      <c r="I981" t="e">
        <f>VLOOKUP(products!D981,categories[#All],2,TRUE)</f>
        <v>#N/A</v>
      </c>
    </row>
    <row r="982" spans="1:9" x14ac:dyDescent="0.3">
      <c r="A982">
        <v>981</v>
      </c>
      <c r="B982">
        <v>1</v>
      </c>
      <c r="C982">
        <v>35</v>
      </c>
      <c r="D982">
        <v>1</v>
      </c>
      <c r="E982">
        <v>832.99</v>
      </c>
      <c r="F982">
        <v>0.1</v>
      </c>
      <c r="G982">
        <f t="shared" si="15"/>
        <v>832.89</v>
      </c>
      <c r="H982" t="str">
        <f>_xlfn.XLOOKUP(C982,products[Product_ID],products[Product_Name],"not found",0)</f>
        <v>Sun Bicycles Spider 3i - 2017</v>
      </c>
      <c r="I982" t="e">
        <f>VLOOKUP(products!D982,categories[#All],2,TRUE)</f>
        <v>#N/A</v>
      </c>
    </row>
    <row r="983" spans="1:9" x14ac:dyDescent="0.3">
      <c r="A983">
        <v>982</v>
      </c>
      <c r="B983">
        <v>1</v>
      </c>
      <c r="C983">
        <v>22</v>
      </c>
      <c r="D983">
        <v>2</v>
      </c>
      <c r="E983">
        <v>269.99</v>
      </c>
      <c r="F983">
        <v>0.1</v>
      </c>
      <c r="G983">
        <f t="shared" si="15"/>
        <v>539.88</v>
      </c>
      <c r="H983" t="str">
        <f>_xlfn.XLOOKUP(C983,products[Product_ID],products[Product_Name],"not found",0)</f>
        <v>Electra Girl's Hawaii 1 (16-inch) - 2015/2016</v>
      </c>
      <c r="I983" t="e">
        <f>VLOOKUP(products!D983,categories[#All],2,TRUE)</f>
        <v>#N/A</v>
      </c>
    </row>
    <row r="984" spans="1:9" x14ac:dyDescent="0.3">
      <c r="A984">
        <v>983</v>
      </c>
      <c r="B984">
        <v>1</v>
      </c>
      <c r="C984">
        <v>63</v>
      </c>
      <c r="D984">
        <v>1</v>
      </c>
      <c r="E984">
        <v>3499.99</v>
      </c>
      <c r="F984">
        <v>0.1</v>
      </c>
      <c r="G984">
        <f t="shared" si="15"/>
        <v>3499.89</v>
      </c>
      <c r="H984" t="str">
        <f>_xlfn.XLOOKUP(C984,products[Product_ID],products[Product_Name],"not found",0)</f>
        <v>Trek Boone Race Shop Limited - 2017</v>
      </c>
      <c r="I984" t="e">
        <f>VLOOKUP(products!D984,categories[#All],2,TRUE)</f>
        <v>#N/A</v>
      </c>
    </row>
    <row r="985" spans="1:9" x14ac:dyDescent="0.3">
      <c r="A985">
        <v>984</v>
      </c>
      <c r="B985">
        <v>1</v>
      </c>
      <c r="C985">
        <v>68</v>
      </c>
      <c r="D985">
        <v>1</v>
      </c>
      <c r="E985">
        <v>449.99</v>
      </c>
      <c r="F985">
        <v>0.2</v>
      </c>
      <c r="G985">
        <f t="shared" si="15"/>
        <v>449.79</v>
      </c>
      <c r="H985" t="str">
        <f>_xlfn.XLOOKUP(C985,products[Product_ID],products[Product_Name],"not found",0)</f>
        <v>Sun Bicycles Cruz 3 - 2017</v>
      </c>
      <c r="I985" t="e">
        <f>VLOOKUP(products!D985,categories[#All],2,TRUE)</f>
        <v>#N/A</v>
      </c>
    </row>
    <row r="986" spans="1:9" x14ac:dyDescent="0.3">
      <c r="A986">
        <v>985</v>
      </c>
      <c r="B986">
        <v>1</v>
      </c>
      <c r="C986">
        <v>5</v>
      </c>
      <c r="D986">
        <v>2</v>
      </c>
      <c r="E986">
        <v>1320.99</v>
      </c>
      <c r="F986">
        <v>7.0000000000000007E-2</v>
      </c>
      <c r="G986">
        <f t="shared" si="15"/>
        <v>2641.91</v>
      </c>
      <c r="H986" t="str">
        <f>_xlfn.XLOOKUP(C986,products[Product_ID],products[Product_Name],"not found",0)</f>
        <v>Heller Shagamaw Frame - 2016</v>
      </c>
      <c r="I986" t="e">
        <f>VLOOKUP(products!D986,categories[#All],2,TRUE)</f>
        <v>#N/A</v>
      </c>
    </row>
    <row r="987" spans="1:9" x14ac:dyDescent="0.3">
      <c r="A987">
        <v>986</v>
      </c>
      <c r="B987">
        <v>1</v>
      </c>
      <c r="C987">
        <v>87</v>
      </c>
      <c r="D987">
        <v>1</v>
      </c>
      <c r="E987">
        <v>189.99</v>
      </c>
      <c r="F987">
        <v>0.1</v>
      </c>
      <c r="G987">
        <f t="shared" si="15"/>
        <v>189.89000000000001</v>
      </c>
      <c r="H987" t="str">
        <f>_xlfn.XLOOKUP(C987,products[Product_ID],products[Product_Name],"not found",0)</f>
        <v>Trek Precaliber 12 Boys - 2017</v>
      </c>
      <c r="I987" t="e">
        <f>VLOOKUP(products!D987,categories[#All],2,TRUE)</f>
        <v>#N/A</v>
      </c>
    </row>
    <row r="988" spans="1:9" x14ac:dyDescent="0.3">
      <c r="A988">
        <v>987</v>
      </c>
      <c r="B988">
        <v>1</v>
      </c>
      <c r="C988">
        <v>51</v>
      </c>
      <c r="D988">
        <v>2</v>
      </c>
      <c r="E988">
        <v>6499.99</v>
      </c>
      <c r="F988">
        <v>0.1</v>
      </c>
      <c r="G988">
        <f t="shared" si="15"/>
        <v>12999.88</v>
      </c>
      <c r="H988" t="str">
        <f>_xlfn.XLOOKUP(C988,products[Product_ID],products[Product_Name],"not found",0)</f>
        <v>Trek Silque SLR 8 Women's - 2017</v>
      </c>
      <c r="I988" t="e">
        <f>VLOOKUP(products!D988,categories[#All],2,TRUE)</f>
        <v>#N/A</v>
      </c>
    </row>
    <row r="989" spans="1:9" x14ac:dyDescent="0.3">
      <c r="A989">
        <v>988</v>
      </c>
      <c r="B989">
        <v>1</v>
      </c>
      <c r="C989">
        <v>35</v>
      </c>
      <c r="D989">
        <v>1</v>
      </c>
      <c r="E989">
        <v>832.99</v>
      </c>
      <c r="F989">
        <v>0.2</v>
      </c>
      <c r="G989">
        <f t="shared" si="15"/>
        <v>832.79</v>
      </c>
      <c r="H989" t="str">
        <f>_xlfn.XLOOKUP(C989,products[Product_ID],products[Product_Name],"not found",0)</f>
        <v>Sun Bicycles Spider 3i - 2017</v>
      </c>
      <c r="I989" t="e">
        <f>VLOOKUP(products!D989,categories[#All],2,TRUE)</f>
        <v>#N/A</v>
      </c>
    </row>
    <row r="990" spans="1:9" x14ac:dyDescent="0.3">
      <c r="A990">
        <v>989</v>
      </c>
      <c r="B990">
        <v>1</v>
      </c>
      <c r="C990">
        <v>99</v>
      </c>
      <c r="D990">
        <v>1</v>
      </c>
      <c r="E990">
        <v>299.99</v>
      </c>
      <c r="F990">
        <v>0.05</v>
      </c>
      <c r="G990">
        <f t="shared" si="15"/>
        <v>299.94</v>
      </c>
      <c r="H990" t="str">
        <f>_xlfn.XLOOKUP(C990,products[Product_ID],products[Product_Name],"not found",0)</f>
        <v>Electra Sugar Skulls 1 (20-inch) - Girl's - 2017</v>
      </c>
      <c r="I990" t="e">
        <f>VLOOKUP(products!D990,categories[#All],2,TRUE)</f>
        <v>#N/A</v>
      </c>
    </row>
    <row r="991" spans="1:9" x14ac:dyDescent="0.3">
      <c r="A991">
        <v>990</v>
      </c>
      <c r="B991">
        <v>1</v>
      </c>
      <c r="C991">
        <v>6</v>
      </c>
      <c r="D991">
        <v>2</v>
      </c>
      <c r="E991">
        <v>469.99</v>
      </c>
      <c r="F991">
        <v>0.2</v>
      </c>
      <c r="G991">
        <f t="shared" si="15"/>
        <v>939.78</v>
      </c>
      <c r="H991" t="str">
        <f>_xlfn.XLOOKUP(C991,products[Product_ID],products[Product_Name],"not found",0)</f>
        <v>Surly Ice Cream Truck Frameset - 2016</v>
      </c>
      <c r="I991" t="e">
        <f>VLOOKUP(products!D991,categories[#All],2,TRUE)</f>
        <v>#N/A</v>
      </c>
    </row>
    <row r="992" spans="1:9" x14ac:dyDescent="0.3">
      <c r="A992">
        <v>991</v>
      </c>
      <c r="B992">
        <v>1</v>
      </c>
      <c r="C992">
        <v>9</v>
      </c>
      <c r="D992">
        <v>2</v>
      </c>
      <c r="E992">
        <v>2999.99</v>
      </c>
      <c r="F992">
        <v>0.2</v>
      </c>
      <c r="G992">
        <f t="shared" si="15"/>
        <v>5999.78</v>
      </c>
      <c r="H992" t="str">
        <f>_xlfn.XLOOKUP(C992,products[Product_ID],products[Product_Name],"not found",0)</f>
        <v>Trek Conduit+ - 2016</v>
      </c>
      <c r="I992" t="e">
        <f>VLOOKUP(products!D992,categories[#All],2,TRUE)</f>
        <v>#N/A</v>
      </c>
    </row>
    <row r="993" spans="1:9" x14ac:dyDescent="0.3">
      <c r="A993">
        <v>992</v>
      </c>
      <c r="B993">
        <v>1</v>
      </c>
      <c r="C993">
        <v>45</v>
      </c>
      <c r="D993">
        <v>1</v>
      </c>
      <c r="E993">
        <v>869.99</v>
      </c>
      <c r="F993">
        <v>7.0000000000000007E-2</v>
      </c>
      <c r="G993">
        <f t="shared" si="15"/>
        <v>869.92</v>
      </c>
      <c r="H993" t="str">
        <f>_xlfn.XLOOKUP(C993,products[Product_ID],products[Product_Name],"not found",0)</f>
        <v>Haro SR 1.2 - 2017</v>
      </c>
      <c r="I993" t="e">
        <f>VLOOKUP(products!D993,categories[#All],2,TRUE)</f>
        <v>#N/A</v>
      </c>
    </row>
    <row r="994" spans="1:9" x14ac:dyDescent="0.3">
      <c r="A994">
        <v>993</v>
      </c>
      <c r="B994">
        <v>1</v>
      </c>
      <c r="C994">
        <v>58</v>
      </c>
      <c r="D994">
        <v>1</v>
      </c>
      <c r="E994">
        <v>4999.99</v>
      </c>
      <c r="F994">
        <v>0.2</v>
      </c>
      <c r="G994">
        <f t="shared" si="15"/>
        <v>4999.79</v>
      </c>
      <c r="H994" t="str">
        <f>_xlfn.XLOOKUP(C994,products[Product_ID],products[Product_Name],"not found",0)</f>
        <v>Trek Madone 9.2 - 2017</v>
      </c>
      <c r="I994" t="e">
        <f>VLOOKUP(products!D994,categories[#All],2,TRUE)</f>
        <v>#N/A</v>
      </c>
    </row>
    <row r="995" spans="1:9" x14ac:dyDescent="0.3">
      <c r="A995">
        <v>994</v>
      </c>
      <c r="B995">
        <v>1</v>
      </c>
      <c r="C995">
        <v>37</v>
      </c>
      <c r="D995">
        <v>2</v>
      </c>
      <c r="E995">
        <v>379.99</v>
      </c>
      <c r="F995">
        <v>0.1</v>
      </c>
      <c r="G995">
        <f t="shared" si="15"/>
        <v>759.88</v>
      </c>
      <c r="H995" t="str">
        <f>_xlfn.XLOOKUP(C995,products[Product_ID],products[Product_Name],"not found",0)</f>
        <v>Haro Flightline One ST - 2017</v>
      </c>
      <c r="I995" t="e">
        <f>VLOOKUP(products!D995,categories[#All],2,TRUE)</f>
        <v>#N/A</v>
      </c>
    </row>
    <row r="996" spans="1:9" x14ac:dyDescent="0.3">
      <c r="A996">
        <v>995</v>
      </c>
      <c r="B996">
        <v>1</v>
      </c>
      <c r="C996">
        <v>16</v>
      </c>
      <c r="D996">
        <v>2</v>
      </c>
      <c r="E996">
        <v>599.99</v>
      </c>
      <c r="F996">
        <v>0.1</v>
      </c>
      <c r="G996">
        <f t="shared" si="15"/>
        <v>1199.8800000000001</v>
      </c>
      <c r="H996" t="str">
        <f>_xlfn.XLOOKUP(C996,products[Product_ID],products[Product_Name],"not found",0)</f>
        <v>Electra Townie Original 7D EQ - 2016</v>
      </c>
      <c r="I996" t="e">
        <f>VLOOKUP(products!D996,categories[#All],2,TRUE)</f>
        <v>#N/A</v>
      </c>
    </row>
    <row r="997" spans="1:9" x14ac:dyDescent="0.3">
      <c r="A997">
        <v>996</v>
      </c>
      <c r="B997">
        <v>1</v>
      </c>
      <c r="C997">
        <v>68</v>
      </c>
      <c r="D997">
        <v>2</v>
      </c>
      <c r="E997">
        <v>449.99</v>
      </c>
      <c r="F997">
        <v>0.05</v>
      </c>
      <c r="G997">
        <f t="shared" si="15"/>
        <v>899.93000000000006</v>
      </c>
      <c r="H997" t="str">
        <f>_xlfn.XLOOKUP(C997,products[Product_ID],products[Product_Name],"not found",0)</f>
        <v>Sun Bicycles Cruz 3 - 2017</v>
      </c>
      <c r="I997" t="e">
        <f>VLOOKUP(products!D997,categories[#All],2,TRUE)</f>
        <v>#N/A</v>
      </c>
    </row>
    <row r="998" spans="1:9" x14ac:dyDescent="0.3">
      <c r="A998">
        <v>997</v>
      </c>
      <c r="B998">
        <v>1</v>
      </c>
      <c r="C998">
        <v>86</v>
      </c>
      <c r="D998">
        <v>2</v>
      </c>
      <c r="E998">
        <v>149.99</v>
      </c>
      <c r="F998">
        <v>7.0000000000000007E-2</v>
      </c>
      <c r="G998">
        <f t="shared" si="15"/>
        <v>299.91000000000003</v>
      </c>
      <c r="H998" t="str">
        <f>_xlfn.XLOOKUP(C998,products[Product_ID],products[Product_Name],"not found",0)</f>
        <v>Trek Girl's Kickster - 2017</v>
      </c>
      <c r="I998" t="e">
        <f>VLOOKUP(products!D998,categories[#All],2,TRUE)</f>
        <v>#N/A</v>
      </c>
    </row>
    <row r="999" spans="1:9" x14ac:dyDescent="0.3">
      <c r="A999">
        <v>998</v>
      </c>
      <c r="B999">
        <v>1</v>
      </c>
      <c r="C999">
        <v>26</v>
      </c>
      <c r="D999">
        <v>2</v>
      </c>
      <c r="E999">
        <v>599.99</v>
      </c>
      <c r="F999">
        <v>0.05</v>
      </c>
      <c r="G999">
        <f t="shared" si="15"/>
        <v>1199.93</v>
      </c>
      <c r="H999" t="str">
        <f>_xlfn.XLOOKUP(C999,products[Product_ID],products[Product_Name],"not found",0)</f>
        <v>Electra Townie Original 7D EQ - 2016</v>
      </c>
      <c r="I999" t="e">
        <f>VLOOKUP(products!D999,categories[#All],2,TRUE)</f>
        <v>#N/A</v>
      </c>
    </row>
    <row r="1000" spans="1:9" x14ac:dyDescent="0.3">
      <c r="A1000">
        <v>999</v>
      </c>
      <c r="B1000">
        <v>1</v>
      </c>
      <c r="C1000">
        <v>70</v>
      </c>
      <c r="D1000">
        <v>2</v>
      </c>
      <c r="E1000">
        <v>659.99</v>
      </c>
      <c r="F1000">
        <v>7.0000000000000007E-2</v>
      </c>
      <c r="G1000">
        <f t="shared" si="15"/>
        <v>1319.91</v>
      </c>
      <c r="H1000" t="str">
        <f>_xlfn.XLOOKUP(C1000,products[Product_ID],products[Product_Name],"not found",0)</f>
        <v>Electra Amsterdam Original 3i - 2015/2017</v>
      </c>
      <c r="I1000" t="e">
        <f>VLOOKUP(products!D1000,categories[#All],2,TRUE)</f>
        <v>#N/A</v>
      </c>
    </row>
    <row r="1001" spans="1:9" x14ac:dyDescent="0.3">
      <c r="A1001">
        <v>1000</v>
      </c>
      <c r="B1001">
        <v>1</v>
      </c>
      <c r="C1001">
        <v>65</v>
      </c>
      <c r="D1001">
        <v>2</v>
      </c>
      <c r="E1001">
        <v>346.99</v>
      </c>
      <c r="F1001">
        <v>0.05</v>
      </c>
      <c r="G1001">
        <f t="shared" si="15"/>
        <v>693.93000000000006</v>
      </c>
      <c r="H1001" t="str">
        <f>_xlfn.XLOOKUP(C1001,products[Product_ID],products[Product_Name],"not found",0)</f>
        <v>Sun Bicycles Lil Bolt Type-R - 2017</v>
      </c>
      <c r="I1001" t="e">
        <f>VLOOKUP(products!D1001,categories[#All],2,TRUE)</f>
        <v>#N/A</v>
      </c>
    </row>
    <row r="1002" spans="1:9" x14ac:dyDescent="0.3">
      <c r="A1002">
        <v>1001</v>
      </c>
      <c r="B1002">
        <v>1</v>
      </c>
      <c r="C1002">
        <v>72</v>
      </c>
      <c r="D1002">
        <v>1</v>
      </c>
      <c r="E1002">
        <v>619.99</v>
      </c>
      <c r="F1002">
        <v>0.05</v>
      </c>
      <c r="G1002">
        <f t="shared" si="15"/>
        <v>619.94000000000005</v>
      </c>
      <c r="H1002" t="str">
        <f>_xlfn.XLOOKUP(C1002,products[Product_ID],products[Product_Name],"not found",0)</f>
        <v>Sun Bicycles Biscayne Tandem 7 - 2017</v>
      </c>
      <c r="I1002" t="e">
        <f>VLOOKUP(products!D1002,categories[#All],2,TRUE)</f>
        <v>#N/A</v>
      </c>
    </row>
    <row r="1003" spans="1:9" x14ac:dyDescent="0.3">
      <c r="A1003">
        <v>1002</v>
      </c>
      <c r="B1003">
        <v>1</v>
      </c>
      <c r="C1003">
        <v>100</v>
      </c>
      <c r="D1003">
        <v>1</v>
      </c>
      <c r="E1003">
        <v>489.99</v>
      </c>
      <c r="F1003">
        <v>0.05</v>
      </c>
      <c r="G1003">
        <f t="shared" si="15"/>
        <v>489.94</v>
      </c>
      <c r="H1003" t="str">
        <f>_xlfn.XLOOKUP(C1003,products[Product_ID],products[Product_Name],"not found",0)</f>
        <v>Electra Townie 3i EQ (20-inch) - Boys' - 2017</v>
      </c>
      <c r="I1003" t="e">
        <f>VLOOKUP(products!D1003,categories[#All],2,TRUE)</f>
        <v>#N/A</v>
      </c>
    </row>
    <row r="1004" spans="1:9" x14ac:dyDescent="0.3">
      <c r="A1004">
        <v>1003</v>
      </c>
      <c r="B1004">
        <v>1</v>
      </c>
      <c r="C1004">
        <v>34</v>
      </c>
      <c r="D1004">
        <v>2</v>
      </c>
      <c r="E1004">
        <v>469.99</v>
      </c>
      <c r="F1004">
        <v>0.05</v>
      </c>
      <c r="G1004">
        <f t="shared" si="15"/>
        <v>939.93000000000006</v>
      </c>
      <c r="H1004" t="str">
        <f>_xlfn.XLOOKUP(C1004,products[Product_ID],products[Product_Name],"not found",0)</f>
        <v>Trek Session DH 27.5 Carbon Frameset - 2017</v>
      </c>
      <c r="I1004" t="e">
        <f>VLOOKUP(products!D1004,categories[#All],2,TRUE)</f>
        <v>#N/A</v>
      </c>
    </row>
    <row r="1005" spans="1:9" x14ac:dyDescent="0.3">
      <c r="A1005">
        <v>1004</v>
      </c>
      <c r="B1005">
        <v>1</v>
      </c>
      <c r="C1005">
        <v>36</v>
      </c>
      <c r="D1005">
        <v>2</v>
      </c>
      <c r="E1005">
        <v>832.99</v>
      </c>
      <c r="F1005">
        <v>0.1</v>
      </c>
      <c r="G1005">
        <f t="shared" si="15"/>
        <v>1665.88</v>
      </c>
      <c r="H1005" t="str">
        <f>_xlfn.XLOOKUP(C1005,products[Product_ID],products[Product_Name],"not found",0)</f>
        <v>Surly Troll Frameset - 2017</v>
      </c>
      <c r="I1005" t="e">
        <f>VLOOKUP(products!D1005,categories[#All],2,TRUE)</f>
        <v>#N/A</v>
      </c>
    </row>
    <row r="1006" spans="1:9" x14ac:dyDescent="0.3">
      <c r="A1006">
        <v>1005</v>
      </c>
      <c r="B1006">
        <v>1</v>
      </c>
      <c r="C1006">
        <v>14</v>
      </c>
      <c r="D1006">
        <v>2</v>
      </c>
      <c r="E1006">
        <v>269.99</v>
      </c>
      <c r="F1006">
        <v>0.2</v>
      </c>
      <c r="G1006">
        <f t="shared" si="15"/>
        <v>539.78</v>
      </c>
      <c r="H1006" t="str">
        <f>_xlfn.XLOOKUP(C1006,products[Product_ID],products[Product_Name],"not found",0)</f>
        <v>Electra Girl's Hawaii 1 (16-inch) - 2015/2016</v>
      </c>
      <c r="I1006" t="e">
        <f>VLOOKUP(products!D1006,categories[#All],2,TRUE)</f>
        <v>#N/A</v>
      </c>
    </row>
    <row r="1007" spans="1:9" x14ac:dyDescent="0.3">
      <c r="A1007">
        <v>1006</v>
      </c>
      <c r="B1007">
        <v>1</v>
      </c>
      <c r="C1007">
        <v>20</v>
      </c>
      <c r="D1007">
        <v>1</v>
      </c>
      <c r="E1007">
        <v>599.99</v>
      </c>
      <c r="F1007">
        <v>7.0000000000000007E-2</v>
      </c>
      <c r="G1007">
        <f t="shared" si="15"/>
        <v>599.91999999999996</v>
      </c>
      <c r="H1007" t="str">
        <f>_xlfn.XLOOKUP(C1007,products[Product_ID],products[Product_Name],"not found",0)</f>
        <v>Electra Townie Original 7D EQ - Women's - 2016</v>
      </c>
      <c r="I1007" t="e">
        <f>VLOOKUP(products!D1007,categories[#All],2,TRUE)</f>
        <v>#N/A</v>
      </c>
    </row>
    <row r="1008" spans="1:9" x14ac:dyDescent="0.3">
      <c r="A1008">
        <v>1007</v>
      </c>
      <c r="B1008">
        <v>1</v>
      </c>
      <c r="C1008">
        <v>26</v>
      </c>
      <c r="D1008">
        <v>1</v>
      </c>
      <c r="E1008">
        <v>599.99</v>
      </c>
      <c r="F1008">
        <v>0.2</v>
      </c>
      <c r="G1008">
        <f t="shared" si="15"/>
        <v>599.79</v>
      </c>
      <c r="H1008" t="str">
        <f>_xlfn.XLOOKUP(C1008,products[Product_ID],products[Product_Name],"not found",0)</f>
        <v>Electra Townie Original 7D EQ - 2016</v>
      </c>
      <c r="I1008" t="e">
        <f>VLOOKUP(products!D1008,categories[#All],2,TRUE)</f>
        <v>#N/A</v>
      </c>
    </row>
    <row r="1009" spans="1:9" x14ac:dyDescent="0.3">
      <c r="A1009">
        <v>1008</v>
      </c>
      <c r="B1009">
        <v>1</v>
      </c>
      <c r="C1009">
        <v>71</v>
      </c>
      <c r="D1009">
        <v>1</v>
      </c>
      <c r="E1009">
        <v>416.99</v>
      </c>
      <c r="F1009">
        <v>0.2</v>
      </c>
      <c r="G1009">
        <f t="shared" si="15"/>
        <v>416.79</v>
      </c>
      <c r="H1009" t="str">
        <f>_xlfn.XLOOKUP(C1009,products[Product_ID],products[Product_Name],"not found",0)</f>
        <v>Sun Bicycles Atlas X-Type - 2017</v>
      </c>
      <c r="I1009" t="e">
        <f>VLOOKUP(products!D1009,categories[#All],2,TRUE)</f>
        <v>#N/A</v>
      </c>
    </row>
    <row r="1010" spans="1:9" x14ac:dyDescent="0.3">
      <c r="A1010">
        <v>1009</v>
      </c>
      <c r="B1010">
        <v>1</v>
      </c>
      <c r="C1010">
        <v>95</v>
      </c>
      <c r="D1010">
        <v>2</v>
      </c>
      <c r="E1010">
        <v>299.99</v>
      </c>
      <c r="F1010">
        <v>7.0000000000000007E-2</v>
      </c>
      <c r="G1010">
        <f t="shared" si="15"/>
        <v>599.91</v>
      </c>
      <c r="H1010" t="str">
        <f>_xlfn.XLOOKUP(C1010,products[Product_ID],products[Product_Name],"not found",0)</f>
        <v>Electra Girl's Hawaii 1 16" - 2017</v>
      </c>
      <c r="I1010" t="e">
        <f>VLOOKUP(products!D1010,categories[#All],2,TRUE)</f>
        <v>#N/A</v>
      </c>
    </row>
    <row r="1011" spans="1:9" x14ac:dyDescent="0.3">
      <c r="A1011">
        <v>1010</v>
      </c>
      <c r="B1011">
        <v>1</v>
      </c>
      <c r="C1011">
        <v>109</v>
      </c>
      <c r="D1011">
        <v>2</v>
      </c>
      <c r="E1011">
        <v>416.99</v>
      </c>
      <c r="F1011">
        <v>0.1</v>
      </c>
      <c r="G1011">
        <f t="shared" si="15"/>
        <v>833.88</v>
      </c>
      <c r="H1011" t="str">
        <f>_xlfn.XLOOKUP(C1011,products[Product_ID],products[Product_Name],"not found",0)</f>
        <v>Sun Bicycles Cruz 7 - Women's - 2017</v>
      </c>
      <c r="I1011" t="e">
        <f>VLOOKUP(products!D1011,categories[#All],2,TRUE)</f>
        <v>#N/A</v>
      </c>
    </row>
    <row r="1012" spans="1:9" x14ac:dyDescent="0.3">
      <c r="A1012">
        <v>1011</v>
      </c>
      <c r="B1012">
        <v>1</v>
      </c>
      <c r="C1012">
        <v>88</v>
      </c>
      <c r="D1012">
        <v>1</v>
      </c>
      <c r="E1012">
        <v>189.99</v>
      </c>
      <c r="F1012">
        <v>0.2</v>
      </c>
      <c r="G1012">
        <f t="shared" si="15"/>
        <v>189.79000000000002</v>
      </c>
      <c r="H1012" t="str">
        <f>_xlfn.XLOOKUP(C1012,products[Product_ID],products[Product_Name],"not found",0)</f>
        <v>Trek Precaliber 12 Girls - 2017</v>
      </c>
      <c r="I1012" t="e">
        <f>VLOOKUP(products!D1012,categories[#All],2,TRUE)</f>
        <v>#N/A</v>
      </c>
    </row>
    <row r="1013" spans="1:9" x14ac:dyDescent="0.3">
      <c r="A1013">
        <v>1012</v>
      </c>
      <c r="B1013">
        <v>1</v>
      </c>
      <c r="C1013">
        <v>8</v>
      </c>
      <c r="D1013">
        <v>1</v>
      </c>
      <c r="E1013">
        <v>1799.99</v>
      </c>
      <c r="F1013">
        <v>7.0000000000000007E-2</v>
      </c>
      <c r="G1013">
        <f t="shared" si="15"/>
        <v>1799.92</v>
      </c>
      <c r="H1013" t="str">
        <f>_xlfn.XLOOKUP(C1013,products[Product_ID],products[Product_Name],"not found",0)</f>
        <v>Trek Remedy 29 Carbon Frameset - 2016</v>
      </c>
      <c r="I1013" t="e">
        <f>VLOOKUP(products!D1013,categories[#All],2,TRUE)</f>
        <v>#N/A</v>
      </c>
    </row>
    <row r="1014" spans="1:9" x14ac:dyDescent="0.3">
      <c r="A1014">
        <v>1013</v>
      </c>
      <c r="B1014">
        <v>1</v>
      </c>
      <c r="C1014">
        <v>60</v>
      </c>
      <c r="D1014">
        <v>2</v>
      </c>
      <c r="E1014">
        <v>1559.99</v>
      </c>
      <c r="F1014">
        <v>0.05</v>
      </c>
      <c r="G1014">
        <f t="shared" si="15"/>
        <v>3119.93</v>
      </c>
      <c r="H1014" t="str">
        <f>_xlfn.XLOOKUP(C1014,products[Product_ID],products[Product_Name],"not found",0)</f>
        <v>Sun Bicycles ElectroLite - 2017</v>
      </c>
      <c r="I1014" t="e">
        <f>VLOOKUP(products!D1014,categories[#All],2,TRUE)</f>
        <v>#N/A</v>
      </c>
    </row>
    <row r="1015" spans="1:9" x14ac:dyDescent="0.3">
      <c r="A1015">
        <v>1014</v>
      </c>
      <c r="B1015">
        <v>1</v>
      </c>
      <c r="C1015">
        <v>97</v>
      </c>
      <c r="D1015">
        <v>1</v>
      </c>
      <c r="E1015">
        <v>349.99</v>
      </c>
      <c r="F1015">
        <v>0.2</v>
      </c>
      <c r="G1015">
        <f t="shared" si="15"/>
        <v>349.79</v>
      </c>
      <c r="H1015" t="str">
        <f>_xlfn.XLOOKUP(C1015,products[Product_ID],products[Product_Name],"not found",0)</f>
        <v>Electra Savannah 3i (20-inch) - Girl's - 2017</v>
      </c>
      <c r="I1015" t="e">
        <f>VLOOKUP(products!D1015,categories[#All],2,TRUE)</f>
        <v>#N/A</v>
      </c>
    </row>
    <row r="1016" spans="1:9" x14ac:dyDescent="0.3">
      <c r="A1016">
        <v>1015</v>
      </c>
      <c r="B1016">
        <v>1</v>
      </c>
      <c r="C1016">
        <v>6</v>
      </c>
      <c r="D1016">
        <v>2</v>
      </c>
      <c r="E1016">
        <v>469.99</v>
      </c>
      <c r="F1016">
        <v>0.1</v>
      </c>
      <c r="G1016">
        <f t="shared" si="15"/>
        <v>939.88</v>
      </c>
      <c r="H1016" t="str">
        <f>_xlfn.XLOOKUP(C1016,products[Product_ID],products[Product_Name],"not found",0)</f>
        <v>Surly Ice Cream Truck Frameset - 2016</v>
      </c>
      <c r="I1016" t="e">
        <f>VLOOKUP(products!D1016,categories[#All],2,TRUE)</f>
        <v>#N/A</v>
      </c>
    </row>
    <row r="1017" spans="1:9" x14ac:dyDescent="0.3">
      <c r="A1017">
        <v>1016</v>
      </c>
      <c r="B1017">
        <v>1</v>
      </c>
      <c r="C1017">
        <v>76</v>
      </c>
      <c r="D1017">
        <v>2</v>
      </c>
      <c r="E1017">
        <v>299.99</v>
      </c>
      <c r="F1017">
        <v>7.0000000000000007E-2</v>
      </c>
      <c r="G1017">
        <f t="shared" si="15"/>
        <v>599.91</v>
      </c>
      <c r="H1017" t="str">
        <f>_xlfn.XLOOKUP(C1017,products[Product_ID],products[Product_Name],"not found",0)</f>
        <v>Electra Girl's Hawaii 1 16" - 2017</v>
      </c>
      <c r="I1017" t="e">
        <f>VLOOKUP(products!D1017,categories[#All],2,TRUE)</f>
        <v>#N/A</v>
      </c>
    </row>
    <row r="1018" spans="1:9" x14ac:dyDescent="0.3">
      <c r="A1018">
        <v>1017</v>
      </c>
      <c r="B1018">
        <v>1</v>
      </c>
      <c r="C1018">
        <v>89</v>
      </c>
      <c r="D1018">
        <v>1</v>
      </c>
      <c r="E1018">
        <v>209.99</v>
      </c>
      <c r="F1018">
        <v>7.0000000000000007E-2</v>
      </c>
      <c r="G1018">
        <f t="shared" si="15"/>
        <v>209.92000000000002</v>
      </c>
      <c r="H1018" t="str">
        <f>_xlfn.XLOOKUP(C1018,products[Product_ID],products[Product_Name],"not found",0)</f>
        <v>Trek Precaliber 16 Boys - 2017</v>
      </c>
      <c r="I1018" t="e">
        <f>VLOOKUP(products!D1018,categories[#All],2,TRUE)</f>
        <v>#N/A</v>
      </c>
    </row>
    <row r="1019" spans="1:9" x14ac:dyDescent="0.3">
      <c r="A1019">
        <v>1018</v>
      </c>
      <c r="B1019">
        <v>1</v>
      </c>
      <c r="C1019">
        <v>76</v>
      </c>
      <c r="D1019">
        <v>2</v>
      </c>
      <c r="E1019">
        <v>299.99</v>
      </c>
      <c r="F1019">
        <v>7.0000000000000007E-2</v>
      </c>
      <c r="G1019">
        <f t="shared" si="15"/>
        <v>599.91</v>
      </c>
      <c r="H1019" t="str">
        <f>_xlfn.XLOOKUP(C1019,products[Product_ID],products[Product_Name],"not found",0)</f>
        <v>Electra Girl's Hawaii 1 16" - 2017</v>
      </c>
      <c r="I1019" t="e">
        <f>VLOOKUP(products!D1019,categories[#All],2,TRUE)</f>
        <v>#N/A</v>
      </c>
    </row>
    <row r="1020" spans="1:9" x14ac:dyDescent="0.3">
      <c r="A1020">
        <v>1019</v>
      </c>
      <c r="B1020">
        <v>1</v>
      </c>
      <c r="C1020">
        <v>30</v>
      </c>
      <c r="D1020">
        <v>1</v>
      </c>
      <c r="E1020">
        <v>999.99</v>
      </c>
      <c r="F1020">
        <v>0.1</v>
      </c>
      <c r="G1020">
        <f t="shared" si="15"/>
        <v>999.89</v>
      </c>
      <c r="H1020" t="str">
        <f>_xlfn.XLOOKUP(C1020,products[Product_ID],products[Product_Name],"not found",0)</f>
        <v>Surly Ice Cream Truck Frameset - 2017</v>
      </c>
      <c r="I1020" t="e">
        <f>VLOOKUP(products!D1020,categories[#All],2,TRUE)</f>
        <v>#N/A</v>
      </c>
    </row>
    <row r="1021" spans="1:9" x14ac:dyDescent="0.3">
      <c r="A1021">
        <v>1020</v>
      </c>
      <c r="B1021">
        <v>1</v>
      </c>
      <c r="C1021">
        <v>20</v>
      </c>
      <c r="D1021">
        <v>2</v>
      </c>
      <c r="E1021">
        <v>599.99</v>
      </c>
      <c r="F1021">
        <v>0.05</v>
      </c>
      <c r="G1021">
        <f t="shared" si="15"/>
        <v>1199.93</v>
      </c>
      <c r="H1021" t="str">
        <f>_xlfn.XLOOKUP(C1021,products[Product_ID],products[Product_Name],"not found",0)</f>
        <v>Electra Townie Original 7D EQ - Women's - 2016</v>
      </c>
      <c r="I1021" t="e">
        <f>VLOOKUP(products!D1021,categories[#All],2,TRUE)</f>
        <v>#N/A</v>
      </c>
    </row>
    <row r="1022" spans="1:9" x14ac:dyDescent="0.3">
      <c r="A1022">
        <v>1021</v>
      </c>
      <c r="B1022">
        <v>1</v>
      </c>
      <c r="C1022">
        <v>49</v>
      </c>
      <c r="D1022">
        <v>2</v>
      </c>
      <c r="E1022">
        <v>3499.99</v>
      </c>
      <c r="F1022">
        <v>7.0000000000000007E-2</v>
      </c>
      <c r="G1022">
        <f t="shared" si="15"/>
        <v>6999.91</v>
      </c>
      <c r="H1022" t="str">
        <f>_xlfn.XLOOKUP(C1022,products[Product_ID],products[Product_Name],"not found",0)</f>
        <v>Trek Domane SL 6 - 2017</v>
      </c>
      <c r="I1022" t="e">
        <f>VLOOKUP(products!D1022,categories[#All],2,TRUE)</f>
        <v>#N/A</v>
      </c>
    </row>
    <row r="1023" spans="1:9" x14ac:dyDescent="0.3">
      <c r="A1023">
        <v>1022</v>
      </c>
      <c r="B1023">
        <v>1</v>
      </c>
      <c r="C1023">
        <v>33</v>
      </c>
      <c r="D1023">
        <v>1</v>
      </c>
      <c r="E1023">
        <v>469.99</v>
      </c>
      <c r="F1023">
        <v>0.2</v>
      </c>
      <c r="G1023">
        <f t="shared" si="15"/>
        <v>469.79</v>
      </c>
      <c r="H1023" t="str">
        <f>_xlfn.XLOOKUP(C1023,products[Product_ID],products[Product_Name],"not found",0)</f>
        <v>Surly Wednesday Frameset - 2017</v>
      </c>
      <c r="I1023" t="e">
        <f>VLOOKUP(products!D1023,categories[#All],2,TRUE)</f>
        <v>#N/A</v>
      </c>
    </row>
    <row r="1024" spans="1:9" x14ac:dyDescent="0.3">
      <c r="A1024">
        <v>1023</v>
      </c>
      <c r="B1024">
        <v>1</v>
      </c>
      <c r="C1024">
        <v>91</v>
      </c>
      <c r="D1024">
        <v>1</v>
      </c>
      <c r="E1024">
        <v>349.99</v>
      </c>
      <c r="F1024">
        <v>7.0000000000000007E-2</v>
      </c>
      <c r="G1024">
        <f t="shared" si="15"/>
        <v>349.92</v>
      </c>
      <c r="H1024" t="str">
        <f>_xlfn.XLOOKUP(C1024,products[Product_ID],products[Product_Name],"not found",0)</f>
        <v>Trek Precaliber 24 (21-Speed) - Girls - 2017</v>
      </c>
      <c r="I1024" t="e">
        <f>VLOOKUP(products!D1024,categories[#All],2,TRUE)</f>
        <v>#N/A</v>
      </c>
    </row>
    <row r="1025" spans="1:9" x14ac:dyDescent="0.3">
      <c r="A1025">
        <v>1024</v>
      </c>
      <c r="B1025">
        <v>1</v>
      </c>
      <c r="C1025">
        <v>104</v>
      </c>
      <c r="D1025">
        <v>1</v>
      </c>
      <c r="E1025">
        <v>481.99</v>
      </c>
      <c r="F1025">
        <v>0.2</v>
      </c>
      <c r="G1025">
        <f t="shared" si="15"/>
        <v>481.79</v>
      </c>
      <c r="H1025" t="str">
        <f>_xlfn.XLOOKUP(C1025,products[Product_ID],products[Product_Name],"not found",0)</f>
        <v>Sun Bicycles Streamway - 2017</v>
      </c>
      <c r="I1025" t="e">
        <f>VLOOKUP(products!D1025,categories[#All],2,TRUE)</f>
        <v>#N/A</v>
      </c>
    </row>
    <row r="1026" spans="1:9" x14ac:dyDescent="0.3">
      <c r="A1026">
        <v>1025</v>
      </c>
      <c r="B1026">
        <v>1</v>
      </c>
      <c r="C1026">
        <v>89</v>
      </c>
      <c r="D1026">
        <v>1</v>
      </c>
      <c r="E1026">
        <v>209.99</v>
      </c>
      <c r="F1026">
        <v>7.0000000000000007E-2</v>
      </c>
      <c r="G1026">
        <f t="shared" ref="G1026:G1089" si="16">(E1026*D1026)-F1026</f>
        <v>209.92000000000002</v>
      </c>
      <c r="H1026" t="str">
        <f>_xlfn.XLOOKUP(C1026,products[Product_ID],products[Product_Name],"not found",0)</f>
        <v>Trek Precaliber 16 Boys - 2017</v>
      </c>
      <c r="I1026" t="e">
        <f>VLOOKUP(products!D1026,categories[#All],2,TRUE)</f>
        <v>#N/A</v>
      </c>
    </row>
    <row r="1027" spans="1:9" x14ac:dyDescent="0.3">
      <c r="A1027">
        <v>1026</v>
      </c>
      <c r="B1027">
        <v>1</v>
      </c>
      <c r="C1027">
        <v>7</v>
      </c>
      <c r="D1027">
        <v>2</v>
      </c>
      <c r="E1027">
        <v>3999.99</v>
      </c>
      <c r="F1027">
        <v>7.0000000000000007E-2</v>
      </c>
      <c r="G1027">
        <f t="shared" si="16"/>
        <v>7999.91</v>
      </c>
      <c r="H1027" t="str">
        <f>_xlfn.XLOOKUP(C1027,products[Product_ID],products[Product_Name],"not found",0)</f>
        <v>Trek Slash 8 27.5 - 2016</v>
      </c>
      <c r="I1027" t="e">
        <f>VLOOKUP(products!D1027,categories[#All],2,TRUE)</f>
        <v>#N/A</v>
      </c>
    </row>
    <row r="1028" spans="1:9" x14ac:dyDescent="0.3">
      <c r="A1028">
        <v>1027</v>
      </c>
      <c r="B1028">
        <v>1</v>
      </c>
      <c r="C1028">
        <v>95</v>
      </c>
      <c r="D1028">
        <v>2</v>
      </c>
      <c r="E1028">
        <v>299.99</v>
      </c>
      <c r="F1028">
        <v>0.1</v>
      </c>
      <c r="G1028">
        <f t="shared" si="16"/>
        <v>599.88</v>
      </c>
      <c r="H1028" t="str">
        <f>_xlfn.XLOOKUP(C1028,products[Product_ID],products[Product_Name],"not found",0)</f>
        <v>Electra Girl's Hawaii 1 16" - 2017</v>
      </c>
      <c r="I1028" t="e">
        <f>VLOOKUP(products!D1028,categories[#All],2,TRUE)</f>
        <v>#N/A</v>
      </c>
    </row>
    <row r="1029" spans="1:9" x14ac:dyDescent="0.3">
      <c r="A1029">
        <v>1028</v>
      </c>
      <c r="B1029">
        <v>1</v>
      </c>
      <c r="C1029">
        <v>111</v>
      </c>
      <c r="D1029">
        <v>2</v>
      </c>
      <c r="E1029">
        <v>470.99</v>
      </c>
      <c r="F1029">
        <v>0.1</v>
      </c>
      <c r="G1029">
        <f t="shared" si="16"/>
        <v>941.88</v>
      </c>
      <c r="H1029" t="str">
        <f>_xlfn.XLOOKUP(C1029,products[Product_ID],products[Product_Name],"not found",0)</f>
        <v>Sun Bicycles Drifter 7 - Women's - 2017</v>
      </c>
      <c r="I1029" t="e">
        <f>VLOOKUP(products!D1029,categories[#All],2,TRUE)</f>
        <v>#N/A</v>
      </c>
    </row>
    <row r="1030" spans="1:9" x14ac:dyDescent="0.3">
      <c r="A1030">
        <v>1029</v>
      </c>
      <c r="B1030">
        <v>1</v>
      </c>
      <c r="C1030">
        <v>20</v>
      </c>
      <c r="D1030">
        <v>1</v>
      </c>
      <c r="E1030">
        <v>599.99</v>
      </c>
      <c r="F1030">
        <v>0.2</v>
      </c>
      <c r="G1030">
        <f t="shared" si="16"/>
        <v>599.79</v>
      </c>
      <c r="H1030" t="str">
        <f>_xlfn.XLOOKUP(C1030,products[Product_ID],products[Product_Name],"not found",0)</f>
        <v>Electra Townie Original 7D EQ - Women's - 2016</v>
      </c>
      <c r="I1030" t="e">
        <f>VLOOKUP(products!D1030,categories[#All],2,TRUE)</f>
        <v>#N/A</v>
      </c>
    </row>
    <row r="1031" spans="1:9" x14ac:dyDescent="0.3">
      <c r="A1031">
        <v>1030</v>
      </c>
      <c r="B1031">
        <v>1</v>
      </c>
      <c r="C1031">
        <v>27</v>
      </c>
      <c r="D1031">
        <v>1</v>
      </c>
      <c r="E1031">
        <v>999.99</v>
      </c>
      <c r="F1031">
        <v>0.05</v>
      </c>
      <c r="G1031">
        <f t="shared" si="16"/>
        <v>999.94</v>
      </c>
      <c r="H1031" t="str">
        <f>_xlfn.XLOOKUP(C1031,products[Product_ID],products[Product_Name],"not found",0)</f>
        <v>Surly Big Dummy Frameset - 2017</v>
      </c>
      <c r="I1031" t="e">
        <f>VLOOKUP(products!D1031,categories[#All],2,TRUE)</f>
        <v>#N/A</v>
      </c>
    </row>
    <row r="1032" spans="1:9" x14ac:dyDescent="0.3">
      <c r="A1032">
        <v>1031</v>
      </c>
      <c r="B1032">
        <v>1</v>
      </c>
      <c r="C1032">
        <v>27</v>
      </c>
      <c r="D1032">
        <v>2</v>
      </c>
      <c r="E1032">
        <v>999.99</v>
      </c>
      <c r="F1032">
        <v>0.2</v>
      </c>
      <c r="G1032">
        <f t="shared" si="16"/>
        <v>1999.78</v>
      </c>
      <c r="H1032" t="str">
        <f>_xlfn.XLOOKUP(C1032,products[Product_ID],products[Product_Name],"not found",0)</f>
        <v>Surly Big Dummy Frameset - 2017</v>
      </c>
      <c r="I1032" t="e">
        <f>VLOOKUP(products!D1032,categories[#All],2,TRUE)</f>
        <v>#N/A</v>
      </c>
    </row>
    <row r="1033" spans="1:9" x14ac:dyDescent="0.3">
      <c r="A1033">
        <v>1032</v>
      </c>
      <c r="B1033">
        <v>1</v>
      </c>
      <c r="C1033">
        <v>60</v>
      </c>
      <c r="D1033">
        <v>2</v>
      </c>
      <c r="E1033">
        <v>1559.99</v>
      </c>
      <c r="F1033">
        <v>0.1</v>
      </c>
      <c r="G1033">
        <f t="shared" si="16"/>
        <v>3119.88</v>
      </c>
      <c r="H1033" t="str">
        <f>_xlfn.XLOOKUP(C1033,products[Product_ID],products[Product_Name],"not found",0)</f>
        <v>Sun Bicycles ElectroLite - 2017</v>
      </c>
      <c r="I1033" t="e">
        <f>VLOOKUP(products!D1033,categories[#All],2,TRUE)</f>
        <v>#N/A</v>
      </c>
    </row>
    <row r="1034" spans="1:9" x14ac:dyDescent="0.3">
      <c r="A1034">
        <v>1033</v>
      </c>
      <c r="B1034">
        <v>1</v>
      </c>
      <c r="C1034">
        <v>26</v>
      </c>
      <c r="D1034">
        <v>1</v>
      </c>
      <c r="E1034">
        <v>599.99</v>
      </c>
      <c r="F1034">
        <v>7.0000000000000007E-2</v>
      </c>
      <c r="G1034">
        <f t="shared" si="16"/>
        <v>599.91999999999996</v>
      </c>
      <c r="H1034" t="str">
        <f>_xlfn.XLOOKUP(C1034,products[Product_ID],products[Product_Name],"not found",0)</f>
        <v>Electra Townie Original 7D EQ - 2016</v>
      </c>
      <c r="I1034" t="e">
        <f>VLOOKUP(products!D1034,categories[#All],2,TRUE)</f>
        <v>#N/A</v>
      </c>
    </row>
    <row r="1035" spans="1:9" x14ac:dyDescent="0.3">
      <c r="A1035">
        <v>1034</v>
      </c>
      <c r="B1035">
        <v>1</v>
      </c>
      <c r="C1035">
        <v>101</v>
      </c>
      <c r="D1035">
        <v>1</v>
      </c>
      <c r="E1035">
        <v>339.99</v>
      </c>
      <c r="F1035">
        <v>0.1</v>
      </c>
      <c r="G1035">
        <f t="shared" si="16"/>
        <v>339.89</v>
      </c>
      <c r="H1035" t="str">
        <f>_xlfn.XLOOKUP(C1035,products[Product_ID],products[Product_Name],"not found",0)</f>
        <v>Electra Townie 7D (20-inch) - Boys' - 2017</v>
      </c>
      <c r="I1035" t="e">
        <f>VLOOKUP(products!D1035,categories[#All],2,TRUE)</f>
        <v>#N/A</v>
      </c>
    </row>
    <row r="1036" spans="1:9" x14ac:dyDescent="0.3">
      <c r="A1036">
        <v>1035</v>
      </c>
      <c r="B1036">
        <v>1</v>
      </c>
      <c r="C1036">
        <v>96</v>
      </c>
      <c r="D1036">
        <v>1</v>
      </c>
      <c r="E1036">
        <v>349.99</v>
      </c>
      <c r="F1036">
        <v>0.2</v>
      </c>
      <c r="G1036">
        <f t="shared" si="16"/>
        <v>349.79</v>
      </c>
      <c r="H1036" t="str">
        <f>_xlfn.XLOOKUP(C1036,products[Product_ID],products[Product_Name],"not found",0)</f>
        <v>Electra Moto 3i (20-inch) - Boy's - 2017</v>
      </c>
      <c r="I1036" t="e">
        <f>VLOOKUP(products!D1036,categories[#All],2,TRUE)</f>
        <v>#N/A</v>
      </c>
    </row>
    <row r="1037" spans="1:9" x14ac:dyDescent="0.3">
      <c r="A1037">
        <v>1036</v>
      </c>
      <c r="B1037">
        <v>1</v>
      </c>
      <c r="C1037">
        <v>55</v>
      </c>
      <c r="D1037">
        <v>2</v>
      </c>
      <c r="E1037">
        <v>2699.99</v>
      </c>
      <c r="F1037">
        <v>0.1</v>
      </c>
      <c r="G1037">
        <f t="shared" si="16"/>
        <v>5399.8799999999992</v>
      </c>
      <c r="H1037" t="str">
        <f>_xlfn.XLOOKUP(C1037,products[Product_ID],products[Product_Name],"not found",0)</f>
        <v>Trek Domane S 6 - 2017</v>
      </c>
      <c r="I1037" t="e">
        <f>VLOOKUP(products!D1037,categories[#All],2,TRUE)</f>
        <v>#N/A</v>
      </c>
    </row>
    <row r="1038" spans="1:9" x14ac:dyDescent="0.3">
      <c r="A1038">
        <v>1037</v>
      </c>
      <c r="B1038">
        <v>1</v>
      </c>
      <c r="C1038">
        <v>74</v>
      </c>
      <c r="D1038">
        <v>2</v>
      </c>
      <c r="E1038">
        <v>439.99</v>
      </c>
      <c r="F1038">
        <v>7.0000000000000007E-2</v>
      </c>
      <c r="G1038">
        <f t="shared" si="16"/>
        <v>879.91</v>
      </c>
      <c r="H1038" t="str">
        <f>_xlfn.XLOOKUP(C1038,products[Product_ID],products[Product_Name],"not found",0)</f>
        <v>Electra Cruiser Lux 1 - 2017</v>
      </c>
      <c r="I1038" t="e">
        <f>VLOOKUP(products!D1038,categories[#All],2,TRUE)</f>
        <v>#N/A</v>
      </c>
    </row>
    <row r="1039" spans="1:9" x14ac:dyDescent="0.3">
      <c r="A1039">
        <v>1038</v>
      </c>
      <c r="B1039">
        <v>1</v>
      </c>
      <c r="C1039">
        <v>83</v>
      </c>
      <c r="D1039">
        <v>1</v>
      </c>
      <c r="E1039">
        <v>149.99</v>
      </c>
      <c r="F1039">
        <v>0.05</v>
      </c>
      <c r="G1039">
        <f t="shared" si="16"/>
        <v>149.94</v>
      </c>
      <c r="H1039" t="str">
        <f>_xlfn.XLOOKUP(C1039,products[Product_ID],products[Product_Name],"not found",0)</f>
        <v>Trek Boy's Kickster - 2015/2017</v>
      </c>
      <c r="I1039" t="e">
        <f>VLOOKUP(products!D1039,categories[#All],2,TRUE)</f>
        <v>#N/A</v>
      </c>
    </row>
    <row r="1040" spans="1:9" x14ac:dyDescent="0.3">
      <c r="A1040">
        <v>1039</v>
      </c>
      <c r="B1040">
        <v>1</v>
      </c>
      <c r="C1040">
        <v>18</v>
      </c>
      <c r="D1040">
        <v>2</v>
      </c>
      <c r="E1040">
        <v>449</v>
      </c>
      <c r="F1040">
        <v>0.2</v>
      </c>
      <c r="G1040">
        <f t="shared" si="16"/>
        <v>897.8</v>
      </c>
      <c r="H1040" t="str">
        <f>_xlfn.XLOOKUP(C1040,products[Product_ID],products[Product_Name],"not found",0)</f>
        <v>Pure Cycles Western 3-Speed - Women's - 2015/2016</v>
      </c>
      <c r="I1040" t="e">
        <f>VLOOKUP(products!D1040,categories[#All],2,TRUE)</f>
        <v>#N/A</v>
      </c>
    </row>
    <row r="1041" spans="1:9" x14ac:dyDescent="0.3">
      <c r="A1041">
        <v>1040</v>
      </c>
      <c r="B1041">
        <v>1</v>
      </c>
      <c r="C1041">
        <v>97</v>
      </c>
      <c r="D1041">
        <v>1</v>
      </c>
      <c r="E1041">
        <v>349.99</v>
      </c>
      <c r="F1041">
        <v>0.1</v>
      </c>
      <c r="G1041">
        <f t="shared" si="16"/>
        <v>349.89</v>
      </c>
      <c r="H1041" t="str">
        <f>_xlfn.XLOOKUP(C1041,products[Product_ID],products[Product_Name],"not found",0)</f>
        <v>Electra Savannah 3i (20-inch) - Girl's - 2017</v>
      </c>
      <c r="I1041" t="e">
        <f>VLOOKUP(products!D1041,categories[#All],2,TRUE)</f>
        <v>#N/A</v>
      </c>
    </row>
    <row r="1042" spans="1:9" x14ac:dyDescent="0.3">
      <c r="A1042">
        <v>1041</v>
      </c>
      <c r="B1042">
        <v>1</v>
      </c>
      <c r="C1042">
        <v>89</v>
      </c>
      <c r="D1042">
        <v>1</v>
      </c>
      <c r="E1042">
        <v>209.99</v>
      </c>
      <c r="F1042">
        <v>0.1</v>
      </c>
      <c r="G1042">
        <f t="shared" si="16"/>
        <v>209.89000000000001</v>
      </c>
      <c r="H1042" t="str">
        <f>_xlfn.XLOOKUP(C1042,products[Product_ID],products[Product_Name],"not found",0)</f>
        <v>Trek Precaliber 16 Boys - 2017</v>
      </c>
      <c r="I1042" t="e">
        <f>VLOOKUP(products!D1042,categories[#All],2,TRUE)</f>
        <v>#N/A</v>
      </c>
    </row>
    <row r="1043" spans="1:9" x14ac:dyDescent="0.3">
      <c r="A1043">
        <v>1042</v>
      </c>
      <c r="B1043">
        <v>1</v>
      </c>
      <c r="C1043">
        <v>23</v>
      </c>
      <c r="D1043">
        <v>1</v>
      </c>
      <c r="E1043">
        <v>299.99</v>
      </c>
      <c r="F1043">
        <v>0.1</v>
      </c>
      <c r="G1043">
        <f t="shared" si="16"/>
        <v>299.89</v>
      </c>
      <c r="H1043" t="str">
        <f>_xlfn.XLOOKUP(C1043,products[Product_ID],products[Product_Name],"not found",0)</f>
        <v>Electra Girl's Hawaii 1 (20-inch) - 2015/2016</v>
      </c>
      <c r="I1043" t="e">
        <f>VLOOKUP(products!D1043,categories[#All],2,TRUE)</f>
        <v>#N/A</v>
      </c>
    </row>
    <row r="1044" spans="1:9" x14ac:dyDescent="0.3">
      <c r="A1044">
        <v>1043</v>
      </c>
      <c r="B1044">
        <v>1</v>
      </c>
      <c r="C1044">
        <v>55</v>
      </c>
      <c r="D1044">
        <v>2</v>
      </c>
      <c r="E1044">
        <v>2699.99</v>
      </c>
      <c r="F1044">
        <v>0.1</v>
      </c>
      <c r="G1044">
        <f t="shared" si="16"/>
        <v>5399.8799999999992</v>
      </c>
      <c r="H1044" t="str">
        <f>_xlfn.XLOOKUP(C1044,products[Product_ID],products[Product_Name],"not found",0)</f>
        <v>Trek Domane S 6 - 2017</v>
      </c>
      <c r="I1044" t="e">
        <f>VLOOKUP(products!D1044,categories[#All],2,TRUE)</f>
        <v>#N/A</v>
      </c>
    </row>
    <row r="1045" spans="1:9" x14ac:dyDescent="0.3">
      <c r="A1045">
        <v>1044</v>
      </c>
      <c r="B1045">
        <v>1</v>
      </c>
      <c r="C1045">
        <v>97</v>
      </c>
      <c r="D1045">
        <v>2</v>
      </c>
      <c r="E1045">
        <v>349.99</v>
      </c>
      <c r="F1045">
        <v>0.1</v>
      </c>
      <c r="G1045">
        <f t="shared" si="16"/>
        <v>699.88</v>
      </c>
      <c r="H1045" t="str">
        <f>_xlfn.XLOOKUP(C1045,products[Product_ID],products[Product_Name],"not found",0)</f>
        <v>Electra Savannah 3i (20-inch) - Girl's - 2017</v>
      </c>
      <c r="I1045" t="e">
        <f>VLOOKUP(products!D1045,categories[#All],2,TRUE)</f>
        <v>#N/A</v>
      </c>
    </row>
    <row r="1046" spans="1:9" x14ac:dyDescent="0.3">
      <c r="A1046">
        <v>1045</v>
      </c>
      <c r="B1046">
        <v>1</v>
      </c>
      <c r="C1046">
        <v>28</v>
      </c>
      <c r="D1046">
        <v>1</v>
      </c>
      <c r="E1046">
        <v>2499.9899999999998</v>
      </c>
      <c r="F1046">
        <v>0.05</v>
      </c>
      <c r="G1046">
        <f t="shared" si="16"/>
        <v>2499.9399999999996</v>
      </c>
      <c r="H1046" t="str">
        <f>_xlfn.XLOOKUP(C1046,products[Product_ID],products[Product_Name],"not found",0)</f>
        <v>Surly Karate Monkey 27.5+ Frameset - 2017</v>
      </c>
      <c r="I1046" t="e">
        <f>VLOOKUP(products!D1046,categories[#All],2,TRUE)</f>
        <v>#N/A</v>
      </c>
    </row>
    <row r="1047" spans="1:9" x14ac:dyDescent="0.3">
      <c r="A1047">
        <v>1046</v>
      </c>
      <c r="B1047">
        <v>1</v>
      </c>
      <c r="C1047">
        <v>60</v>
      </c>
      <c r="D1047">
        <v>1</v>
      </c>
      <c r="E1047">
        <v>1559.99</v>
      </c>
      <c r="F1047">
        <v>7.0000000000000007E-2</v>
      </c>
      <c r="G1047">
        <f t="shared" si="16"/>
        <v>1559.92</v>
      </c>
      <c r="H1047" t="str">
        <f>_xlfn.XLOOKUP(C1047,products[Product_ID],products[Product_Name],"not found",0)</f>
        <v>Sun Bicycles ElectroLite - 2017</v>
      </c>
      <c r="I1047" t="e">
        <f>VLOOKUP(products!D1047,categories[#All],2,TRUE)</f>
        <v>#N/A</v>
      </c>
    </row>
    <row r="1048" spans="1:9" x14ac:dyDescent="0.3">
      <c r="A1048">
        <v>1047</v>
      </c>
      <c r="B1048">
        <v>1</v>
      </c>
      <c r="C1048">
        <v>28</v>
      </c>
      <c r="D1048">
        <v>2</v>
      </c>
      <c r="E1048">
        <v>2499.9899999999998</v>
      </c>
      <c r="F1048">
        <v>0.1</v>
      </c>
      <c r="G1048">
        <f t="shared" si="16"/>
        <v>4999.8799999999992</v>
      </c>
      <c r="H1048" t="str">
        <f>_xlfn.XLOOKUP(C1048,products[Product_ID],products[Product_Name],"not found",0)</f>
        <v>Surly Karate Monkey 27.5+ Frameset - 2017</v>
      </c>
      <c r="I1048" t="e">
        <f>VLOOKUP(products!D1048,categories[#All],2,TRUE)</f>
        <v>#N/A</v>
      </c>
    </row>
    <row r="1049" spans="1:9" x14ac:dyDescent="0.3">
      <c r="A1049">
        <v>1048</v>
      </c>
      <c r="B1049">
        <v>1</v>
      </c>
      <c r="C1049">
        <v>3</v>
      </c>
      <c r="D1049">
        <v>2</v>
      </c>
      <c r="E1049">
        <v>999.99</v>
      </c>
      <c r="F1049">
        <v>0.1</v>
      </c>
      <c r="G1049">
        <f t="shared" si="16"/>
        <v>1999.88</v>
      </c>
      <c r="H1049" t="str">
        <f>_xlfn.XLOOKUP(C1049,products[Product_ID],products[Product_Name],"not found",0)</f>
        <v>Surly Wednesday Frameset - 2016</v>
      </c>
      <c r="I1049" t="e">
        <f>VLOOKUP(products!D1049,categories[#All],2,TRUE)</f>
        <v>#N/A</v>
      </c>
    </row>
    <row r="1050" spans="1:9" x14ac:dyDescent="0.3">
      <c r="A1050">
        <v>1049</v>
      </c>
      <c r="B1050">
        <v>1</v>
      </c>
      <c r="C1050">
        <v>9</v>
      </c>
      <c r="D1050">
        <v>1</v>
      </c>
      <c r="E1050">
        <v>2999.99</v>
      </c>
      <c r="F1050">
        <v>0.1</v>
      </c>
      <c r="G1050">
        <f t="shared" si="16"/>
        <v>2999.89</v>
      </c>
      <c r="H1050" t="str">
        <f>_xlfn.XLOOKUP(C1050,products[Product_ID],products[Product_Name],"not found",0)</f>
        <v>Trek Conduit+ - 2016</v>
      </c>
      <c r="I1050" t="e">
        <f>VLOOKUP(products!D1050,categories[#All],2,TRUE)</f>
        <v>#N/A</v>
      </c>
    </row>
    <row r="1051" spans="1:9" x14ac:dyDescent="0.3">
      <c r="A1051">
        <v>1050</v>
      </c>
      <c r="B1051">
        <v>1</v>
      </c>
      <c r="C1051">
        <v>96</v>
      </c>
      <c r="D1051">
        <v>2</v>
      </c>
      <c r="E1051">
        <v>349.99</v>
      </c>
      <c r="F1051">
        <v>7.0000000000000007E-2</v>
      </c>
      <c r="G1051">
        <f t="shared" si="16"/>
        <v>699.91</v>
      </c>
      <c r="H1051" t="str">
        <f>_xlfn.XLOOKUP(C1051,products[Product_ID],products[Product_Name],"not found",0)</f>
        <v>Electra Moto 3i (20-inch) - Boy's - 2017</v>
      </c>
      <c r="I1051" t="e">
        <f>VLOOKUP(products!D1051,categories[#All],2,TRUE)</f>
        <v>#N/A</v>
      </c>
    </row>
    <row r="1052" spans="1:9" x14ac:dyDescent="0.3">
      <c r="A1052">
        <v>1051</v>
      </c>
      <c r="B1052">
        <v>1</v>
      </c>
      <c r="C1052">
        <v>46</v>
      </c>
      <c r="D1052">
        <v>1</v>
      </c>
      <c r="E1052">
        <v>1409.99</v>
      </c>
      <c r="F1052">
        <v>0.2</v>
      </c>
      <c r="G1052">
        <f t="shared" si="16"/>
        <v>1409.79</v>
      </c>
      <c r="H1052" t="str">
        <f>_xlfn.XLOOKUP(C1052,products[Product_ID],products[Product_Name],"not found",0)</f>
        <v>Haro SR 1.3 - 2017</v>
      </c>
      <c r="I1052" t="e">
        <f>VLOOKUP(products!D1052,categories[#All],2,TRUE)</f>
        <v>#N/A</v>
      </c>
    </row>
    <row r="1053" spans="1:9" x14ac:dyDescent="0.3">
      <c r="A1053">
        <v>1052</v>
      </c>
      <c r="B1053">
        <v>1</v>
      </c>
      <c r="C1053">
        <v>7</v>
      </c>
      <c r="D1053">
        <v>1</v>
      </c>
      <c r="E1053">
        <v>3999.99</v>
      </c>
      <c r="F1053">
        <v>0.05</v>
      </c>
      <c r="G1053">
        <f t="shared" si="16"/>
        <v>3999.9399999999996</v>
      </c>
      <c r="H1053" t="str">
        <f>_xlfn.XLOOKUP(C1053,products[Product_ID],products[Product_Name],"not found",0)</f>
        <v>Trek Slash 8 27.5 - 2016</v>
      </c>
      <c r="I1053" t="e">
        <f>VLOOKUP(products!D1053,categories[#All],2,TRUE)</f>
        <v>#N/A</v>
      </c>
    </row>
    <row r="1054" spans="1:9" x14ac:dyDescent="0.3">
      <c r="A1054">
        <v>1053</v>
      </c>
      <c r="B1054">
        <v>1</v>
      </c>
      <c r="C1054">
        <v>49</v>
      </c>
      <c r="D1054">
        <v>2</v>
      </c>
      <c r="E1054">
        <v>3499.99</v>
      </c>
      <c r="F1054">
        <v>0.05</v>
      </c>
      <c r="G1054">
        <f t="shared" si="16"/>
        <v>6999.9299999999994</v>
      </c>
      <c r="H1054" t="str">
        <f>_xlfn.XLOOKUP(C1054,products[Product_ID],products[Product_Name],"not found",0)</f>
        <v>Trek Domane SL 6 - 2017</v>
      </c>
      <c r="I1054" t="e">
        <f>VLOOKUP(products!D1054,categories[#All],2,TRUE)</f>
        <v>#N/A</v>
      </c>
    </row>
    <row r="1055" spans="1:9" x14ac:dyDescent="0.3">
      <c r="A1055">
        <v>1054</v>
      </c>
      <c r="B1055">
        <v>1</v>
      </c>
      <c r="C1055">
        <v>36</v>
      </c>
      <c r="D1055">
        <v>2</v>
      </c>
      <c r="E1055">
        <v>832.99</v>
      </c>
      <c r="F1055">
        <v>0.1</v>
      </c>
      <c r="G1055">
        <f t="shared" si="16"/>
        <v>1665.88</v>
      </c>
      <c r="H1055" t="str">
        <f>_xlfn.XLOOKUP(C1055,products[Product_ID],products[Product_Name],"not found",0)</f>
        <v>Surly Troll Frameset - 2017</v>
      </c>
      <c r="I1055" t="e">
        <f>VLOOKUP(products!D1055,categories[#All],2,TRUE)</f>
        <v>#N/A</v>
      </c>
    </row>
    <row r="1056" spans="1:9" x14ac:dyDescent="0.3">
      <c r="A1056">
        <v>1055</v>
      </c>
      <c r="B1056">
        <v>1</v>
      </c>
      <c r="C1056">
        <v>43</v>
      </c>
      <c r="D1056">
        <v>2</v>
      </c>
      <c r="E1056">
        <v>5299.99</v>
      </c>
      <c r="F1056">
        <v>7.0000000000000007E-2</v>
      </c>
      <c r="G1056">
        <f t="shared" si="16"/>
        <v>10599.91</v>
      </c>
      <c r="H1056" t="str">
        <f>_xlfn.XLOOKUP(C1056,products[Product_ID],products[Product_Name],"not found",0)</f>
        <v>Trek Fuel EX 9.8 27.5 Plus - 2017</v>
      </c>
      <c r="I1056" t="e">
        <f>VLOOKUP(products!D1056,categories[#All],2,TRUE)</f>
        <v>#N/A</v>
      </c>
    </row>
    <row r="1057" spans="1:9" x14ac:dyDescent="0.3">
      <c r="A1057">
        <v>1056</v>
      </c>
      <c r="B1057">
        <v>1</v>
      </c>
      <c r="C1057">
        <v>3</v>
      </c>
      <c r="D1057">
        <v>1</v>
      </c>
      <c r="E1057">
        <v>999.99</v>
      </c>
      <c r="F1057">
        <v>0.05</v>
      </c>
      <c r="G1057">
        <f t="shared" si="16"/>
        <v>999.94</v>
      </c>
      <c r="H1057" t="str">
        <f>_xlfn.XLOOKUP(C1057,products[Product_ID],products[Product_Name],"not found",0)</f>
        <v>Surly Wednesday Frameset - 2016</v>
      </c>
      <c r="I1057" t="e">
        <f>VLOOKUP(products!D1057,categories[#All],2,TRUE)</f>
        <v>#N/A</v>
      </c>
    </row>
    <row r="1058" spans="1:9" x14ac:dyDescent="0.3">
      <c r="A1058">
        <v>1057</v>
      </c>
      <c r="B1058">
        <v>1</v>
      </c>
      <c r="C1058">
        <v>105</v>
      </c>
      <c r="D1058">
        <v>1</v>
      </c>
      <c r="E1058">
        <v>533.99</v>
      </c>
      <c r="F1058">
        <v>0.2</v>
      </c>
      <c r="G1058">
        <f t="shared" si="16"/>
        <v>533.79</v>
      </c>
      <c r="H1058" t="str">
        <f>_xlfn.XLOOKUP(C1058,products[Product_ID],products[Product_Name],"not found",0)</f>
        <v>Sun Bicycles Streamway 7 - 2017</v>
      </c>
      <c r="I1058" t="e">
        <f>VLOOKUP(products!D1058,categories[#All],2,TRUE)</f>
        <v>#N/A</v>
      </c>
    </row>
    <row r="1059" spans="1:9" x14ac:dyDescent="0.3">
      <c r="A1059">
        <v>1058</v>
      </c>
      <c r="B1059">
        <v>1</v>
      </c>
      <c r="C1059">
        <v>43</v>
      </c>
      <c r="D1059">
        <v>1</v>
      </c>
      <c r="E1059">
        <v>5299.99</v>
      </c>
      <c r="F1059">
        <v>0.1</v>
      </c>
      <c r="G1059">
        <f t="shared" si="16"/>
        <v>5299.8899999999994</v>
      </c>
      <c r="H1059" t="str">
        <f>_xlfn.XLOOKUP(C1059,products[Product_ID],products[Product_Name],"not found",0)</f>
        <v>Trek Fuel EX 9.8 27.5 Plus - 2017</v>
      </c>
      <c r="I1059" t="e">
        <f>VLOOKUP(products!D1059,categories[#All],2,TRUE)</f>
        <v>#N/A</v>
      </c>
    </row>
    <row r="1060" spans="1:9" x14ac:dyDescent="0.3">
      <c r="A1060">
        <v>1059</v>
      </c>
      <c r="B1060">
        <v>1</v>
      </c>
      <c r="C1060">
        <v>46</v>
      </c>
      <c r="D1060">
        <v>2</v>
      </c>
      <c r="E1060">
        <v>1409.99</v>
      </c>
      <c r="F1060">
        <v>0.05</v>
      </c>
      <c r="G1060">
        <f t="shared" si="16"/>
        <v>2819.93</v>
      </c>
      <c r="H1060" t="str">
        <f>_xlfn.XLOOKUP(C1060,products[Product_ID],products[Product_Name],"not found",0)</f>
        <v>Haro SR 1.3 - 2017</v>
      </c>
      <c r="I1060" t="e">
        <f>VLOOKUP(products!D1060,categories[#All],2,TRUE)</f>
        <v>#N/A</v>
      </c>
    </row>
    <row r="1061" spans="1:9" x14ac:dyDescent="0.3">
      <c r="A1061">
        <v>1060</v>
      </c>
      <c r="B1061">
        <v>1</v>
      </c>
      <c r="C1061">
        <v>7</v>
      </c>
      <c r="D1061">
        <v>1</v>
      </c>
      <c r="E1061">
        <v>3999.99</v>
      </c>
      <c r="F1061">
        <v>7.0000000000000007E-2</v>
      </c>
      <c r="G1061">
        <f t="shared" si="16"/>
        <v>3999.9199999999996</v>
      </c>
      <c r="H1061" t="str">
        <f>_xlfn.XLOOKUP(C1061,products[Product_ID],products[Product_Name],"not found",0)</f>
        <v>Trek Slash 8 27.5 - 2016</v>
      </c>
      <c r="I1061" t="e">
        <f>VLOOKUP(products!D1061,categories[#All],2,TRUE)</f>
        <v>#N/A</v>
      </c>
    </row>
    <row r="1062" spans="1:9" x14ac:dyDescent="0.3">
      <c r="A1062">
        <v>1061</v>
      </c>
      <c r="B1062">
        <v>1</v>
      </c>
      <c r="C1062">
        <v>14</v>
      </c>
      <c r="D1062">
        <v>1</v>
      </c>
      <c r="E1062">
        <v>269.99</v>
      </c>
      <c r="F1062">
        <v>7.0000000000000007E-2</v>
      </c>
      <c r="G1062">
        <f t="shared" si="16"/>
        <v>269.92</v>
      </c>
      <c r="H1062" t="str">
        <f>_xlfn.XLOOKUP(C1062,products[Product_ID],products[Product_Name],"not found",0)</f>
        <v>Electra Girl's Hawaii 1 (16-inch) - 2015/2016</v>
      </c>
      <c r="I1062" t="e">
        <f>VLOOKUP(products!D1062,categories[#All],2,TRUE)</f>
        <v>#N/A</v>
      </c>
    </row>
    <row r="1063" spans="1:9" x14ac:dyDescent="0.3">
      <c r="A1063">
        <v>1062</v>
      </c>
      <c r="B1063">
        <v>1</v>
      </c>
      <c r="C1063">
        <v>13</v>
      </c>
      <c r="D1063">
        <v>1</v>
      </c>
      <c r="E1063">
        <v>269.99</v>
      </c>
      <c r="F1063">
        <v>0.05</v>
      </c>
      <c r="G1063">
        <f t="shared" si="16"/>
        <v>269.94</v>
      </c>
      <c r="H1063" t="str">
        <f>_xlfn.XLOOKUP(C1063,products[Product_ID],products[Product_Name],"not found",0)</f>
        <v>Electra Cruiser 1 (24-Inch) - 2016</v>
      </c>
      <c r="I1063" t="e">
        <f>VLOOKUP(products!D1063,categories[#All],2,TRUE)</f>
        <v>#N/A</v>
      </c>
    </row>
    <row r="1064" spans="1:9" x14ac:dyDescent="0.3">
      <c r="A1064">
        <v>1063</v>
      </c>
      <c r="B1064">
        <v>1</v>
      </c>
      <c r="C1064">
        <v>33</v>
      </c>
      <c r="D1064">
        <v>2</v>
      </c>
      <c r="E1064">
        <v>469.99</v>
      </c>
      <c r="F1064">
        <v>0.1</v>
      </c>
      <c r="G1064">
        <f t="shared" si="16"/>
        <v>939.88</v>
      </c>
      <c r="H1064" t="str">
        <f>_xlfn.XLOOKUP(C1064,products[Product_ID],products[Product_Name],"not found",0)</f>
        <v>Surly Wednesday Frameset - 2017</v>
      </c>
      <c r="I1064" t="e">
        <f>VLOOKUP(products!D1064,categories[#All],2,TRUE)</f>
        <v>#N/A</v>
      </c>
    </row>
    <row r="1065" spans="1:9" x14ac:dyDescent="0.3">
      <c r="A1065">
        <v>1064</v>
      </c>
      <c r="B1065">
        <v>1</v>
      </c>
      <c r="C1065">
        <v>18</v>
      </c>
      <c r="D1065">
        <v>1</v>
      </c>
      <c r="E1065">
        <v>449</v>
      </c>
      <c r="F1065">
        <v>7.0000000000000007E-2</v>
      </c>
      <c r="G1065">
        <f t="shared" si="16"/>
        <v>448.93</v>
      </c>
      <c r="H1065" t="str">
        <f>_xlfn.XLOOKUP(C1065,products[Product_ID],products[Product_Name],"not found",0)</f>
        <v>Pure Cycles Western 3-Speed - Women's - 2015/2016</v>
      </c>
      <c r="I1065" t="e">
        <f>VLOOKUP(products!D1065,categories[#All],2,TRUE)</f>
        <v>#N/A</v>
      </c>
    </row>
    <row r="1066" spans="1:9" x14ac:dyDescent="0.3">
      <c r="A1066">
        <v>1065</v>
      </c>
      <c r="B1066">
        <v>1</v>
      </c>
      <c r="C1066">
        <v>48</v>
      </c>
      <c r="D1066">
        <v>2</v>
      </c>
      <c r="E1066">
        <v>1499.99</v>
      </c>
      <c r="F1066">
        <v>7.0000000000000007E-2</v>
      </c>
      <c r="G1066">
        <f t="shared" si="16"/>
        <v>2999.91</v>
      </c>
      <c r="H1066" t="str">
        <f>_xlfn.XLOOKUP(C1066,products[Product_ID],products[Product_Name],"not found",0)</f>
        <v>Trek Emonda S 4 - 2017</v>
      </c>
      <c r="I1066" t="e">
        <f>VLOOKUP(products!D1066,categories[#All],2,TRUE)</f>
        <v>#N/A</v>
      </c>
    </row>
    <row r="1067" spans="1:9" x14ac:dyDescent="0.3">
      <c r="A1067">
        <v>1066</v>
      </c>
      <c r="B1067">
        <v>1</v>
      </c>
      <c r="C1067">
        <v>15</v>
      </c>
      <c r="D1067">
        <v>2</v>
      </c>
      <c r="E1067">
        <v>529.99</v>
      </c>
      <c r="F1067">
        <v>0.05</v>
      </c>
      <c r="G1067">
        <f t="shared" si="16"/>
        <v>1059.93</v>
      </c>
      <c r="H1067" t="str">
        <f>_xlfn.XLOOKUP(C1067,products[Product_ID],products[Product_Name],"not found",0)</f>
        <v>Electra Moto 1 - 2016</v>
      </c>
      <c r="I1067" t="e">
        <f>VLOOKUP(products!D1067,categories[#All],2,TRUE)</f>
        <v>#N/A</v>
      </c>
    </row>
    <row r="1068" spans="1:9" x14ac:dyDescent="0.3">
      <c r="A1068">
        <v>1067</v>
      </c>
      <c r="B1068">
        <v>1</v>
      </c>
      <c r="C1068">
        <v>74</v>
      </c>
      <c r="D1068">
        <v>2</v>
      </c>
      <c r="E1068">
        <v>439.99</v>
      </c>
      <c r="F1068">
        <v>7.0000000000000007E-2</v>
      </c>
      <c r="G1068">
        <f t="shared" si="16"/>
        <v>879.91</v>
      </c>
      <c r="H1068" t="str">
        <f>_xlfn.XLOOKUP(C1068,products[Product_ID],products[Product_Name],"not found",0)</f>
        <v>Electra Cruiser Lux 1 - 2017</v>
      </c>
      <c r="I1068" t="e">
        <f>VLOOKUP(products!D1068,categories[#All],2,TRUE)</f>
        <v>#N/A</v>
      </c>
    </row>
    <row r="1069" spans="1:9" x14ac:dyDescent="0.3">
      <c r="A1069">
        <v>1068</v>
      </c>
      <c r="B1069">
        <v>1</v>
      </c>
      <c r="C1069">
        <v>87</v>
      </c>
      <c r="D1069">
        <v>2</v>
      </c>
      <c r="E1069">
        <v>189.99</v>
      </c>
      <c r="F1069">
        <v>0.2</v>
      </c>
      <c r="G1069">
        <f t="shared" si="16"/>
        <v>379.78000000000003</v>
      </c>
      <c r="H1069" t="str">
        <f>_xlfn.XLOOKUP(C1069,products[Product_ID],products[Product_Name],"not found",0)</f>
        <v>Trek Precaliber 12 Boys - 2017</v>
      </c>
      <c r="I1069" t="e">
        <f>VLOOKUP(products!D1069,categories[#All],2,TRUE)</f>
        <v>#N/A</v>
      </c>
    </row>
    <row r="1070" spans="1:9" x14ac:dyDescent="0.3">
      <c r="A1070">
        <v>1069</v>
      </c>
      <c r="B1070">
        <v>1</v>
      </c>
      <c r="C1070">
        <v>109</v>
      </c>
      <c r="D1070">
        <v>1</v>
      </c>
      <c r="E1070">
        <v>416.99</v>
      </c>
      <c r="F1070">
        <v>7.0000000000000007E-2</v>
      </c>
      <c r="G1070">
        <f t="shared" si="16"/>
        <v>416.92</v>
      </c>
      <c r="H1070" t="str">
        <f>_xlfn.XLOOKUP(C1070,products[Product_ID],products[Product_Name],"not found",0)</f>
        <v>Sun Bicycles Cruz 7 - Women's - 2017</v>
      </c>
      <c r="I1070" t="e">
        <f>VLOOKUP(products!D1070,categories[#All],2,TRUE)</f>
        <v>#N/A</v>
      </c>
    </row>
    <row r="1071" spans="1:9" x14ac:dyDescent="0.3">
      <c r="A1071">
        <v>1070</v>
      </c>
      <c r="B1071">
        <v>1</v>
      </c>
      <c r="C1071">
        <v>110</v>
      </c>
      <c r="D1071">
        <v>1</v>
      </c>
      <c r="E1071">
        <v>470.99</v>
      </c>
      <c r="F1071">
        <v>0.2</v>
      </c>
      <c r="G1071">
        <f t="shared" si="16"/>
        <v>470.79</v>
      </c>
      <c r="H1071" t="str">
        <f>_xlfn.XLOOKUP(C1071,products[Product_ID],products[Product_Name],"not found",0)</f>
        <v>Sun Bicycles Drifter 7 - 2017</v>
      </c>
      <c r="I1071" t="e">
        <f>VLOOKUP(products!D1071,categories[#All],2,TRUE)</f>
        <v>#N/A</v>
      </c>
    </row>
    <row r="1072" spans="1:9" x14ac:dyDescent="0.3">
      <c r="A1072">
        <v>1071</v>
      </c>
      <c r="B1072">
        <v>1</v>
      </c>
      <c r="C1072">
        <v>25</v>
      </c>
      <c r="D1072">
        <v>2</v>
      </c>
      <c r="E1072">
        <v>499.99</v>
      </c>
      <c r="F1072">
        <v>0.2</v>
      </c>
      <c r="G1072">
        <f t="shared" si="16"/>
        <v>999.78</v>
      </c>
      <c r="H1072" t="str">
        <f>_xlfn.XLOOKUP(C1072,products[Product_ID],products[Product_Name],"not found",0)</f>
        <v>Electra Townie Original 7D - 2015/2016</v>
      </c>
      <c r="I1072" t="e">
        <f>VLOOKUP(products!D1072,categories[#All],2,TRUE)</f>
        <v>#N/A</v>
      </c>
    </row>
    <row r="1073" spans="1:9" x14ac:dyDescent="0.3">
      <c r="A1073">
        <v>1072</v>
      </c>
      <c r="B1073">
        <v>1</v>
      </c>
      <c r="C1073">
        <v>83</v>
      </c>
      <c r="D1073">
        <v>1</v>
      </c>
      <c r="E1073">
        <v>149.99</v>
      </c>
      <c r="F1073">
        <v>0.2</v>
      </c>
      <c r="G1073">
        <f t="shared" si="16"/>
        <v>149.79000000000002</v>
      </c>
      <c r="H1073" t="str">
        <f>_xlfn.XLOOKUP(C1073,products[Product_ID],products[Product_Name],"not found",0)</f>
        <v>Trek Boy's Kickster - 2015/2017</v>
      </c>
      <c r="I1073" t="e">
        <f>VLOOKUP(products!D1073,categories[#All],2,TRUE)</f>
        <v>#N/A</v>
      </c>
    </row>
    <row r="1074" spans="1:9" x14ac:dyDescent="0.3">
      <c r="A1074">
        <v>1073</v>
      </c>
      <c r="B1074">
        <v>1</v>
      </c>
      <c r="C1074">
        <v>81</v>
      </c>
      <c r="D1074">
        <v>1</v>
      </c>
      <c r="E1074">
        <v>1099.99</v>
      </c>
      <c r="F1074">
        <v>0.2</v>
      </c>
      <c r="G1074">
        <f t="shared" si="16"/>
        <v>1099.79</v>
      </c>
      <c r="H1074" t="str">
        <f>_xlfn.XLOOKUP(C1074,products[Product_ID],products[Product_Name],"not found",0)</f>
        <v>Electra Amsterdam Fashion 7i Ladies' - 2017</v>
      </c>
      <c r="I1074" t="e">
        <f>VLOOKUP(products!D1074,categories[#All],2,TRUE)</f>
        <v>#N/A</v>
      </c>
    </row>
    <row r="1075" spans="1:9" x14ac:dyDescent="0.3">
      <c r="A1075">
        <v>1074</v>
      </c>
      <c r="B1075">
        <v>1</v>
      </c>
      <c r="C1075">
        <v>59</v>
      </c>
      <c r="D1075">
        <v>1</v>
      </c>
      <c r="E1075">
        <v>2599.9899999999998</v>
      </c>
      <c r="F1075">
        <v>0.1</v>
      </c>
      <c r="G1075">
        <f t="shared" si="16"/>
        <v>2599.89</v>
      </c>
      <c r="H1075" t="str">
        <f>_xlfn.XLOOKUP(C1075,products[Product_ID],products[Product_Name],"not found",0)</f>
        <v>Trek Domane S 5 Disc - 2017</v>
      </c>
      <c r="I1075" t="e">
        <f>VLOOKUP(products!D1075,categories[#All],2,TRUE)</f>
        <v>#N/A</v>
      </c>
    </row>
    <row r="1076" spans="1:9" x14ac:dyDescent="0.3">
      <c r="A1076">
        <v>1075</v>
      </c>
      <c r="B1076">
        <v>1</v>
      </c>
      <c r="C1076">
        <v>48</v>
      </c>
      <c r="D1076">
        <v>2</v>
      </c>
      <c r="E1076">
        <v>1499.99</v>
      </c>
      <c r="F1076">
        <v>0.1</v>
      </c>
      <c r="G1076">
        <f t="shared" si="16"/>
        <v>2999.88</v>
      </c>
      <c r="H1076" t="str">
        <f>_xlfn.XLOOKUP(C1076,products[Product_ID],products[Product_Name],"not found",0)</f>
        <v>Trek Emonda S 4 - 2017</v>
      </c>
      <c r="I1076" t="e">
        <f>VLOOKUP(products!D1076,categories[#All],2,TRUE)</f>
        <v>#N/A</v>
      </c>
    </row>
    <row r="1077" spans="1:9" x14ac:dyDescent="0.3">
      <c r="A1077">
        <v>1076</v>
      </c>
      <c r="B1077">
        <v>1</v>
      </c>
      <c r="C1077">
        <v>95</v>
      </c>
      <c r="D1077">
        <v>1</v>
      </c>
      <c r="E1077">
        <v>299.99</v>
      </c>
      <c r="F1077">
        <v>0.1</v>
      </c>
      <c r="G1077">
        <f t="shared" si="16"/>
        <v>299.89</v>
      </c>
      <c r="H1077" t="str">
        <f>_xlfn.XLOOKUP(C1077,products[Product_ID],products[Product_Name],"not found",0)</f>
        <v>Electra Girl's Hawaii 1 16" - 2017</v>
      </c>
      <c r="I1077" t="e">
        <f>VLOOKUP(products!D1077,categories[#All],2,TRUE)</f>
        <v>#N/A</v>
      </c>
    </row>
    <row r="1078" spans="1:9" x14ac:dyDescent="0.3">
      <c r="A1078">
        <v>1077</v>
      </c>
      <c r="B1078">
        <v>1</v>
      </c>
      <c r="C1078">
        <v>60</v>
      </c>
      <c r="D1078">
        <v>2</v>
      </c>
      <c r="E1078">
        <v>1559.99</v>
      </c>
      <c r="F1078">
        <v>0.05</v>
      </c>
      <c r="G1078">
        <f t="shared" si="16"/>
        <v>3119.93</v>
      </c>
      <c r="H1078" t="str">
        <f>_xlfn.XLOOKUP(C1078,products[Product_ID],products[Product_Name],"not found",0)</f>
        <v>Sun Bicycles ElectroLite - 2017</v>
      </c>
      <c r="I1078" t="e">
        <f>VLOOKUP(products!D1078,categories[#All],2,TRUE)</f>
        <v>#N/A</v>
      </c>
    </row>
    <row r="1079" spans="1:9" x14ac:dyDescent="0.3">
      <c r="A1079">
        <v>1078</v>
      </c>
      <c r="B1079">
        <v>1</v>
      </c>
      <c r="C1079">
        <v>76</v>
      </c>
      <c r="D1079">
        <v>2</v>
      </c>
      <c r="E1079">
        <v>299.99</v>
      </c>
      <c r="F1079">
        <v>7.0000000000000007E-2</v>
      </c>
      <c r="G1079">
        <f t="shared" si="16"/>
        <v>599.91</v>
      </c>
      <c r="H1079" t="str">
        <f>_xlfn.XLOOKUP(C1079,products[Product_ID],products[Product_Name],"not found",0)</f>
        <v>Electra Girl's Hawaii 1 16" - 2017</v>
      </c>
      <c r="I1079" t="e">
        <f>VLOOKUP(products!D1079,categories[#All],2,TRUE)</f>
        <v>#N/A</v>
      </c>
    </row>
    <row r="1080" spans="1:9" x14ac:dyDescent="0.3">
      <c r="A1080">
        <v>1079</v>
      </c>
      <c r="B1080">
        <v>1</v>
      </c>
      <c r="C1080">
        <v>70</v>
      </c>
      <c r="D1080">
        <v>2</v>
      </c>
      <c r="E1080">
        <v>659.99</v>
      </c>
      <c r="F1080">
        <v>7.0000000000000007E-2</v>
      </c>
      <c r="G1080">
        <f t="shared" si="16"/>
        <v>1319.91</v>
      </c>
      <c r="H1080" t="str">
        <f>_xlfn.XLOOKUP(C1080,products[Product_ID],products[Product_Name],"not found",0)</f>
        <v>Electra Amsterdam Original 3i - 2015/2017</v>
      </c>
      <c r="I1080" t="e">
        <f>VLOOKUP(products!D1080,categories[#All],2,TRUE)</f>
        <v>#N/A</v>
      </c>
    </row>
    <row r="1081" spans="1:9" x14ac:dyDescent="0.3">
      <c r="A1081">
        <v>1080</v>
      </c>
      <c r="B1081">
        <v>1</v>
      </c>
      <c r="C1081">
        <v>31</v>
      </c>
      <c r="D1081">
        <v>1</v>
      </c>
      <c r="E1081">
        <v>1632.99</v>
      </c>
      <c r="F1081">
        <v>0.2</v>
      </c>
      <c r="G1081">
        <f t="shared" si="16"/>
        <v>1632.79</v>
      </c>
      <c r="H1081" t="str">
        <f>_xlfn.XLOOKUP(C1081,products[Product_ID],products[Product_Name],"not found",0)</f>
        <v>Surly Wednesday - 2017</v>
      </c>
      <c r="I1081" t="e">
        <f>VLOOKUP(products!D1081,categories[#All],2,TRUE)</f>
        <v>#N/A</v>
      </c>
    </row>
    <row r="1082" spans="1:9" x14ac:dyDescent="0.3">
      <c r="A1082">
        <v>1081</v>
      </c>
      <c r="B1082">
        <v>1</v>
      </c>
      <c r="C1082">
        <v>52</v>
      </c>
      <c r="D1082">
        <v>2</v>
      </c>
      <c r="E1082">
        <v>875.99</v>
      </c>
      <c r="F1082">
        <v>0.1</v>
      </c>
      <c r="G1082">
        <f t="shared" si="16"/>
        <v>1751.88</v>
      </c>
      <c r="H1082" t="str">
        <f>_xlfn.XLOOKUP(C1082,products[Product_ID],products[Product_Name],"not found",0)</f>
        <v>Surly Steamroller - 2017</v>
      </c>
      <c r="I1082" t="e">
        <f>VLOOKUP(products!D1082,categories[#All],2,TRUE)</f>
        <v>#N/A</v>
      </c>
    </row>
    <row r="1083" spans="1:9" x14ac:dyDescent="0.3">
      <c r="A1083">
        <v>1082</v>
      </c>
      <c r="B1083">
        <v>1</v>
      </c>
      <c r="C1083">
        <v>29</v>
      </c>
      <c r="D1083">
        <v>2</v>
      </c>
      <c r="E1083">
        <v>999.99</v>
      </c>
      <c r="F1083">
        <v>0.2</v>
      </c>
      <c r="G1083">
        <f t="shared" si="16"/>
        <v>1999.78</v>
      </c>
      <c r="H1083" t="str">
        <f>_xlfn.XLOOKUP(C1083,products[Product_ID],products[Product_Name],"not found",0)</f>
        <v>Trek X-Caliber 8 - 2017</v>
      </c>
      <c r="I1083" t="e">
        <f>VLOOKUP(products!D1083,categories[#All],2,TRUE)</f>
        <v>#N/A</v>
      </c>
    </row>
    <row r="1084" spans="1:9" x14ac:dyDescent="0.3">
      <c r="A1084">
        <v>1083</v>
      </c>
      <c r="B1084">
        <v>1</v>
      </c>
      <c r="C1084">
        <v>65</v>
      </c>
      <c r="D1084">
        <v>2</v>
      </c>
      <c r="E1084">
        <v>346.99</v>
      </c>
      <c r="F1084">
        <v>0.2</v>
      </c>
      <c r="G1084">
        <f t="shared" si="16"/>
        <v>693.78</v>
      </c>
      <c r="H1084" t="str">
        <f>_xlfn.XLOOKUP(C1084,products[Product_ID],products[Product_Name],"not found",0)</f>
        <v>Sun Bicycles Lil Bolt Type-R - 2017</v>
      </c>
      <c r="I1084" t="e">
        <f>VLOOKUP(products!D1084,categories[#All],2,TRUE)</f>
        <v>#N/A</v>
      </c>
    </row>
    <row r="1085" spans="1:9" x14ac:dyDescent="0.3">
      <c r="A1085">
        <v>1084</v>
      </c>
      <c r="B1085">
        <v>1</v>
      </c>
      <c r="C1085">
        <v>30</v>
      </c>
      <c r="D1085">
        <v>1</v>
      </c>
      <c r="E1085">
        <v>999.99</v>
      </c>
      <c r="F1085">
        <v>0.05</v>
      </c>
      <c r="G1085">
        <f t="shared" si="16"/>
        <v>999.94</v>
      </c>
      <c r="H1085" t="str">
        <f>_xlfn.XLOOKUP(C1085,products[Product_ID],products[Product_Name],"not found",0)</f>
        <v>Surly Ice Cream Truck Frameset - 2017</v>
      </c>
      <c r="I1085" t="e">
        <f>VLOOKUP(products!D1085,categories[#All],2,TRUE)</f>
        <v>#N/A</v>
      </c>
    </row>
    <row r="1086" spans="1:9" x14ac:dyDescent="0.3">
      <c r="A1086">
        <v>1085</v>
      </c>
      <c r="B1086">
        <v>1</v>
      </c>
      <c r="C1086">
        <v>66</v>
      </c>
      <c r="D1086">
        <v>2</v>
      </c>
      <c r="E1086">
        <v>250.99</v>
      </c>
      <c r="F1086">
        <v>0.2</v>
      </c>
      <c r="G1086">
        <f t="shared" si="16"/>
        <v>501.78000000000003</v>
      </c>
      <c r="H1086" t="str">
        <f>_xlfn.XLOOKUP(C1086,products[Product_ID],products[Product_Name],"not found",0)</f>
        <v>Sun Bicycles Revolutions 24 - 2017</v>
      </c>
      <c r="I1086" t="e">
        <f>VLOOKUP(products!D1086,categories[#All],2,TRUE)</f>
        <v>#N/A</v>
      </c>
    </row>
    <row r="1087" spans="1:9" x14ac:dyDescent="0.3">
      <c r="A1087">
        <v>1086</v>
      </c>
      <c r="B1087">
        <v>1</v>
      </c>
      <c r="C1087">
        <v>108</v>
      </c>
      <c r="D1087">
        <v>1</v>
      </c>
      <c r="E1087">
        <v>449.99</v>
      </c>
      <c r="F1087">
        <v>7.0000000000000007E-2</v>
      </c>
      <c r="G1087">
        <f t="shared" si="16"/>
        <v>449.92</v>
      </c>
      <c r="H1087" t="str">
        <f>_xlfn.XLOOKUP(C1087,products[Product_ID],products[Product_Name],"not found",0)</f>
        <v>Sun Bicycles Cruz 3 - Women's - 2017</v>
      </c>
      <c r="I1087" t="e">
        <f>VLOOKUP(products!D1087,categories[#All],2,TRUE)</f>
        <v>#N/A</v>
      </c>
    </row>
    <row r="1088" spans="1:9" x14ac:dyDescent="0.3">
      <c r="A1088">
        <v>1087</v>
      </c>
      <c r="B1088">
        <v>1</v>
      </c>
      <c r="C1088">
        <v>15</v>
      </c>
      <c r="D1088">
        <v>1</v>
      </c>
      <c r="E1088">
        <v>529.99</v>
      </c>
      <c r="F1088">
        <v>7.0000000000000007E-2</v>
      </c>
      <c r="G1088">
        <f t="shared" si="16"/>
        <v>529.91999999999996</v>
      </c>
      <c r="H1088" t="str">
        <f>_xlfn.XLOOKUP(C1088,products[Product_ID],products[Product_Name],"not found",0)</f>
        <v>Electra Moto 1 - 2016</v>
      </c>
      <c r="I1088" t="e">
        <f>VLOOKUP(products!D1088,categories[#All],2,TRUE)</f>
        <v>#N/A</v>
      </c>
    </row>
    <row r="1089" spans="1:9" x14ac:dyDescent="0.3">
      <c r="A1089">
        <v>1088</v>
      </c>
      <c r="B1089">
        <v>1</v>
      </c>
      <c r="C1089">
        <v>64</v>
      </c>
      <c r="D1089">
        <v>1</v>
      </c>
      <c r="E1089">
        <v>489.99</v>
      </c>
      <c r="F1089">
        <v>0.1</v>
      </c>
      <c r="G1089">
        <f t="shared" si="16"/>
        <v>489.89</v>
      </c>
      <c r="H1089" t="str">
        <f>_xlfn.XLOOKUP(C1089,products[Product_ID],products[Product_Name],"not found",0)</f>
        <v>Electra Townie Original 7D - 2017</v>
      </c>
      <c r="I1089" t="e">
        <f>VLOOKUP(products!D1089,categories[#All],2,TRUE)</f>
        <v>#N/A</v>
      </c>
    </row>
    <row r="1090" spans="1:9" x14ac:dyDescent="0.3">
      <c r="A1090">
        <v>1089</v>
      </c>
      <c r="B1090">
        <v>1</v>
      </c>
      <c r="C1090">
        <v>70</v>
      </c>
      <c r="D1090">
        <v>2</v>
      </c>
      <c r="E1090">
        <v>659.99</v>
      </c>
      <c r="F1090">
        <v>7.0000000000000007E-2</v>
      </c>
      <c r="G1090">
        <f t="shared" ref="G1090:G1153" si="17">(E1090*D1090)-F1090</f>
        <v>1319.91</v>
      </c>
      <c r="H1090" t="str">
        <f>_xlfn.XLOOKUP(C1090,products[Product_ID],products[Product_Name],"not found",0)</f>
        <v>Electra Amsterdam Original 3i - 2015/2017</v>
      </c>
      <c r="I1090" t="e">
        <f>VLOOKUP(products!D1090,categories[#All],2,TRUE)</f>
        <v>#N/A</v>
      </c>
    </row>
    <row r="1091" spans="1:9" x14ac:dyDescent="0.3">
      <c r="A1091">
        <v>1090</v>
      </c>
      <c r="B1091">
        <v>1</v>
      </c>
      <c r="C1091">
        <v>74</v>
      </c>
      <c r="D1091">
        <v>1</v>
      </c>
      <c r="E1091">
        <v>439.99</v>
      </c>
      <c r="F1091">
        <v>0.2</v>
      </c>
      <c r="G1091">
        <f t="shared" si="17"/>
        <v>439.79</v>
      </c>
      <c r="H1091" t="str">
        <f>_xlfn.XLOOKUP(C1091,products[Product_ID],products[Product_Name],"not found",0)</f>
        <v>Electra Cruiser Lux 1 - 2017</v>
      </c>
      <c r="I1091" t="e">
        <f>VLOOKUP(products!D1091,categories[#All],2,TRUE)</f>
        <v>#N/A</v>
      </c>
    </row>
    <row r="1092" spans="1:9" x14ac:dyDescent="0.3">
      <c r="A1092">
        <v>1091</v>
      </c>
      <c r="B1092">
        <v>1</v>
      </c>
      <c r="C1092">
        <v>97</v>
      </c>
      <c r="D1092">
        <v>1</v>
      </c>
      <c r="E1092">
        <v>349.99</v>
      </c>
      <c r="F1092">
        <v>0.05</v>
      </c>
      <c r="G1092">
        <f t="shared" si="17"/>
        <v>349.94</v>
      </c>
      <c r="H1092" t="str">
        <f>_xlfn.XLOOKUP(C1092,products[Product_ID],products[Product_Name],"not found",0)</f>
        <v>Electra Savannah 3i (20-inch) - Girl's - 2017</v>
      </c>
      <c r="I1092" t="e">
        <f>VLOOKUP(products!D1092,categories[#All],2,TRUE)</f>
        <v>#N/A</v>
      </c>
    </row>
    <row r="1093" spans="1:9" x14ac:dyDescent="0.3">
      <c r="A1093">
        <v>1092</v>
      </c>
      <c r="B1093">
        <v>1</v>
      </c>
      <c r="C1093">
        <v>34</v>
      </c>
      <c r="D1093">
        <v>1</v>
      </c>
      <c r="E1093">
        <v>469.99</v>
      </c>
      <c r="F1093">
        <v>0.05</v>
      </c>
      <c r="G1093">
        <f t="shared" si="17"/>
        <v>469.94</v>
      </c>
      <c r="H1093" t="str">
        <f>_xlfn.XLOOKUP(C1093,products[Product_ID],products[Product_Name],"not found",0)</f>
        <v>Trek Session DH 27.5 Carbon Frameset - 2017</v>
      </c>
      <c r="I1093" t="e">
        <f>VLOOKUP(products!D1093,categories[#All],2,TRUE)</f>
        <v>#N/A</v>
      </c>
    </row>
    <row r="1094" spans="1:9" x14ac:dyDescent="0.3">
      <c r="A1094">
        <v>1093</v>
      </c>
      <c r="B1094">
        <v>1</v>
      </c>
      <c r="C1094">
        <v>45</v>
      </c>
      <c r="D1094">
        <v>2</v>
      </c>
      <c r="E1094">
        <v>869.99</v>
      </c>
      <c r="F1094">
        <v>7.0000000000000007E-2</v>
      </c>
      <c r="G1094">
        <f t="shared" si="17"/>
        <v>1739.91</v>
      </c>
      <c r="H1094" t="str">
        <f>_xlfn.XLOOKUP(C1094,products[Product_ID],products[Product_Name],"not found",0)</f>
        <v>Haro SR 1.2 - 2017</v>
      </c>
      <c r="I1094" t="e">
        <f>VLOOKUP(products!D1094,categories[#All],2,TRUE)</f>
        <v>#N/A</v>
      </c>
    </row>
    <row r="1095" spans="1:9" x14ac:dyDescent="0.3">
      <c r="A1095">
        <v>1094</v>
      </c>
      <c r="B1095">
        <v>1</v>
      </c>
      <c r="C1095">
        <v>71</v>
      </c>
      <c r="D1095">
        <v>1</v>
      </c>
      <c r="E1095">
        <v>416.99</v>
      </c>
      <c r="F1095">
        <v>0.1</v>
      </c>
      <c r="G1095">
        <f t="shared" si="17"/>
        <v>416.89</v>
      </c>
      <c r="H1095" t="str">
        <f>_xlfn.XLOOKUP(C1095,products[Product_ID],products[Product_Name],"not found",0)</f>
        <v>Sun Bicycles Atlas X-Type - 2017</v>
      </c>
      <c r="I1095" t="e">
        <f>VLOOKUP(products!D1095,categories[#All],2,TRUE)</f>
        <v>#N/A</v>
      </c>
    </row>
    <row r="1096" spans="1:9" x14ac:dyDescent="0.3">
      <c r="A1096">
        <v>1095</v>
      </c>
      <c r="B1096">
        <v>1</v>
      </c>
      <c r="C1096">
        <v>78</v>
      </c>
      <c r="D1096">
        <v>2</v>
      </c>
      <c r="E1096">
        <v>647.99</v>
      </c>
      <c r="F1096">
        <v>0.05</v>
      </c>
      <c r="G1096">
        <f t="shared" si="17"/>
        <v>1295.93</v>
      </c>
      <c r="H1096" t="str">
        <f>_xlfn.XLOOKUP(C1096,products[Product_ID],products[Product_Name],"not found",0)</f>
        <v>Sun Bicycles Biscayne Tandem CB - 2017</v>
      </c>
      <c r="I1096" t="e">
        <f>VLOOKUP(products!D1096,categories[#All],2,TRUE)</f>
        <v>#N/A</v>
      </c>
    </row>
    <row r="1097" spans="1:9" x14ac:dyDescent="0.3">
      <c r="A1097">
        <v>1096</v>
      </c>
      <c r="B1097">
        <v>1</v>
      </c>
      <c r="C1097">
        <v>11</v>
      </c>
      <c r="D1097">
        <v>1</v>
      </c>
      <c r="E1097">
        <v>1680.99</v>
      </c>
      <c r="F1097">
        <v>0.1</v>
      </c>
      <c r="G1097">
        <f t="shared" si="17"/>
        <v>1680.89</v>
      </c>
      <c r="H1097" t="str">
        <f>_xlfn.XLOOKUP(C1097,products[Product_ID],products[Product_Name],"not found",0)</f>
        <v>Surly Straggler 650b - 2016</v>
      </c>
      <c r="I1097" t="e">
        <f>VLOOKUP(products!D1097,categories[#All],2,TRUE)</f>
        <v>#N/A</v>
      </c>
    </row>
    <row r="1098" spans="1:9" x14ac:dyDescent="0.3">
      <c r="A1098">
        <v>1097</v>
      </c>
      <c r="B1098">
        <v>1</v>
      </c>
      <c r="C1098">
        <v>99</v>
      </c>
      <c r="D1098">
        <v>1</v>
      </c>
      <c r="E1098">
        <v>299.99</v>
      </c>
      <c r="F1098">
        <v>0.05</v>
      </c>
      <c r="G1098">
        <f t="shared" si="17"/>
        <v>299.94</v>
      </c>
      <c r="H1098" t="str">
        <f>_xlfn.XLOOKUP(C1098,products[Product_ID],products[Product_Name],"not found",0)</f>
        <v>Electra Sugar Skulls 1 (20-inch) - Girl's - 2017</v>
      </c>
      <c r="I1098" t="e">
        <f>VLOOKUP(products!D1098,categories[#All],2,TRUE)</f>
        <v>#N/A</v>
      </c>
    </row>
    <row r="1099" spans="1:9" x14ac:dyDescent="0.3">
      <c r="A1099">
        <v>1098</v>
      </c>
      <c r="B1099">
        <v>1</v>
      </c>
      <c r="C1099">
        <v>88</v>
      </c>
      <c r="D1099">
        <v>1</v>
      </c>
      <c r="E1099">
        <v>189.99</v>
      </c>
      <c r="F1099">
        <v>0.1</v>
      </c>
      <c r="G1099">
        <f t="shared" si="17"/>
        <v>189.89000000000001</v>
      </c>
      <c r="H1099" t="str">
        <f>_xlfn.XLOOKUP(C1099,products[Product_ID],products[Product_Name],"not found",0)</f>
        <v>Trek Precaliber 12 Girls - 2017</v>
      </c>
      <c r="I1099" t="e">
        <f>VLOOKUP(products!D1099,categories[#All],2,TRUE)</f>
        <v>#N/A</v>
      </c>
    </row>
    <row r="1100" spans="1:9" x14ac:dyDescent="0.3">
      <c r="A1100">
        <v>1099</v>
      </c>
      <c r="B1100">
        <v>1</v>
      </c>
      <c r="C1100">
        <v>64</v>
      </c>
      <c r="D1100">
        <v>1</v>
      </c>
      <c r="E1100">
        <v>489.99</v>
      </c>
      <c r="F1100">
        <v>0.1</v>
      </c>
      <c r="G1100">
        <f t="shared" si="17"/>
        <v>489.89</v>
      </c>
      <c r="H1100" t="str">
        <f>_xlfn.XLOOKUP(C1100,products[Product_ID],products[Product_Name],"not found",0)</f>
        <v>Electra Townie Original 7D - 2017</v>
      </c>
      <c r="I1100" t="e">
        <f>VLOOKUP(products!D1100,categories[#All],2,TRUE)</f>
        <v>#N/A</v>
      </c>
    </row>
    <row r="1101" spans="1:9" x14ac:dyDescent="0.3">
      <c r="A1101">
        <v>1100</v>
      </c>
      <c r="B1101">
        <v>1</v>
      </c>
      <c r="C1101">
        <v>12</v>
      </c>
      <c r="D1101">
        <v>1</v>
      </c>
      <c r="E1101">
        <v>549.99</v>
      </c>
      <c r="F1101">
        <v>0.05</v>
      </c>
      <c r="G1101">
        <f t="shared" si="17"/>
        <v>549.94000000000005</v>
      </c>
      <c r="H1101" t="str">
        <f>_xlfn.XLOOKUP(C1101,products[Product_ID],products[Product_Name],"not found",0)</f>
        <v>Electra Townie Original 21D - 2016</v>
      </c>
      <c r="I1101" t="e">
        <f>VLOOKUP(products!D1101,categories[#All],2,TRUE)</f>
        <v>#N/A</v>
      </c>
    </row>
    <row r="1102" spans="1:9" x14ac:dyDescent="0.3">
      <c r="A1102">
        <v>1101</v>
      </c>
      <c r="B1102">
        <v>1</v>
      </c>
      <c r="C1102">
        <v>105</v>
      </c>
      <c r="D1102">
        <v>1</v>
      </c>
      <c r="E1102">
        <v>533.99</v>
      </c>
      <c r="F1102">
        <v>7.0000000000000007E-2</v>
      </c>
      <c r="G1102">
        <f t="shared" si="17"/>
        <v>533.91999999999996</v>
      </c>
      <c r="H1102" t="str">
        <f>_xlfn.XLOOKUP(C1102,products[Product_ID],products[Product_Name],"not found",0)</f>
        <v>Sun Bicycles Streamway 7 - 2017</v>
      </c>
      <c r="I1102" t="e">
        <f>VLOOKUP(products!D1102,categories[#All],2,TRUE)</f>
        <v>#N/A</v>
      </c>
    </row>
    <row r="1103" spans="1:9" x14ac:dyDescent="0.3">
      <c r="A1103">
        <v>1102</v>
      </c>
      <c r="B1103">
        <v>1</v>
      </c>
      <c r="C1103">
        <v>91</v>
      </c>
      <c r="D1103">
        <v>1</v>
      </c>
      <c r="E1103">
        <v>349.99</v>
      </c>
      <c r="F1103">
        <v>7.0000000000000007E-2</v>
      </c>
      <c r="G1103">
        <f t="shared" si="17"/>
        <v>349.92</v>
      </c>
      <c r="H1103" t="str">
        <f>_xlfn.XLOOKUP(C1103,products[Product_ID],products[Product_Name],"not found",0)</f>
        <v>Trek Precaliber 24 (21-Speed) - Girls - 2017</v>
      </c>
      <c r="I1103" t="e">
        <f>VLOOKUP(products!D1103,categories[#All],2,TRUE)</f>
        <v>#N/A</v>
      </c>
    </row>
    <row r="1104" spans="1:9" x14ac:dyDescent="0.3">
      <c r="A1104">
        <v>1103</v>
      </c>
      <c r="B1104">
        <v>1</v>
      </c>
      <c r="C1104">
        <v>106</v>
      </c>
      <c r="D1104">
        <v>1</v>
      </c>
      <c r="E1104">
        <v>449.99</v>
      </c>
      <c r="F1104">
        <v>0.2</v>
      </c>
      <c r="G1104">
        <f t="shared" si="17"/>
        <v>449.79</v>
      </c>
      <c r="H1104" t="str">
        <f>_xlfn.XLOOKUP(C1104,products[Product_ID],products[Product_Name],"not found",0)</f>
        <v>Sun Bicycles Cruz 3 - 2017</v>
      </c>
      <c r="I1104" t="e">
        <f>VLOOKUP(products!D1104,categories[#All],2,TRUE)</f>
        <v>#N/A</v>
      </c>
    </row>
    <row r="1105" spans="1:9" x14ac:dyDescent="0.3">
      <c r="A1105">
        <v>1104</v>
      </c>
      <c r="B1105">
        <v>1</v>
      </c>
      <c r="C1105">
        <v>17</v>
      </c>
      <c r="D1105">
        <v>1</v>
      </c>
      <c r="E1105">
        <v>429</v>
      </c>
      <c r="F1105">
        <v>0.1</v>
      </c>
      <c r="G1105">
        <f t="shared" si="17"/>
        <v>428.9</v>
      </c>
      <c r="H1105" t="str">
        <f>_xlfn.XLOOKUP(C1105,products[Product_ID],products[Product_Name],"not found",0)</f>
        <v>Pure Cycles Vine 8-Speed - 2016</v>
      </c>
      <c r="I1105" t="e">
        <f>VLOOKUP(products!D1105,categories[#All],2,TRUE)</f>
        <v>#N/A</v>
      </c>
    </row>
    <row r="1106" spans="1:9" x14ac:dyDescent="0.3">
      <c r="A1106">
        <v>1105</v>
      </c>
      <c r="B1106">
        <v>1</v>
      </c>
      <c r="C1106">
        <v>60</v>
      </c>
      <c r="D1106">
        <v>1</v>
      </c>
      <c r="E1106">
        <v>1559.99</v>
      </c>
      <c r="F1106">
        <v>0.05</v>
      </c>
      <c r="G1106">
        <f t="shared" si="17"/>
        <v>1559.94</v>
      </c>
      <c r="H1106" t="str">
        <f>_xlfn.XLOOKUP(C1106,products[Product_ID],products[Product_Name],"not found",0)</f>
        <v>Sun Bicycles ElectroLite - 2017</v>
      </c>
      <c r="I1106" t="e">
        <f>VLOOKUP(products!D1106,categories[#All],2,TRUE)</f>
        <v>#N/A</v>
      </c>
    </row>
    <row r="1107" spans="1:9" x14ac:dyDescent="0.3">
      <c r="A1107">
        <v>1106</v>
      </c>
      <c r="B1107">
        <v>1</v>
      </c>
      <c r="C1107">
        <v>96</v>
      </c>
      <c r="D1107">
        <v>1</v>
      </c>
      <c r="E1107">
        <v>349.99</v>
      </c>
      <c r="F1107">
        <v>0.1</v>
      </c>
      <c r="G1107">
        <f t="shared" si="17"/>
        <v>349.89</v>
      </c>
      <c r="H1107" t="str">
        <f>_xlfn.XLOOKUP(C1107,products[Product_ID],products[Product_Name],"not found",0)</f>
        <v>Electra Moto 3i (20-inch) - Boy's - 2017</v>
      </c>
      <c r="I1107" t="e">
        <f>VLOOKUP(products!D1107,categories[#All],2,TRUE)</f>
        <v>#N/A</v>
      </c>
    </row>
    <row r="1108" spans="1:9" x14ac:dyDescent="0.3">
      <c r="A1108">
        <v>1107</v>
      </c>
      <c r="B1108">
        <v>1</v>
      </c>
      <c r="C1108">
        <v>43</v>
      </c>
      <c r="D1108">
        <v>1</v>
      </c>
      <c r="E1108">
        <v>5299.99</v>
      </c>
      <c r="F1108">
        <v>0.2</v>
      </c>
      <c r="G1108">
        <f t="shared" si="17"/>
        <v>5299.79</v>
      </c>
      <c r="H1108" t="str">
        <f>_xlfn.XLOOKUP(C1108,products[Product_ID],products[Product_Name],"not found",0)</f>
        <v>Trek Fuel EX 9.8 27.5 Plus - 2017</v>
      </c>
      <c r="I1108" t="e">
        <f>VLOOKUP(products!D1108,categories[#All],2,TRUE)</f>
        <v>#N/A</v>
      </c>
    </row>
    <row r="1109" spans="1:9" x14ac:dyDescent="0.3">
      <c r="A1109">
        <v>1108</v>
      </c>
      <c r="B1109">
        <v>1</v>
      </c>
      <c r="C1109">
        <v>45</v>
      </c>
      <c r="D1109">
        <v>2</v>
      </c>
      <c r="E1109">
        <v>869.99</v>
      </c>
      <c r="F1109">
        <v>0.05</v>
      </c>
      <c r="G1109">
        <f t="shared" si="17"/>
        <v>1739.93</v>
      </c>
      <c r="H1109" t="str">
        <f>_xlfn.XLOOKUP(C1109,products[Product_ID],products[Product_Name],"not found",0)</f>
        <v>Haro SR 1.2 - 2017</v>
      </c>
      <c r="I1109" t="e">
        <f>VLOOKUP(products!D1109,categories[#All],2,TRUE)</f>
        <v>#N/A</v>
      </c>
    </row>
    <row r="1110" spans="1:9" x14ac:dyDescent="0.3">
      <c r="A1110">
        <v>1109</v>
      </c>
      <c r="B1110">
        <v>1</v>
      </c>
      <c r="C1110">
        <v>72</v>
      </c>
      <c r="D1110">
        <v>2</v>
      </c>
      <c r="E1110">
        <v>619.99</v>
      </c>
      <c r="F1110">
        <v>0.1</v>
      </c>
      <c r="G1110">
        <f t="shared" si="17"/>
        <v>1239.8800000000001</v>
      </c>
      <c r="H1110" t="str">
        <f>_xlfn.XLOOKUP(C1110,products[Product_ID],products[Product_Name],"not found",0)</f>
        <v>Sun Bicycles Biscayne Tandem 7 - 2017</v>
      </c>
      <c r="I1110" t="e">
        <f>VLOOKUP(products!D1110,categories[#All],2,TRUE)</f>
        <v>#N/A</v>
      </c>
    </row>
    <row r="1111" spans="1:9" x14ac:dyDescent="0.3">
      <c r="A1111">
        <v>1110</v>
      </c>
      <c r="B1111">
        <v>1</v>
      </c>
      <c r="C1111">
        <v>56</v>
      </c>
      <c r="D1111">
        <v>1</v>
      </c>
      <c r="E1111">
        <v>5499.99</v>
      </c>
      <c r="F1111">
        <v>0.1</v>
      </c>
      <c r="G1111">
        <f t="shared" si="17"/>
        <v>5499.8899999999994</v>
      </c>
      <c r="H1111" t="str">
        <f>_xlfn.XLOOKUP(C1111,products[Product_ID],products[Product_Name],"not found",0)</f>
        <v>Trek Domane SLR 6 Disc - 2017</v>
      </c>
      <c r="I1111" t="e">
        <f>VLOOKUP(products!D1111,categories[#All],2,TRUE)</f>
        <v>#N/A</v>
      </c>
    </row>
    <row r="1112" spans="1:9" x14ac:dyDescent="0.3">
      <c r="A1112">
        <v>1111</v>
      </c>
      <c r="B1112">
        <v>1</v>
      </c>
      <c r="C1112">
        <v>95</v>
      </c>
      <c r="D1112">
        <v>1</v>
      </c>
      <c r="E1112">
        <v>299.99</v>
      </c>
      <c r="F1112">
        <v>0.05</v>
      </c>
      <c r="G1112">
        <f t="shared" si="17"/>
        <v>299.94</v>
      </c>
      <c r="H1112" t="str">
        <f>_xlfn.XLOOKUP(C1112,products[Product_ID],products[Product_Name],"not found",0)</f>
        <v>Electra Girl's Hawaii 1 16" - 2017</v>
      </c>
      <c r="I1112" t="e">
        <f>VLOOKUP(products!D1112,categories[#All],2,TRUE)</f>
        <v>#N/A</v>
      </c>
    </row>
    <row r="1113" spans="1:9" x14ac:dyDescent="0.3">
      <c r="A1113">
        <v>1112</v>
      </c>
      <c r="B1113">
        <v>1</v>
      </c>
      <c r="C1113">
        <v>71</v>
      </c>
      <c r="D1113">
        <v>2</v>
      </c>
      <c r="E1113">
        <v>416.99</v>
      </c>
      <c r="F1113">
        <v>0.05</v>
      </c>
      <c r="G1113">
        <f t="shared" si="17"/>
        <v>833.93000000000006</v>
      </c>
      <c r="H1113" t="str">
        <f>_xlfn.XLOOKUP(C1113,products[Product_ID],products[Product_Name],"not found",0)</f>
        <v>Sun Bicycles Atlas X-Type - 2017</v>
      </c>
      <c r="I1113" t="e">
        <f>VLOOKUP(products!D1113,categories[#All],2,TRUE)</f>
        <v>#N/A</v>
      </c>
    </row>
    <row r="1114" spans="1:9" x14ac:dyDescent="0.3">
      <c r="A1114">
        <v>1113</v>
      </c>
      <c r="B1114">
        <v>1</v>
      </c>
      <c r="C1114">
        <v>106</v>
      </c>
      <c r="D1114">
        <v>1</v>
      </c>
      <c r="E1114">
        <v>449.99</v>
      </c>
      <c r="F1114">
        <v>7.0000000000000007E-2</v>
      </c>
      <c r="G1114">
        <f t="shared" si="17"/>
        <v>449.92</v>
      </c>
      <c r="H1114" t="str">
        <f>_xlfn.XLOOKUP(C1114,products[Product_ID],products[Product_Name],"not found",0)</f>
        <v>Sun Bicycles Cruz 3 - 2017</v>
      </c>
      <c r="I1114" t="e">
        <f>VLOOKUP(products!D1114,categories[#All],2,TRUE)</f>
        <v>#N/A</v>
      </c>
    </row>
    <row r="1115" spans="1:9" x14ac:dyDescent="0.3">
      <c r="A1115">
        <v>1114</v>
      </c>
      <c r="B1115">
        <v>1</v>
      </c>
      <c r="C1115">
        <v>52</v>
      </c>
      <c r="D1115">
        <v>1</v>
      </c>
      <c r="E1115">
        <v>875.99</v>
      </c>
      <c r="F1115">
        <v>0.2</v>
      </c>
      <c r="G1115">
        <f t="shared" si="17"/>
        <v>875.79</v>
      </c>
      <c r="H1115" t="str">
        <f>_xlfn.XLOOKUP(C1115,products[Product_ID],products[Product_Name],"not found",0)</f>
        <v>Surly Steamroller - 2017</v>
      </c>
      <c r="I1115" t="e">
        <f>VLOOKUP(products!D1115,categories[#All],2,TRUE)</f>
        <v>#N/A</v>
      </c>
    </row>
    <row r="1116" spans="1:9" x14ac:dyDescent="0.3">
      <c r="A1116">
        <v>1115</v>
      </c>
      <c r="B1116">
        <v>1</v>
      </c>
      <c r="C1116">
        <v>97</v>
      </c>
      <c r="D1116">
        <v>2</v>
      </c>
      <c r="E1116">
        <v>349.99</v>
      </c>
      <c r="F1116">
        <v>0.2</v>
      </c>
      <c r="G1116">
        <f t="shared" si="17"/>
        <v>699.78</v>
      </c>
      <c r="H1116" t="str">
        <f>_xlfn.XLOOKUP(C1116,products[Product_ID],products[Product_Name],"not found",0)</f>
        <v>Electra Savannah 3i (20-inch) - Girl's - 2017</v>
      </c>
      <c r="I1116" t="e">
        <f>VLOOKUP(products!D1116,categories[#All],2,TRUE)</f>
        <v>#N/A</v>
      </c>
    </row>
    <row r="1117" spans="1:9" x14ac:dyDescent="0.3">
      <c r="A1117">
        <v>1116</v>
      </c>
      <c r="B1117">
        <v>1</v>
      </c>
      <c r="C1117">
        <v>11</v>
      </c>
      <c r="D1117">
        <v>2</v>
      </c>
      <c r="E1117">
        <v>1680.99</v>
      </c>
      <c r="F1117">
        <v>7.0000000000000007E-2</v>
      </c>
      <c r="G1117">
        <f t="shared" si="17"/>
        <v>3361.91</v>
      </c>
      <c r="H1117" t="str">
        <f>_xlfn.XLOOKUP(C1117,products[Product_ID],products[Product_Name],"not found",0)</f>
        <v>Surly Straggler 650b - 2016</v>
      </c>
      <c r="I1117" t="e">
        <f>VLOOKUP(products!D1117,categories[#All],2,TRUE)</f>
        <v>#N/A</v>
      </c>
    </row>
    <row r="1118" spans="1:9" x14ac:dyDescent="0.3">
      <c r="A1118">
        <v>1117</v>
      </c>
      <c r="B1118">
        <v>1</v>
      </c>
      <c r="C1118">
        <v>37</v>
      </c>
      <c r="D1118">
        <v>2</v>
      </c>
      <c r="E1118">
        <v>379.99</v>
      </c>
      <c r="F1118">
        <v>0.1</v>
      </c>
      <c r="G1118">
        <f t="shared" si="17"/>
        <v>759.88</v>
      </c>
      <c r="H1118" t="str">
        <f>_xlfn.XLOOKUP(C1118,products[Product_ID],products[Product_Name],"not found",0)</f>
        <v>Haro Flightline One ST - 2017</v>
      </c>
      <c r="I1118" t="e">
        <f>VLOOKUP(products!D1118,categories[#All],2,TRUE)</f>
        <v>#N/A</v>
      </c>
    </row>
    <row r="1119" spans="1:9" x14ac:dyDescent="0.3">
      <c r="A1119">
        <v>1118</v>
      </c>
      <c r="B1119">
        <v>1</v>
      </c>
      <c r="C1119">
        <v>55</v>
      </c>
      <c r="D1119">
        <v>2</v>
      </c>
      <c r="E1119">
        <v>2699.99</v>
      </c>
      <c r="F1119">
        <v>0.2</v>
      </c>
      <c r="G1119">
        <f t="shared" si="17"/>
        <v>5399.78</v>
      </c>
      <c r="H1119" t="str">
        <f>_xlfn.XLOOKUP(C1119,products[Product_ID],products[Product_Name],"not found",0)</f>
        <v>Trek Domane S 6 - 2017</v>
      </c>
      <c r="I1119" t="e">
        <f>VLOOKUP(products!D1119,categories[#All],2,TRUE)</f>
        <v>#N/A</v>
      </c>
    </row>
    <row r="1120" spans="1:9" x14ac:dyDescent="0.3">
      <c r="A1120">
        <v>1119</v>
      </c>
      <c r="B1120">
        <v>1</v>
      </c>
      <c r="C1120">
        <v>93</v>
      </c>
      <c r="D1120">
        <v>2</v>
      </c>
      <c r="E1120">
        <v>209.99</v>
      </c>
      <c r="F1120">
        <v>0.1</v>
      </c>
      <c r="G1120">
        <f t="shared" si="17"/>
        <v>419.88</v>
      </c>
      <c r="H1120" t="str">
        <f>_xlfn.XLOOKUP(C1120,products[Product_ID],products[Product_Name],"not found",0)</f>
        <v>Haro Shredder 20 Girls - 2017</v>
      </c>
      <c r="I1120" t="e">
        <f>VLOOKUP(products!D1120,categories[#All],2,TRUE)</f>
        <v>#N/A</v>
      </c>
    </row>
    <row r="1121" spans="1:9" x14ac:dyDescent="0.3">
      <c r="A1121">
        <v>1120</v>
      </c>
      <c r="B1121">
        <v>1</v>
      </c>
      <c r="C1121">
        <v>92</v>
      </c>
      <c r="D1121">
        <v>2</v>
      </c>
      <c r="E1121">
        <v>209.99</v>
      </c>
      <c r="F1121">
        <v>7.0000000000000007E-2</v>
      </c>
      <c r="G1121">
        <f t="shared" si="17"/>
        <v>419.91</v>
      </c>
      <c r="H1121" t="str">
        <f>_xlfn.XLOOKUP(C1121,products[Product_ID],products[Product_Name],"not found",0)</f>
        <v>Haro Shredder 20 - 2017</v>
      </c>
      <c r="I1121" t="e">
        <f>VLOOKUP(products!D1121,categories[#All],2,TRUE)</f>
        <v>#N/A</v>
      </c>
    </row>
    <row r="1122" spans="1:9" x14ac:dyDescent="0.3">
      <c r="A1122">
        <v>1121</v>
      </c>
      <c r="B1122">
        <v>1</v>
      </c>
      <c r="C1122">
        <v>11</v>
      </c>
      <c r="D1122">
        <v>2</v>
      </c>
      <c r="E1122">
        <v>1680.99</v>
      </c>
      <c r="F1122">
        <v>0.1</v>
      </c>
      <c r="G1122">
        <f t="shared" si="17"/>
        <v>3361.88</v>
      </c>
      <c r="H1122" t="str">
        <f>_xlfn.XLOOKUP(C1122,products[Product_ID],products[Product_Name],"not found",0)</f>
        <v>Surly Straggler 650b - 2016</v>
      </c>
      <c r="I1122" t="e">
        <f>VLOOKUP(products!D1122,categories[#All],2,TRUE)</f>
        <v>#N/A</v>
      </c>
    </row>
    <row r="1123" spans="1:9" x14ac:dyDescent="0.3">
      <c r="A1123">
        <v>1122</v>
      </c>
      <c r="B1123">
        <v>1</v>
      </c>
      <c r="C1123">
        <v>9</v>
      </c>
      <c r="D1123">
        <v>2</v>
      </c>
      <c r="E1123">
        <v>2999.99</v>
      </c>
      <c r="F1123">
        <v>7.0000000000000007E-2</v>
      </c>
      <c r="G1123">
        <f t="shared" si="17"/>
        <v>5999.91</v>
      </c>
      <c r="H1123" t="str">
        <f>_xlfn.XLOOKUP(C1123,products[Product_ID],products[Product_Name],"not found",0)</f>
        <v>Trek Conduit+ - 2016</v>
      </c>
      <c r="I1123" t="e">
        <f>VLOOKUP(products!D1123,categories[#All],2,TRUE)</f>
        <v>#N/A</v>
      </c>
    </row>
    <row r="1124" spans="1:9" x14ac:dyDescent="0.3">
      <c r="A1124">
        <v>1123</v>
      </c>
      <c r="B1124">
        <v>1</v>
      </c>
      <c r="C1124">
        <v>65</v>
      </c>
      <c r="D1124">
        <v>2</v>
      </c>
      <c r="E1124">
        <v>346.99</v>
      </c>
      <c r="F1124">
        <v>7.0000000000000007E-2</v>
      </c>
      <c r="G1124">
        <f t="shared" si="17"/>
        <v>693.91</v>
      </c>
      <c r="H1124" t="str">
        <f>_xlfn.XLOOKUP(C1124,products[Product_ID],products[Product_Name],"not found",0)</f>
        <v>Sun Bicycles Lil Bolt Type-R - 2017</v>
      </c>
      <c r="I1124" t="e">
        <f>VLOOKUP(products!D1124,categories[#All],2,TRUE)</f>
        <v>#N/A</v>
      </c>
    </row>
    <row r="1125" spans="1:9" x14ac:dyDescent="0.3">
      <c r="A1125">
        <v>1124</v>
      </c>
      <c r="B1125">
        <v>1</v>
      </c>
      <c r="C1125">
        <v>7</v>
      </c>
      <c r="D1125">
        <v>2</v>
      </c>
      <c r="E1125">
        <v>3999.99</v>
      </c>
      <c r="F1125">
        <v>0.1</v>
      </c>
      <c r="G1125">
        <f t="shared" si="17"/>
        <v>7999.8799999999992</v>
      </c>
      <c r="H1125" t="str">
        <f>_xlfn.XLOOKUP(C1125,products[Product_ID],products[Product_Name],"not found",0)</f>
        <v>Trek Slash 8 27.5 - 2016</v>
      </c>
      <c r="I1125" t="e">
        <f>VLOOKUP(products!D1125,categories[#All],2,TRUE)</f>
        <v>#N/A</v>
      </c>
    </row>
    <row r="1126" spans="1:9" x14ac:dyDescent="0.3">
      <c r="A1126">
        <v>1125</v>
      </c>
      <c r="B1126">
        <v>1</v>
      </c>
      <c r="C1126">
        <v>16</v>
      </c>
      <c r="D1126">
        <v>2</v>
      </c>
      <c r="E1126">
        <v>599.99</v>
      </c>
      <c r="F1126">
        <v>0.05</v>
      </c>
      <c r="G1126">
        <f t="shared" si="17"/>
        <v>1199.93</v>
      </c>
      <c r="H1126" t="str">
        <f>_xlfn.XLOOKUP(C1126,products[Product_ID],products[Product_Name],"not found",0)</f>
        <v>Electra Townie Original 7D EQ - 2016</v>
      </c>
      <c r="I1126" t="e">
        <f>VLOOKUP(products!D1126,categories[#All],2,TRUE)</f>
        <v>#N/A</v>
      </c>
    </row>
    <row r="1127" spans="1:9" x14ac:dyDescent="0.3">
      <c r="A1127">
        <v>1126</v>
      </c>
      <c r="B1127">
        <v>1</v>
      </c>
      <c r="C1127">
        <v>33</v>
      </c>
      <c r="D1127">
        <v>2</v>
      </c>
      <c r="E1127">
        <v>469.99</v>
      </c>
      <c r="F1127">
        <v>0.1</v>
      </c>
      <c r="G1127">
        <f t="shared" si="17"/>
        <v>939.88</v>
      </c>
      <c r="H1127" t="str">
        <f>_xlfn.XLOOKUP(C1127,products[Product_ID],products[Product_Name],"not found",0)</f>
        <v>Surly Wednesday Frameset - 2017</v>
      </c>
      <c r="I1127" t="e">
        <f>VLOOKUP(products!D1127,categories[#All],2,TRUE)</f>
        <v>#N/A</v>
      </c>
    </row>
    <row r="1128" spans="1:9" x14ac:dyDescent="0.3">
      <c r="A1128">
        <v>1127</v>
      </c>
      <c r="B1128">
        <v>1</v>
      </c>
      <c r="C1128">
        <v>23</v>
      </c>
      <c r="D1128">
        <v>2</v>
      </c>
      <c r="E1128">
        <v>299.99</v>
      </c>
      <c r="F1128">
        <v>0.1</v>
      </c>
      <c r="G1128">
        <f t="shared" si="17"/>
        <v>599.88</v>
      </c>
      <c r="H1128" t="str">
        <f>_xlfn.XLOOKUP(C1128,products[Product_ID],products[Product_Name],"not found",0)</f>
        <v>Electra Girl's Hawaii 1 (20-inch) - 2015/2016</v>
      </c>
      <c r="I1128" t="e">
        <f>VLOOKUP(products!D1128,categories[#All],2,TRUE)</f>
        <v>#N/A</v>
      </c>
    </row>
    <row r="1129" spans="1:9" x14ac:dyDescent="0.3">
      <c r="A1129">
        <v>1128</v>
      </c>
      <c r="B1129">
        <v>1</v>
      </c>
      <c r="C1129">
        <v>44</v>
      </c>
      <c r="D1129">
        <v>1</v>
      </c>
      <c r="E1129">
        <v>539.99</v>
      </c>
      <c r="F1129">
        <v>0.05</v>
      </c>
      <c r="G1129">
        <f t="shared" si="17"/>
        <v>539.94000000000005</v>
      </c>
      <c r="H1129" t="str">
        <f>_xlfn.XLOOKUP(C1129,products[Product_ID],products[Product_Name],"not found",0)</f>
        <v>Haro SR 1.1 - 2017</v>
      </c>
      <c r="I1129" t="e">
        <f>VLOOKUP(products!D1129,categories[#All],2,TRUE)</f>
        <v>#N/A</v>
      </c>
    </row>
    <row r="1130" spans="1:9" x14ac:dyDescent="0.3">
      <c r="A1130">
        <v>1129</v>
      </c>
      <c r="B1130">
        <v>1</v>
      </c>
      <c r="C1130">
        <v>71</v>
      </c>
      <c r="D1130">
        <v>2</v>
      </c>
      <c r="E1130">
        <v>416.99</v>
      </c>
      <c r="F1130">
        <v>0.2</v>
      </c>
      <c r="G1130">
        <f t="shared" si="17"/>
        <v>833.78</v>
      </c>
      <c r="H1130" t="str">
        <f>_xlfn.XLOOKUP(C1130,products[Product_ID],products[Product_Name],"not found",0)</f>
        <v>Sun Bicycles Atlas X-Type - 2017</v>
      </c>
      <c r="I1130" t="e">
        <f>VLOOKUP(products!D1130,categories[#All],2,TRUE)</f>
        <v>#N/A</v>
      </c>
    </row>
    <row r="1131" spans="1:9" x14ac:dyDescent="0.3">
      <c r="A1131">
        <v>1130</v>
      </c>
      <c r="B1131">
        <v>1</v>
      </c>
      <c r="C1131">
        <v>54</v>
      </c>
      <c r="D1131">
        <v>2</v>
      </c>
      <c r="E1131">
        <v>3199.99</v>
      </c>
      <c r="F1131">
        <v>0.2</v>
      </c>
      <c r="G1131">
        <f t="shared" si="17"/>
        <v>6399.78</v>
      </c>
      <c r="H1131" t="str">
        <f>_xlfn.XLOOKUP(C1131,products[Product_ID],products[Product_Name],"not found",0)</f>
        <v>Trek Domane SL Disc Frameset - 2017</v>
      </c>
      <c r="I1131" t="e">
        <f>VLOOKUP(products!D1131,categories[#All],2,TRUE)</f>
        <v>#N/A</v>
      </c>
    </row>
    <row r="1132" spans="1:9" x14ac:dyDescent="0.3">
      <c r="A1132">
        <v>1131</v>
      </c>
      <c r="B1132">
        <v>1</v>
      </c>
      <c r="C1132">
        <v>60</v>
      </c>
      <c r="D1132">
        <v>2</v>
      </c>
      <c r="E1132">
        <v>1559.99</v>
      </c>
      <c r="F1132">
        <v>7.0000000000000007E-2</v>
      </c>
      <c r="G1132">
        <f t="shared" si="17"/>
        <v>3119.91</v>
      </c>
      <c r="H1132" t="str">
        <f>_xlfn.XLOOKUP(C1132,products[Product_ID],products[Product_Name],"not found",0)</f>
        <v>Sun Bicycles ElectroLite - 2017</v>
      </c>
      <c r="I1132" t="e">
        <f>VLOOKUP(products!D1132,categories[#All],2,TRUE)</f>
        <v>#N/A</v>
      </c>
    </row>
    <row r="1133" spans="1:9" x14ac:dyDescent="0.3">
      <c r="A1133">
        <v>1132</v>
      </c>
      <c r="B1133">
        <v>1</v>
      </c>
      <c r="C1133">
        <v>43</v>
      </c>
      <c r="D1133">
        <v>1</v>
      </c>
      <c r="E1133">
        <v>5299.99</v>
      </c>
      <c r="F1133">
        <v>0.05</v>
      </c>
      <c r="G1133">
        <f t="shared" si="17"/>
        <v>5299.94</v>
      </c>
      <c r="H1133" t="str">
        <f>_xlfn.XLOOKUP(C1133,products[Product_ID],products[Product_Name],"not found",0)</f>
        <v>Trek Fuel EX 9.8 27.5 Plus - 2017</v>
      </c>
      <c r="I1133" t="e">
        <f>VLOOKUP(products!D1133,categories[#All],2,TRUE)</f>
        <v>#N/A</v>
      </c>
    </row>
    <row r="1134" spans="1:9" x14ac:dyDescent="0.3">
      <c r="A1134">
        <v>1133</v>
      </c>
      <c r="B1134">
        <v>1</v>
      </c>
      <c r="C1134">
        <v>4</v>
      </c>
      <c r="D1134">
        <v>2</v>
      </c>
      <c r="E1134">
        <v>2899.99</v>
      </c>
      <c r="F1134">
        <v>0.05</v>
      </c>
      <c r="G1134">
        <f t="shared" si="17"/>
        <v>5799.9299999999994</v>
      </c>
      <c r="H1134" t="str">
        <f>_xlfn.XLOOKUP(C1134,products[Product_ID],products[Product_Name],"not found",0)</f>
        <v>Trek Fuel EX 8 29 - 2016</v>
      </c>
      <c r="I1134" t="e">
        <f>VLOOKUP(products!D1134,categories[#All],2,TRUE)</f>
        <v>#N/A</v>
      </c>
    </row>
    <row r="1135" spans="1:9" x14ac:dyDescent="0.3">
      <c r="A1135">
        <v>1134</v>
      </c>
      <c r="B1135">
        <v>1</v>
      </c>
      <c r="C1135">
        <v>97</v>
      </c>
      <c r="D1135">
        <v>1</v>
      </c>
      <c r="E1135">
        <v>349.99</v>
      </c>
      <c r="F1135">
        <v>0.1</v>
      </c>
      <c r="G1135">
        <f t="shared" si="17"/>
        <v>349.89</v>
      </c>
      <c r="H1135" t="str">
        <f>_xlfn.XLOOKUP(C1135,products[Product_ID],products[Product_Name],"not found",0)</f>
        <v>Electra Savannah 3i (20-inch) - Girl's - 2017</v>
      </c>
      <c r="I1135" t="e">
        <f>VLOOKUP(products!D1135,categories[#All],2,TRUE)</f>
        <v>#N/A</v>
      </c>
    </row>
    <row r="1136" spans="1:9" x14ac:dyDescent="0.3">
      <c r="A1136">
        <v>1135</v>
      </c>
      <c r="B1136">
        <v>1</v>
      </c>
      <c r="C1136">
        <v>101</v>
      </c>
      <c r="D1136">
        <v>2</v>
      </c>
      <c r="E1136">
        <v>339.99</v>
      </c>
      <c r="F1136">
        <v>0.05</v>
      </c>
      <c r="G1136">
        <f t="shared" si="17"/>
        <v>679.93000000000006</v>
      </c>
      <c r="H1136" t="str">
        <f>_xlfn.XLOOKUP(C1136,products[Product_ID],products[Product_Name],"not found",0)</f>
        <v>Electra Townie 7D (20-inch) - Boys' - 2017</v>
      </c>
      <c r="I1136" t="e">
        <f>VLOOKUP(products!D1136,categories[#All],2,TRUE)</f>
        <v>#N/A</v>
      </c>
    </row>
    <row r="1137" spans="1:9" x14ac:dyDescent="0.3">
      <c r="A1137">
        <v>1136</v>
      </c>
      <c r="B1137">
        <v>1</v>
      </c>
      <c r="C1137">
        <v>105</v>
      </c>
      <c r="D1137">
        <v>1</v>
      </c>
      <c r="E1137">
        <v>533.99</v>
      </c>
      <c r="F1137">
        <v>0.1</v>
      </c>
      <c r="G1137">
        <f t="shared" si="17"/>
        <v>533.89</v>
      </c>
      <c r="H1137" t="str">
        <f>_xlfn.XLOOKUP(C1137,products[Product_ID],products[Product_Name],"not found",0)</f>
        <v>Sun Bicycles Streamway 7 - 2017</v>
      </c>
      <c r="I1137" t="e">
        <f>VLOOKUP(products!D1137,categories[#All],2,TRUE)</f>
        <v>#N/A</v>
      </c>
    </row>
    <row r="1138" spans="1:9" x14ac:dyDescent="0.3">
      <c r="A1138">
        <v>1137</v>
      </c>
      <c r="B1138">
        <v>1</v>
      </c>
      <c r="C1138">
        <v>28</v>
      </c>
      <c r="D1138">
        <v>1</v>
      </c>
      <c r="E1138">
        <v>2499.9899999999998</v>
      </c>
      <c r="F1138">
        <v>0.2</v>
      </c>
      <c r="G1138">
        <f t="shared" si="17"/>
        <v>2499.79</v>
      </c>
      <c r="H1138" t="str">
        <f>_xlfn.XLOOKUP(C1138,products[Product_ID],products[Product_Name],"not found",0)</f>
        <v>Surly Karate Monkey 27.5+ Frameset - 2017</v>
      </c>
      <c r="I1138" t="e">
        <f>VLOOKUP(products!D1138,categories[#All],2,TRUE)</f>
        <v>#N/A</v>
      </c>
    </row>
    <row r="1139" spans="1:9" x14ac:dyDescent="0.3">
      <c r="A1139">
        <v>1138</v>
      </c>
      <c r="B1139">
        <v>1</v>
      </c>
      <c r="C1139">
        <v>13</v>
      </c>
      <c r="D1139">
        <v>2</v>
      </c>
      <c r="E1139">
        <v>269.99</v>
      </c>
      <c r="F1139">
        <v>0.05</v>
      </c>
      <c r="G1139">
        <f t="shared" si="17"/>
        <v>539.93000000000006</v>
      </c>
      <c r="H1139" t="str">
        <f>_xlfn.XLOOKUP(C1139,products[Product_ID],products[Product_Name],"not found",0)</f>
        <v>Electra Cruiser 1 (24-Inch) - 2016</v>
      </c>
      <c r="I1139" t="e">
        <f>VLOOKUP(products!D1139,categories[#All],2,TRUE)</f>
        <v>#N/A</v>
      </c>
    </row>
    <row r="1140" spans="1:9" x14ac:dyDescent="0.3">
      <c r="A1140">
        <v>1139</v>
      </c>
      <c r="B1140">
        <v>1</v>
      </c>
      <c r="C1140">
        <v>106</v>
      </c>
      <c r="D1140">
        <v>2</v>
      </c>
      <c r="E1140">
        <v>449.99</v>
      </c>
      <c r="F1140">
        <v>0.05</v>
      </c>
      <c r="G1140">
        <f t="shared" si="17"/>
        <v>899.93000000000006</v>
      </c>
      <c r="H1140" t="str">
        <f>_xlfn.XLOOKUP(C1140,products[Product_ID],products[Product_Name],"not found",0)</f>
        <v>Sun Bicycles Cruz 3 - 2017</v>
      </c>
      <c r="I1140" t="e">
        <f>VLOOKUP(products!D1140,categories[#All],2,TRUE)</f>
        <v>#N/A</v>
      </c>
    </row>
    <row r="1141" spans="1:9" x14ac:dyDescent="0.3">
      <c r="A1141">
        <v>1140</v>
      </c>
      <c r="B1141">
        <v>1</v>
      </c>
      <c r="C1141">
        <v>39</v>
      </c>
      <c r="D1141">
        <v>2</v>
      </c>
      <c r="E1141">
        <v>1499.99</v>
      </c>
      <c r="F1141">
        <v>0.1</v>
      </c>
      <c r="G1141">
        <f t="shared" si="17"/>
        <v>2999.88</v>
      </c>
      <c r="H1141" t="str">
        <f>_xlfn.XLOOKUP(C1141,products[Product_ID],products[Product_Name],"not found",0)</f>
        <v>Trek Stache 5 - 2017</v>
      </c>
      <c r="I1141" t="e">
        <f>VLOOKUP(products!D1141,categories[#All],2,TRUE)</f>
        <v>#N/A</v>
      </c>
    </row>
    <row r="1142" spans="1:9" x14ac:dyDescent="0.3">
      <c r="A1142">
        <v>1141</v>
      </c>
      <c r="B1142">
        <v>1</v>
      </c>
      <c r="C1142">
        <v>8</v>
      </c>
      <c r="D1142">
        <v>1</v>
      </c>
      <c r="E1142">
        <v>1799.99</v>
      </c>
      <c r="F1142">
        <v>0.1</v>
      </c>
      <c r="G1142">
        <f t="shared" si="17"/>
        <v>1799.89</v>
      </c>
      <c r="H1142" t="str">
        <f>_xlfn.XLOOKUP(C1142,products[Product_ID],products[Product_Name],"not found",0)</f>
        <v>Trek Remedy 29 Carbon Frameset - 2016</v>
      </c>
      <c r="I1142" t="e">
        <f>VLOOKUP(products!D1142,categories[#All],2,TRUE)</f>
        <v>#N/A</v>
      </c>
    </row>
    <row r="1143" spans="1:9" x14ac:dyDescent="0.3">
      <c r="A1143">
        <v>1142</v>
      </c>
      <c r="B1143">
        <v>1</v>
      </c>
      <c r="C1143">
        <v>20</v>
      </c>
      <c r="D1143">
        <v>2</v>
      </c>
      <c r="E1143">
        <v>599.99</v>
      </c>
      <c r="F1143">
        <v>7.0000000000000007E-2</v>
      </c>
      <c r="G1143">
        <f t="shared" si="17"/>
        <v>1199.9100000000001</v>
      </c>
      <c r="H1143" t="str">
        <f>_xlfn.XLOOKUP(C1143,products[Product_ID],products[Product_Name],"not found",0)</f>
        <v>Electra Townie Original 7D EQ - Women's - 2016</v>
      </c>
      <c r="I1143" t="e">
        <f>VLOOKUP(products!D1143,categories[#All],2,TRUE)</f>
        <v>#N/A</v>
      </c>
    </row>
    <row r="1144" spans="1:9" x14ac:dyDescent="0.3">
      <c r="A1144">
        <v>1143</v>
      </c>
      <c r="B1144">
        <v>1</v>
      </c>
      <c r="C1144">
        <v>99</v>
      </c>
      <c r="D1144">
        <v>1</v>
      </c>
      <c r="E1144">
        <v>299.99</v>
      </c>
      <c r="F1144">
        <v>0.2</v>
      </c>
      <c r="G1144">
        <f t="shared" si="17"/>
        <v>299.79000000000002</v>
      </c>
      <c r="H1144" t="str">
        <f>_xlfn.XLOOKUP(C1144,products[Product_ID],products[Product_Name],"not found",0)</f>
        <v>Electra Sugar Skulls 1 (20-inch) - Girl's - 2017</v>
      </c>
      <c r="I1144" t="e">
        <f>VLOOKUP(products!D1144,categories[#All],2,TRUE)</f>
        <v>#N/A</v>
      </c>
    </row>
    <row r="1145" spans="1:9" x14ac:dyDescent="0.3">
      <c r="A1145">
        <v>1144</v>
      </c>
      <c r="B1145">
        <v>1</v>
      </c>
      <c r="C1145">
        <v>88</v>
      </c>
      <c r="D1145">
        <v>1</v>
      </c>
      <c r="E1145">
        <v>189.99</v>
      </c>
      <c r="F1145">
        <v>7.0000000000000007E-2</v>
      </c>
      <c r="G1145">
        <f t="shared" si="17"/>
        <v>189.92000000000002</v>
      </c>
      <c r="H1145" t="str">
        <f>_xlfn.XLOOKUP(C1145,products[Product_ID],products[Product_Name],"not found",0)</f>
        <v>Trek Precaliber 12 Girls - 2017</v>
      </c>
      <c r="I1145" t="e">
        <f>VLOOKUP(products!D1145,categories[#All],2,TRUE)</f>
        <v>#N/A</v>
      </c>
    </row>
    <row r="1146" spans="1:9" x14ac:dyDescent="0.3">
      <c r="A1146">
        <v>1145</v>
      </c>
      <c r="B1146">
        <v>1</v>
      </c>
      <c r="C1146">
        <v>105</v>
      </c>
      <c r="D1146">
        <v>2</v>
      </c>
      <c r="E1146">
        <v>533.99</v>
      </c>
      <c r="F1146">
        <v>7.0000000000000007E-2</v>
      </c>
      <c r="G1146">
        <f t="shared" si="17"/>
        <v>1067.9100000000001</v>
      </c>
      <c r="H1146" t="str">
        <f>_xlfn.XLOOKUP(C1146,products[Product_ID],products[Product_Name],"not found",0)</f>
        <v>Sun Bicycles Streamway 7 - 2017</v>
      </c>
      <c r="I1146" t="e">
        <f>VLOOKUP(products!D1146,categories[#All],2,TRUE)</f>
        <v>#N/A</v>
      </c>
    </row>
    <row r="1147" spans="1:9" x14ac:dyDescent="0.3">
      <c r="A1147">
        <v>1146</v>
      </c>
      <c r="B1147">
        <v>1</v>
      </c>
      <c r="C1147">
        <v>36</v>
      </c>
      <c r="D1147">
        <v>1</v>
      </c>
      <c r="E1147">
        <v>832.99</v>
      </c>
      <c r="F1147">
        <v>7.0000000000000007E-2</v>
      </c>
      <c r="G1147">
        <f t="shared" si="17"/>
        <v>832.92</v>
      </c>
      <c r="H1147" t="str">
        <f>_xlfn.XLOOKUP(C1147,products[Product_ID],products[Product_Name],"not found",0)</f>
        <v>Surly Troll Frameset - 2017</v>
      </c>
      <c r="I1147" t="e">
        <f>VLOOKUP(products!D1147,categories[#All],2,TRUE)</f>
        <v>#N/A</v>
      </c>
    </row>
    <row r="1148" spans="1:9" x14ac:dyDescent="0.3">
      <c r="A1148">
        <v>1147</v>
      </c>
      <c r="B1148">
        <v>1</v>
      </c>
      <c r="C1148">
        <v>82</v>
      </c>
      <c r="D1148">
        <v>1</v>
      </c>
      <c r="E1148">
        <v>659.99</v>
      </c>
      <c r="F1148">
        <v>0.2</v>
      </c>
      <c r="G1148">
        <f t="shared" si="17"/>
        <v>659.79</v>
      </c>
      <c r="H1148" t="str">
        <f>_xlfn.XLOOKUP(C1148,products[Product_ID],products[Product_Name],"not found",0)</f>
        <v>Electra Amsterdam Original 3i Ladies' - 2017</v>
      </c>
      <c r="I1148" t="e">
        <f>VLOOKUP(products!D1148,categories[#All],2,TRUE)</f>
        <v>#N/A</v>
      </c>
    </row>
    <row r="1149" spans="1:9" x14ac:dyDescent="0.3">
      <c r="A1149">
        <v>1148</v>
      </c>
      <c r="B1149">
        <v>1</v>
      </c>
      <c r="C1149">
        <v>82</v>
      </c>
      <c r="D1149">
        <v>1</v>
      </c>
      <c r="E1149">
        <v>659.99</v>
      </c>
      <c r="F1149">
        <v>7.0000000000000007E-2</v>
      </c>
      <c r="G1149">
        <f t="shared" si="17"/>
        <v>659.92</v>
      </c>
      <c r="H1149" t="str">
        <f>_xlfn.XLOOKUP(C1149,products[Product_ID],products[Product_Name],"not found",0)</f>
        <v>Electra Amsterdam Original 3i Ladies' - 2017</v>
      </c>
      <c r="I1149" t="e">
        <f>VLOOKUP(products!D1149,categories[#All],2,TRUE)</f>
        <v>#N/A</v>
      </c>
    </row>
    <row r="1150" spans="1:9" x14ac:dyDescent="0.3">
      <c r="A1150">
        <v>1149</v>
      </c>
      <c r="B1150">
        <v>1</v>
      </c>
      <c r="C1150">
        <v>98</v>
      </c>
      <c r="D1150">
        <v>2</v>
      </c>
      <c r="E1150">
        <v>489.99</v>
      </c>
      <c r="F1150">
        <v>7.0000000000000007E-2</v>
      </c>
      <c r="G1150">
        <f t="shared" si="17"/>
        <v>979.91</v>
      </c>
      <c r="H1150" t="str">
        <f>_xlfn.XLOOKUP(C1150,products[Product_ID],products[Product_Name],"not found",0)</f>
        <v>Electra Straight 8 3i (20-inch) - Boy's - 2017</v>
      </c>
      <c r="I1150" t="e">
        <f>VLOOKUP(products!D1150,categories[#All],2,TRUE)</f>
        <v>#N/A</v>
      </c>
    </row>
    <row r="1151" spans="1:9" x14ac:dyDescent="0.3">
      <c r="A1151">
        <v>1150</v>
      </c>
      <c r="B1151">
        <v>1</v>
      </c>
      <c r="C1151">
        <v>29</v>
      </c>
      <c r="D1151">
        <v>1</v>
      </c>
      <c r="E1151">
        <v>999.99</v>
      </c>
      <c r="F1151">
        <v>0.05</v>
      </c>
      <c r="G1151">
        <f t="shared" si="17"/>
        <v>999.94</v>
      </c>
      <c r="H1151" t="str">
        <f>_xlfn.XLOOKUP(C1151,products[Product_ID],products[Product_Name],"not found",0)</f>
        <v>Trek X-Caliber 8 - 2017</v>
      </c>
      <c r="I1151" t="e">
        <f>VLOOKUP(products!D1151,categories[#All],2,TRUE)</f>
        <v>#N/A</v>
      </c>
    </row>
    <row r="1152" spans="1:9" x14ac:dyDescent="0.3">
      <c r="A1152">
        <v>1151</v>
      </c>
      <c r="B1152">
        <v>1</v>
      </c>
      <c r="C1152">
        <v>30</v>
      </c>
      <c r="D1152">
        <v>2</v>
      </c>
      <c r="E1152">
        <v>999.99</v>
      </c>
      <c r="F1152">
        <v>0.05</v>
      </c>
      <c r="G1152">
        <f t="shared" si="17"/>
        <v>1999.93</v>
      </c>
      <c r="H1152" t="str">
        <f>_xlfn.XLOOKUP(C1152,products[Product_ID],products[Product_Name],"not found",0)</f>
        <v>Surly Ice Cream Truck Frameset - 2017</v>
      </c>
      <c r="I1152" t="e">
        <f>VLOOKUP(products!D1152,categories[#All],2,TRUE)</f>
        <v>#N/A</v>
      </c>
    </row>
    <row r="1153" spans="1:9" x14ac:dyDescent="0.3">
      <c r="A1153">
        <v>1152</v>
      </c>
      <c r="B1153">
        <v>1</v>
      </c>
      <c r="C1153">
        <v>58</v>
      </c>
      <c r="D1153">
        <v>1</v>
      </c>
      <c r="E1153">
        <v>4999.99</v>
      </c>
      <c r="F1153">
        <v>7.0000000000000007E-2</v>
      </c>
      <c r="G1153">
        <f t="shared" si="17"/>
        <v>4999.92</v>
      </c>
      <c r="H1153" t="str">
        <f>_xlfn.XLOOKUP(C1153,products[Product_ID],products[Product_Name],"not found",0)</f>
        <v>Trek Madone 9.2 - 2017</v>
      </c>
      <c r="I1153" t="e">
        <f>VLOOKUP(products!D1153,categories[#All],2,TRUE)</f>
        <v>#N/A</v>
      </c>
    </row>
    <row r="1154" spans="1:9" x14ac:dyDescent="0.3">
      <c r="A1154">
        <v>1153</v>
      </c>
      <c r="B1154">
        <v>1</v>
      </c>
      <c r="C1154">
        <v>103</v>
      </c>
      <c r="D1154">
        <v>1</v>
      </c>
      <c r="E1154">
        <v>551.99</v>
      </c>
      <c r="F1154">
        <v>0.1</v>
      </c>
      <c r="G1154">
        <f t="shared" ref="G1154:G1217" si="18">(E1154*D1154)-F1154</f>
        <v>551.89</v>
      </c>
      <c r="H1154" t="str">
        <f>_xlfn.XLOOKUP(C1154,products[Product_ID],products[Product_Name],"not found",0)</f>
        <v>Sun Bicycles Streamway 3 - 2017</v>
      </c>
      <c r="I1154" t="e">
        <f>VLOOKUP(products!D1154,categories[#All],2,TRUE)</f>
        <v>#N/A</v>
      </c>
    </row>
    <row r="1155" spans="1:9" x14ac:dyDescent="0.3">
      <c r="A1155">
        <v>1154</v>
      </c>
      <c r="B1155">
        <v>1</v>
      </c>
      <c r="C1155">
        <v>17</v>
      </c>
      <c r="D1155">
        <v>1</v>
      </c>
      <c r="E1155">
        <v>429</v>
      </c>
      <c r="F1155">
        <v>0.2</v>
      </c>
      <c r="G1155">
        <f t="shared" si="18"/>
        <v>428.8</v>
      </c>
      <c r="H1155" t="str">
        <f>_xlfn.XLOOKUP(C1155,products[Product_ID],products[Product_Name],"not found",0)</f>
        <v>Pure Cycles Vine 8-Speed - 2016</v>
      </c>
      <c r="I1155" t="e">
        <f>VLOOKUP(products!D1155,categories[#All],2,TRUE)</f>
        <v>#N/A</v>
      </c>
    </row>
    <row r="1156" spans="1:9" x14ac:dyDescent="0.3">
      <c r="A1156">
        <v>1155</v>
      </c>
      <c r="B1156">
        <v>1</v>
      </c>
      <c r="C1156">
        <v>68</v>
      </c>
      <c r="D1156">
        <v>2</v>
      </c>
      <c r="E1156">
        <v>449.99</v>
      </c>
      <c r="F1156">
        <v>0.05</v>
      </c>
      <c r="G1156">
        <f t="shared" si="18"/>
        <v>899.93000000000006</v>
      </c>
      <c r="H1156" t="str">
        <f>_xlfn.XLOOKUP(C1156,products[Product_ID],products[Product_Name],"not found",0)</f>
        <v>Sun Bicycles Cruz 3 - 2017</v>
      </c>
      <c r="I1156" t="e">
        <f>VLOOKUP(products!D1156,categories[#All],2,TRUE)</f>
        <v>#N/A</v>
      </c>
    </row>
    <row r="1157" spans="1:9" x14ac:dyDescent="0.3">
      <c r="A1157">
        <v>1156</v>
      </c>
      <c r="B1157">
        <v>1</v>
      </c>
      <c r="C1157">
        <v>111</v>
      </c>
      <c r="D1157">
        <v>2</v>
      </c>
      <c r="E1157">
        <v>470.99</v>
      </c>
      <c r="F1157">
        <v>0.05</v>
      </c>
      <c r="G1157">
        <f t="shared" si="18"/>
        <v>941.93000000000006</v>
      </c>
      <c r="H1157" t="str">
        <f>_xlfn.XLOOKUP(C1157,products[Product_ID],products[Product_Name],"not found",0)</f>
        <v>Sun Bicycles Drifter 7 - Women's - 2017</v>
      </c>
      <c r="I1157" t="e">
        <f>VLOOKUP(products!D1157,categories[#All],2,TRUE)</f>
        <v>#N/A</v>
      </c>
    </row>
    <row r="1158" spans="1:9" x14ac:dyDescent="0.3">
      <c r="A1158">
        <v>1157</v>
      </c>
      <c r="B1158">
        <v>1</v>
      </c>
      <c r="C1158">
        <v>20</v>
      </c>
      <c r="D1158">
        <v>1</v>
      </c>
      <c r="E1158">
        <v>599.99</v>
      </c>
      <c r="F1158">
        <v>0.1</v>
      </c>
      <c r="G1158">
        <f t="shared" si="18"/>
        <v>599.89</v>
      </c>
      <c r="H1158" t="str">
        <f>_xlfn.XLOOKUP(C1158,products[Product_ID],products[Product_Name],"not found",0)</f>
        <v>Electra Townie Original 7D EQ - Women's - 2016</v>
      </c>
      <c r="I1158" t="e">
        <f>VLOOKUP(products!D1158,categories[#All],2,TRUE)</f>
        <v>#N/A</v>
      </c>
    </row>
    <row r="1159" spans="1:9" x14ac:dyDescent="0.3">
      <c r="A1159">
        <v>1158</v>
      </c>
      <c r="B1159">
        <v>1</v>
      </c>
      <c r="C1159">
        <v>95</v>
      </c>
      <c r="D1159">
        <v>2</v>
      </c>
      <c r="E1159">
        <v>299.99</v>
      </c>
      <c r="F1159">
        <v>0.1</v>
      </c>
      <c r="G1159">
        <f t="shared" si="18"/>
        <v>599.88</v>
      </c>
      <c r="H1159" t="str">
        <f>_xlfn.XLOOKUP(C1159,products[Product_ID],products[Product_Name],"not found",0)</f>
        <v>Electra Girl's Hawaii 1 16" - 2017</v>
      </c>
      <c r="I1159" t="e">
        <f>VLOOKUP(products!D1159,categories[#All],2,TRUE)</f>
        <v>#N/A</v>
      </c>
    </row>
    <row r="1160" spans="1:9" x14ac:dyDescent="0.3">
      <c r="A1160">
        <v>1159</v>
      </c>
      <c r="B1160">
        <v>1</v>
      </c>
      <c r="C1160">
        <v>12</v>
      </c>
      <c r="D1160">
        <v>2</v>
      </c>
      <c r="E1160">
        <v>549.99</v>
      </c>
      <c r="F1160">
        <v>0.1</v>
      </c>
      <c r="G1160">
        <f t="shared" si="18"/>
        <v>1099.8800000000001</v>
      </c>
      <c r="H1160" t="str">
        <f>_xlfn.XLOOKUP(C1160,products[Product_ID],products[Product_Name],"not found",0)</f>
        <v>Electra Townie Original 21D - 2016</v>
      </c>
      <c r="I1160" t="e">
        <f>VLOOKUP(products!D1160,categories[#All],2,TRUE)</f>
        <v>#N/A</v>
      </c>
    </row>
    <row r="1161" spans="1:9" x14ac:dyDescent="0.3">
      <c r="A1161">
        <v>1160</v>
      </c>
      <c r="B1161">
        <v>1</v>
      </c>
      <c r="C1161">
        <v>41</v>
      </c>
      <c r="D1161">
        <v>1</v>
      </c>
      <c r="E1161">
        <v>1469.99</v>
      </c>
      <c r="F1161">
        <v>0.1</v>
      </c>
      <c r="G1161">
        <f t="shared" si="18"/>
        <v>1469.89</v>
      </c>
      <c r="H1161" t="str">
        <f>_xlfn.XLOOKUP(C1161,products[Product_ID],products[Product_Name],"not found",0)</f>
        <v>Haro Shift R3 - 2017</v>
      </c>
      <c r="I1161" t="e">
        <f>VLOOKUP(products!D1161,categories[#All],2,TRUE)</f>
        <v>#N/A</v>
      </c>
    </row>
    <row r="1162" spans="1:9" x14ac:dyDescent="0.3">
      <c r="A1162">
        <v>1161</v>
      </c>
      <c r="B1162">
        <v>1</v>
      </c>
      <c r="C1162">
        <v>71</v>
      </c>
      <c r="D1162">
        <v>2</v>
      </c>
      <c r="E1162">
        <v>416.99</v>
      </c>
      <c r="F1162">
        <v>0.1</v>
      </c>
      <c r="G1162">
        <f t="shared" si="18"/>
        <v>833.88</v>
      </c>
      <c r="H1162" t="str">
        <f>_xlfn.XLOOKUP(C1162,products[Product_ID],products[Product_Name],"not found",0)</f>
        <v>Sun Bicycles Atlas X-Type - 2017</v>
      </c>
      <c r="I1162" t="e">
        <f>VLOOKUP(products!D1162,categories[#All],2,TRUE)</f>
        <v>#N/A</v>
      </c>
    </row>
    <row r="1163" spans="1:9" x14ac:dyDescent="0.3">
      <c r="A1163">
        <v>1162</v>
      </c>
      <c r="B1163">
        <v>1</v>
      </c>
      <c r="C1163">
        <v>88</v>
      </c>
      <c r="D1163">
        <v>1</v>
      </c>
      <c r="E1163">
        <v>189.99</v>
      </c>
      <c r="F1163">
        <v>0.2</v>
      </c>
      <c r="G1163">
        <f t="shared" si="18"/>
        <v>189.79000000000002</v>
      </c>
      <c r="H1163" t="str">
        <f>_xlfn.XLOOKUP(C1163,products[Product_ID],products[Product_Name],"not found",0)</f>
        <v>Trek Precaliber 12 Girls - 2017</v>
      </c>
      <c r="I1163" t="e">
        <f>VLOOKUP(products!D1163,categories[#All],2,TRUE)</f>
        <v>#N/A</v>
      </c>
    </row>
    <row r="1164" spans="1:9" x14ac:dyDescent="0.3">
      <c r="A1164">
        <v>1163</v>
      </c>
      <c r="B1164">
        <v>1</v>
      </c>
      <c r="C1164">
        <v>63</v>
      </c>
      <c r="D1164">
        <v>2</v>
      </c>
      <c r="E1164">
        <v>3499.99</v>
      </c>
      <c r="F1164">
        <v>0.05</v>
      </c>
      <c r="G1164">
        <f t="shared" si="18"/>
        <v>6999.9299999999994</v>
      </c>
      <c r="H1164" t="str">
        <f>_xlfn.XLOOKUP(C1164,products[Product_ID],products[Product_Name],"not found",0)</f>
        <v>Trek Boone Race Shop Limited - 2017</v>
      </c>
      <c r="I1164" t="e">
        <f>VLOOKUP(products!D1164,categories[#All],2,TRUE)</f>
        <v>#N/A</v>
      </c>
    </row>
    <row r="1165" spans="1:9" x14ac:dyDescent="0.3">
      <c r="A1165">
        <v>1164</v>
      </c>
      <c r="B1165">
        <v>1</v>
      </c>
      <c r="C1165">
        <v>8</v>
      </c>
      <c r="D1165">
        <v>1</v>
      </c>
      <c r="E1165">
        <v>1799.99</v>
      </c>
      <c r="F1165">
        <v>0.2</v>
      </c>
      <c r="G1165">
        <f t="shared" si="18"/>
        <v>1799.79</v>
      </c>
      <c r="H1165" t="str">
        <f>_xlfn.XLOOKUP(C1165,products[Product_ID],products[Product_Name],"not found",0)</f>
        <v>Trek Remedy 29 Carbon Frameset - 2016</v>
      </c>
      <c r="I1165" t="e">
        <f>VLOOKUP(products!D1165,categories[#All],2,TRUE)</f>
        <v>#N/A</v>
      </c>
    </row>
    <row r="1166" spans="1:9" x14ac:dyDescent="0.3">
      <c r="A1166">
        <v>1165</v>
      </c>
      <c r="B1166">
        <v>1</v>
      </c>
      <c r="C1166">
        <v>65</v>
      </c>
      <c r="D1166">
        <v>2</v>
      </c>
      <c r="E1166">
        <v>346.99</v>
      </c>
      <c r="F1166">
        <v>7.0000000000000007E-2</v>
      </c>
      <c r="G1166">
        <f t="shared" si="18"/>
        <v>693.91</v>
      </c>
      <c r="H1166" t="str">
        <f>_xlfn.XLOOKUP(C1166,products[Product_ID],products[Product_Name],"not found",0)</f>
        <v>Sun Bicycles Lil Bolt Type-R - 2017</v>
      </c>
      <c r="I1166" t="e">
        <f>VLOOKUP(products!D1166,categories[#All],2,TRUE)</f>
        <v>#N/A</v>
      </c>
    </row>
    <row r="1167" spans="1:9" x14ac:dyDescent="0.3">
      <c r="A1167">
        <v>1166</v>
      </c>
      <c r="B1167">
        <v>1</v>
      </c>
      <c r="C1167">
        <v>103</v>
      </c>
      <c r="D1167">
        <v>2</v>
      </c>
      <c r="E1167">
        <v>551.99</v>
      </c>
      <c r="F1167">
        <v>7.0000000000000007E-2</v>
      </c>
      <c r="G1167">
        <f t="shared" si="18"/>
        <v>1103.9100000000001</v>
      </c>
      <c r="H1167" t="str">
        <f>_xlfn.XLOOKUP(C1167,products[Product_ID],products[Product_Name],"not found",0)</f>
        <v>Sun Bicycles Streamway 3 - 2017</v>
      </c>
      <c r="I1167" t="e">
        <f>VLOOKUP(products!D1167,categories[#All],2,TRUE)</f>
        <v>#N/A</v>
      </c>
    </row>
    <row r="1168" spans="1:9" x14ac:dyDescent="0.3">
      <c r="A1168">
        <v>1167</v>
      </c>
      <c r="B1168">
        <v>1</v>
      </c>
      <c r="C1168">
        <v>29</v>
      </c>
      <c r="D1168">
        <v>2</v>
      </c>
      <c r="E1168">
        <v>999.99</v>
      </c>
      <c r="F1168">
        <v>0.05</v>
      </c>
      <c r="G1168">
        <f t="shared" si="18"/>
        <v>1999.93</v>
      </c>
      <c r="H1168" t="str">
        <f>_xlfn.XLOOKUP(C1168,products[Product_ID],products[Product_Name],"not found",0)</f>
        <v>Trek X-Caliber 8 - 2017</v>
      </c>
      <c r="I1168" t="e">
        <f>VLOOKUP(products!D1168,categories[#All],2,TRUE)</f>
        <v>#N/A</v>
      </c>
    </row>
    <row r="1169" spans="1:9" x14ac:dyDescent="0.3">
      <c r="A1169">
        <v>1168</v>
      </c>
      <c r="B1169">
        <v>1</v>
      </c>
      <c r="C1169">
        <v>23</v>
      </c>
      <c r="D1169">
        <v>2</v>
      </c>
      <c r="E1169">
        <v>299.99</v>
      </c>
      <c r="F1169">
        <v>0.1</v>
      </c>
      <c r="G1169">
        <f t="shared" si="18"/>
        <v>599.88</v>
      </c>
      <c r="H1169" t="str">
        <f>_xlfn.XLOOKUP(C1169,products[Product_ID],products[Product_Name],"not found",0)</f>
        <v>Electra Girl's Hawaii 1 (20-inch) - 2015/2016</v>
      </c>
      <c r="I1169" t="e">
        <f>VLOOKUP(products!D1169,categories[#All],2,TRUE)</f>
        <v>#N/A</v>
      </c>
    </row>
    <row r="1170" spans="1:9" x14ac:dyDescent="0.3">
      <c r="A1170">
        <v>1169</v>
      </c>
      <c r="B1170">
        <v>1</v>
      </c>
      <c r="C1170">
        <v>91</v>
      </c>
      <c r="D1170">
        <v>2</v>
      </c>
      <c r="E1170">
        <v>349.99</v>
      </c>
      <c r="F1170">
        <v>0.2</v>
      </c>
      <c r="G1170">
        <f t="shared" si="18"/>
        <v>699.78</v>
      </c>
      <c r="H1170" t="str">
        <f>_xlfn.XLOOKUP(C1170,products[Product_ID],products[Product_Name],"not found",0)</f>
        <v>Trek Precaliber 24 (21-Speed) - Girls - 2017</v>
      </c>
      <c r="I1170" t="e">
        <f>VLOOKUP(products!D1170,categories[#All],2,TRUE)</f>
        <v>#N/A</v>
      </c>
    </row>
    <row r="1171" spans="1:9" x14ac:dyDescent="0.3">
      <c r="A1171">
        <v>1170</v>
      </c>
      <c r="B1171">
        <v>1</v>
      </c>
      <c r="C1171">
        <v>15</v>
      </c>
      <c r="D1171">
        <v>1</v>
      </c>
      <c r="E1171">
        <v>529.99</v>
      </c>
      <c r="F1171">
        <v>0.1</v>
      </c>
      <c r="G1171">
        <f t="shared" si="18"/>
        <v>529.89</v>
      </c>
      <c r="H1171" t="str">
        <f>_xlfn.XLOOKUP(C1171,products[Product_ID],products[Product_Name],"not found",0)</f>
        <v>Electra Moto 1 - 2016</v>
      </c>
      <c r="I1171" t="e">
        <f>VLOOKUP(products!D1171,categories[#All],2,TRUE)</f>
        <v>#N/A</v>
      </c>
    </row>
    <row r="1172" spans="1:9" x14ac:dyDescent="0.3">
      <c r="A1172">
        <v>1171</v>
      </c>
      <c r="B1172">
        <v>1</v>
      </c>
      <c r="C1172">
        <v>94</v>
      </c>
      <c r="D1172">
        <v>2</v>
      </c>
      <c r="E1172">
        <v>249.99</v>
      </c>
      <c r="F1172">
        <v>0.2</v>
      </c>
      <c r="G1172">
        <f t="shared" si="18"/>
        <v>499.78000000000003</v>
      </c>
      <c r="H1172" t="str">
        <f>_xlfn.XLOOKUP(C1172,products[Product_ID],products[Product_Name],"not found",0)</f>
        <v>Haro Shredder Pro 20 - 2017</v>
      </c>
      <c r="I1172" t="e">
        <f>VLOOKUP(products!D1172,categories[#All],2,TRUE)</f>
        <v>#N/A</v>
      </c>
    </row>
    <row r="1173" spans="1:9" x14ac:dyDescent="0.3">
      <c r="A1173">
        <v>1172</v>
      </c>
      <c r="B1173">
        <v>1</v>
      </c>
      <c r="C1173">
        <v>78</v>
      </c>
      <c r="D1173">
        <v>2</v>
      </c>
      <c r="E1173">
        <v>647.99</v>
      </c>
      <c r="F1173">
        <v>7.0000000000000007E-2</v>
      </c>
      <c r="G1173">
        <f t="shared" si="18"/>
        <v>1295.9100000000001</v>
      </c>
      <c r="H1173" t="str">
        <f>_xlfn.XLOOKUP(C1173,products[Product_ID],products[Product_Name],"not found",0)</f>
        <v>Sun Bicycles Biscayne Tandem CB - 2017</v>
      </c>
      <c r="I1173" t="e">
        <f>VLOOKUP(products!D1173,categories[#All],2,TRUE)</f>
        <v>#N/A</v>
      </c>
    </row>
    <row r="1174" spans="1:9" x14ac:dyDescent="0.3">
      <c r="A1174">
        <v>1173</v>
      </c>
      <c r="B1174">
        <v>1</v>
      </c>
      <c r="C1174">
        <v>95</v>
      </c>
      <c r="D1174">
        <v>1</v>
      </c>
      <c r="E1174">
        <v>299.99</v>
      </c>
      <c r="F1174">
        <v>0.2</v>
      </c>
      <c r="G1174">
        <f t="shared" si="18"/>
        <v>299.79000000000002</v>
      </c>
      <c r="H1174" t="str">
        <f>_xlfn.XLOOKUP(C1174,products[Product_ID],products[Product_Name],"not found",0)</f>
        <v>Electra Girl's Hawaii 1 16" - 2017</v>
      </c>
      <c r="I1174" t="e">
        <f>VLOOKUP(products!D1174,categories[#All],2,TRUE)</f>
        <v>#N/A</v>
      </c>
    </row>
    <row r="1175" spans="1:9" x14ac:dyDescent="0.3">
      <c r="A1175">
        <v>1174</v>
      </c>
      <c r="B1175">
        <v>1</v>
      </c>
      <c r="C1175">
        <v>110</v>
      </c>
      <c r="D1175">
        <v>2</v>
      </c>
      <c r="E1175">
        <v>470.99</v>
      </c>
      <c r="F1175">
        <v>0.2</v>
      </c>
      <c r="G1175">
        <f t="shared" si="18"/>
        <v>941.78</v>
      </c>
      <c r="H1175" t="str">
        <f>_xlfn.XLOOKUP(C1175,products[Product_ID],products[Product_Name],"not found",0)</f>
        <v>Sun Bicycles Drifter 7 - 2017</v>
      </c>
      <c r="I1175" t="e">
        <f>VLOOKUP(products!D1175,categories[#All],2,TRUE)</f>
        <v>#N/A</v>
      </c>
    </row>
    <row r="1176" spans="1:9" x14ac:dyDescent="0.3">
      <c r="A1176">
        <v>1175</v>
      </c>
      <c r="B1176">
        <v>1</v>
      </c>
      <c r="C1176">
        <v>58</v>
      </c>
      <c r="D1176">
        <v>2</v>
      </c>
      <c r="E1176">
        <v>4999.99</v>
      </c>
      <c r="F1176">
        <v>7.0000000000000007E-2</v>
      </c>
      <c r="G1176">
        <f t="shared" si="18"/>
        <v>9999.91</v>
      </c>
      <c r="H1176" t="str">
        <f>_xlfn.XLOOKUP(C1176,products[Product_ID],products[Product_Name],"not found",0)</f>
        <v>Trek Madone 9.2 - 2017</v>
      </c>
      <c r="I1176" t="e">
        <f>VLOOKUP(products!D1176,categories[#All],2,TRUE)</f>
        <v>#N/A</v>
      </c>
    </row>
    <row r="1177" spans="1:9" x14ac:dyDescent="0.3">
      <c r="A1177">
        <v>1176</v>
      </c>
      <c r="B1177">
        <v>1</v>
      </c>
      <c r="C1177">
        <v>87</v>
      </c>
      <c r="D1177">
        <v>1</v>
      </c>
      <c r="E1177">
        <v>189.99</v>
      </c>
      <c r="F1177">
        <v>0.1</v>
      </c>
      <c r="G1177">
        <f t="shared" si="18"/>
        <v>189.89000000000001</v>
      </c>
      <c r="H1177" t="str">
        <f>_xlfn.XLOOKUP(C1177,products[Product_ID],products[Product_Name],"not found",0)</f>
        <v>Trek Precaliber 12 Boys - 2017</v>
      </c>
      <c r="I1177" t="e">
        <f>VLOOKUP(products!D1177,categories[#All],2,TRUE)</f>
        <v>#N/A</v>
      </c>
    </row>
    <row r="1178" spans="1:9" x14ac:dyDescent="0.3">
      <c r="A1178">
        <v>1177</v>
      </c>
      <c r="B1178">
        <v>1</v>
      </c>
      <c r="C1178">
        <v>62</v>
      </c>
      <c r="D1178">
        <v>2</v>
      </c>
      <c r="E1178">
        <v>3499.99</v>
      </c>
      <c r="F1178">
        <v>7.0000000000000007E-2</v>
      </c>
      <c r="G1178">
        <f t="shared" si="18"/>
        <v>6999.91</v>
      </c>
      <c r="H1178" t="str">
        <f>_xlfn.XLOOKUP(C1178,products[Product_ID],products[Product_Name],"not found",0)</f>
        <v>Trek Boone 7 - 2017</v>
      </c>
      <c r="I1178" t="e">
        <f>VLOOKUP(products!D1178,categories[#All],2,TRUE)</f>
        <v>#N/A</v>
      </c>
    </row>
    <row r="1179" spans="1:9" x14ac:dyDescent="0.3">
      <c r="A1179">
        <v>1178</v>
      </c>
      <c r="B1179">
        <v>1</v>
      </c>
      <c r="C1179">
        <v>46</v>
      </c>
      <c r="D1179">
        <v>1</v>
      </c>
      <c r="E1179">
        <v>1409.99</v>
      </c>
      <c r="F1179">
        <v>7.0000000000000007E-2</v>
      </c>
      <c r="G1179">
        <f t="shared" si="18"/>
        <v>1409.92</v>
      </c>
      <c r="H1179" t="str">
        <f>_xlfn.XLOOKUP(C1179,products[Product_ID],products[Product_Name],"not found",0)</f>
        <v>Haro SR 1.3 - 2017</v>
      </c>
      <c r="I1179" t="e">
        <f>VLOOKUP(products!D1179,categories[#All],2,TRUE)</f>
        <v>#N/A</v>
      </c>
    </row>
    <row r="1180" spans="1:9" x14ac:dyDescent="0.3">
      <c r="A1180">
        <v>1179</v>
      </c>
      <c r="B1180">
        <v>1</v>
      </c>
      <c r="C1180">
        <v>93</v>
      </c>
      <c r="D1180">
        <v>2</v>
      </c>
      <c r="E1180">
        <v>209.99</v>
      </c>
      <c r="F1180">
        <v>0.05</v>
      </c>
      <c r="G1180">
        <f t="shared" si="18"/>
        <v>419.93</v>
      </c>
      <c r="H1180" t="str">
        <f>_xlfn.XLOOKUP(C1180,products[Product_ID],products[Product_Name],"not found",0)</f>
        <v>Haro Shredder 20 Girls - 2017</v>
      </c>
      <c r="I1180" t="e">
        <f>VLOOKUP(products!D1180,categories[#All],2,TRUE)</f>
        <v>#N/A</v>
      </c>
    </row>
    <row r="1181" spans="1:9" x14ac:dyDescent="0.3">
      <c r="A1181">
        <v>1180</v>
      </c>
      <c r="B1181">
        <v>1</v>
      </c>
      <c r="C1181">
        <v>66</v>
      </c>
      <c r="D1181">
        <v>2</v>
      </c>
      <c r="E1181">
        <v>250.99</v>
      </c>
      <c r="F1181">
        <v>7.0000000000000007E-2</v>
      </c>
      <c r="G1181">
        <f t="shared" si="18"/>
        <v>501.91</v>
      </c>
      <c r="H1181" t="str">
        <f>_xlfn.XLOOKUP(C1181,products[Product_ID],products[Product_Name],"not found",0)</f>
        <v>Sun Bicycles Revolutions 24 - 2017</v>
      </c>
      <c r="I1181" t="e">
        <f>VLOOKUP(products!D1181,categories[#All],2,TRUE)</f>
        <v>#N/A</v>
      </c>
    </row>
    <row r="1182" spans="1:9" x14ac:dyDescent="0.3">
      <c r="A1182">
        <v>1181</v>
      </c>
      <c r="B1182">
        <v>1</v>
      </c>
      <c r="C1182">
        <v>98</v>
      </c>
      <c r="D1182">
        <v>1</v>
      </c>
      <c r="E1182">
        <v>489.99</v>
      </c>
      <c r="F1182">
        <v>0.1</v>
      </c>
      <c r="G1182">
        <f t="shared" si="18"/>
        <v>489.89</v>
      </c>
      <c r="H1182" t="str">
        <f>_xlfn.XLOOKUP(C1182,products[Product_ID],products[Product_Name],"not found",0)</f>
        <v>Electra Straight 8 3i (20-inch) - Boy's - 2017</v>
      </c>
      <c r="I1182" t="e">
        <f>VLOOKUP(products!D1182,categories[#All],2,TRUE)</f>
        <v>#N/A</v>
      </c>
    </row>
    <row r="1183" spans="1:9" x14ac:dyDescent="0.3">
      <c r="A1183">
        <v>1182</v>
      </c>
      <c r="B1183">
        <v>1</v>
      </c>
      <c r="C1183">
        <v>35</v>
      </c>
      <c r="D1183">
        <v>1</v>
      </c>
      <c r="E1183">
        <v>832.99</v>
      </c>
      <c r="F1183">
        <v>0.1</v>
      </c>
      <c r="G1183">
        <f t="shared" si="18"/>
        <v>832.89</v>
      </c>
      <c r="H1183" t="str">
        <f>_xlfn.XLOOKUP(C1183,products[Product_ID],products[Product_Name],"not found",0)</f>
        <v>Sun Bicycles Spider 3i - 2017</v>
      </c>
      <c r="I1183" t="e">
        <f>VLOOKUP(products!D1183,categories[#All],2,TRUE)</f>
        <v>#N/A</v>
      </c>
    </row>
    <row r="1184" spans="1:9" x14ac:dyDescent="0.3">
      <c r="A1184">
        <v>1183</v>
      </c>
      <c r="B1184">
        <v>1</v>
      </c>
      <c r="C1184">
        <v>63</v>
      </c>
      <c r="D1184">
        <v>1</v>
      </c>
      <c r="E1184">
        <v>3499.99</v>
      </c>
      <c r="F1184">
        <v>0.2</v>
      </c>
      <c r="G1184">
        <f t="shared" si="18"/>
        <v>3499.79</v>
      </c>
      <c r="H1184" t="str">
        <f>_xlfn.XLOOKUP(C1184,products[Product_ID],products[Product_Name],"not found",0)</f>
        <v>Trek Boone Race Shop Limited - 2017</v>
      </c>
      <c r="I1184" t="e">
        <f>VLOOKUP(products!D1184,categories[#All],2,TRUE)</f>
        <v>#N/A</v>
      </c>
    </row>
    <row r="1185" spans="1:9" x14ac:dyDescent="0.3">
      <c r="A1185">
        <v>1184</v>
      </c>
      <c r="B1185">
        <v>1</v>
      </c>
      <c r="C1185">
        <v>16</v>
      </c>
      <c r="D1185">
        <v>2</v>
      </c>
      <c r="E1185">
        <v>599.99</v>
      </c>
      <c r="F1185">
        <v>0.05</v>
      </c>
      <c r="G1185">
        <f t="shared" si="18"/>
        <v>1199.93</v>
      </c>
      <c r="H1185" t="str">
        <f>_xlfn.XLOOKUP(C1185,products[Product_ID],products[Product_Name],"not found",0)</f>
        <v>Electra Townie Original 7D EQ - 2016</v>
      </c>
      <c r="I1185" t="e">
        <f>VLOOKUP(products!D1185,categories[#All],2,TRUE)</f>
        <v>#N/A</v>
      </c>
    </row>
    <row r="1186" spans="1:9" x14ac:dyDescent="0.3">
      <c r="A1186">
        <v>1185</v>
      </c>
      <c r="B1186">
        <v>1</v>
      </c>
      <c r="C1186">
        <v>19</v>
      </c>
      <c r="D1186">
        <v>2</v>
      </c>
      <c r="E1186">
        <v>449</v>
      </c>
      <c r="F1186">
        <v>7.0000000000000007E-2</v>
      </c>
      <c r="G1186">
        <f t="shared" si="18"/>
        <v>897.93</v>
      </c>
      <c r="H1186" t="str">
        <f>_xlfn.XLOOKUP(C1186,products[Product_ID],products[Product_Name],"not found",0)</f>
        <v>Pure Cycles William 3-Speed - 2016</v>
      </c>
      <c r="I1186" t="e">
        <f>VLOOKUP(products!D1186,categories[#All],2,TRUE)</f>
        <v>#N/A</v>
      </c>
    </row>
    <row r="1187" spans="1:9" x14ac:dyDescent="0.3">
      <c r="A1187">
        <v>1186</v>
      </c>
      <c r="B1187">
        <v>1</v>
      </c>
      <c r="C1187">
        <v>48</v>
      </c>
      <c r="D1187">
        <v>2</v>
      </c>
      <c r="E1187">
        <v>1499.99</v>
      </c>
      <c r="F1187">
        <v>0.1</v>
      </c>
      <c r="G1187">
        <f t="shared" si="18"/>
        <v>2999.88</v>
      </c>
      <c r="H1187" t="str">
        <f>_xlfn.XLOOKUP(C1187,products[Product_ID],products[Product_Name],"not found",0)</f>
        <v>Trek Emonda S 4 - 2017</v>
      </c>
      <c r="I1187" t="e">
        <f>VLOOKUP(products!D1187,categories[#All],2,TRUE)</f>
        <v>#N/A</v>
      </c>
    </row>
    <row r="1188" spans="1:9" x14ac:dyDescent="0.3">
      <c r="A1188">
        <v>1187</v>
      </c>
      <c r="B1188">
        <v>1</v>
      </c>
      <c r="C1188">
        <v>36</v>
      </c>
      <c r="D1188">
        <v>2</v>
      </c>
      <c r="E1188">
        <v>832.99</v>
      </c>
      <c r="F1188">
        <v>0.1</v>
      </c>
      <c r="G1188">
        <f t="shared" si="18"/>
        <v>1665.88</v>
      </c>
      <c r="H1188" t="str">
        <f>_xlfn.XLOOKUP(C1188,products[Product_ID],products[Product_Name],"not found",0)</f>
        <v>Surly Troll Frameset - 2017</v>
      </c>
      <c r="I1188" t="e">
        <f>VLOOKUP(products!D1188,categories[#All],2,TRUE)</f>
        <v>#N/A</v>
      </c>
    </row>
    <row r="1189" spans="1:9" x14ac:dyDescent="0.3">
      <c r="A1189">
        <v>1188</v>
      </c>
      <c r="B1189">
        <v>1</v>
      </c>
      <c r="C1189">
        <v>66</v>
      </c>
      <c r="D1189">
        <v>2</v>
      </c>
      <c r="E1189">
        <v>250.99</v>
      </c>
      <c r="F1189">
        <v>0.1</v>
      </c>
      <c r="G1189">
        <f t="shared" si="18"/>
        <v>501.88</v>
      </c>
      <c r="H1189" t="str">
        <f>_xlfn.XLOOKUP(C1189,products[Product_ID],products[Product_Name],"not found",0)</f>
        <v>Sun Bicycles Revolutions 24 - 2017</v>
      </c>
      <c r="I1189" t="e">
        <f>VLOOKUP(products!D1189,categories[#All],2,TRUE)</f>
        <v>#N/A</v>
      </c>
    </row>
    <row r="1190" spans="1:9" x14ac:dyDescent="0.3">
      <c r="A1190">
        <v>1189</v>
      </c>
      <c r="B1190">
        <v>1</v>
      </c>
      <c r="C1190">
        <v>55</v>
      </c>
      <c r="D1190">
        <v>1</v>
      </c>
      <c r="E1190">
        <v>2699.99</v>
      </c>
      <c r="F1190">
        <v>7.0000000000000007E-2</v>
      </c>
      <c r="G1190">
        <f t="shared" si="18"/>
        <v>2699.9199999999996</v>
      </c>
      <c r="H1190" t="str">
        <f>_xlfn.XLOOKUP(C1190,products[Product_ID],products[Product_Name],"not found",0)</f>
        <v>Trek Domane S 6 - 2017</v>
      </c>
      <c r="I1190" t="e">
        <f>VLOOKUP(products!D1190,categories[#All],2,TRUE)</f>
        <v>#N/A</v>
      </c>
    </row>
    <row r="1191" spans="1:9" x14ac:dyDescent="0.3">
      <c r="A1191">
        <v>1190</v>
      </c>
      <c r="B1191">
        <v>1</v>
      </c>
      <c r="C1191">
        <v>71</v>
      </c>
      <c r="D1191">
        <v>1</v>
      </c>
      <c r="E1191">
        <v>416.99</v>
      </c>
      <c r="F1191">
        <v>7.0000000000000007E-2</v>
      </c>
      <c r="G1191">
        <f t="shared" si="18"/>
        <v>416.92</v>
      </c>
      <c r="H1191" t="str">
        <f>_xlfn.XLOOKUP(C1191,products[Product_ID],products[Product_Name],"not found",0)</f>
        <v>Sun Bicycles Atlas X-Type - 2017</v>
      </c>
      <c r="I1191" t="e">
        <f>VLOOKUP(products!D1191,categories[#All],2,TRUE)</f>
        <v>#N/A</v>
      </c>
    </row>
    <row r="1192" spans="1:9" x14ac:dyDescent="0.3">
      <c r="A1192">
        <v>1191</v>
      </c>
      <c r="B1192">
        <v>1</v>
      </c>
      <c r="C1192">
        <v>40</v>
      </c>
      <c r="D1192">
        <v>2</v>
      </c>
      <c r="E1192">
        <v>4999.99</v>
      </c>
      <c r="F1192">
        <v>0.1</v>
      </c>
      <c r="G1192">
        <f t="shared" si="18"/>
        <v>9999.8799999999992</v>
      </c>
      <c r="H1192" t="str">
        <f>_xlfn.XLOOKUP(C1192,products[Product_ID],products[Product_Name],"not found",0)</f>
        <v>Trek Fuel EX 9.8 29 - 2017</v>
      </c>
      <c r="I1192" t="e">
        <f>VLOOKUP(products!D1192,categories[#All],2,TRUE)</f>
        <v>#N/A</v>
      </c>
    </row>
    <row r="1193" spans="1:9" x14ac:dyDescent="0.3">
      <c r="A1193">
        <v>1192</v>
      </c>
      <c r="B1193">
        <v>1</v>
      </c>
      <c r="C1193">
        <v>24</v>
      </c>
      <c r="D1193">
        <v>2</v>
      </c>
      <c r="E1193">
        <v>549.99</v>
      </c>
      <c r="F1193">
        <v>0.1</v>
      </c>
      <c r="G1193">
        <f t="shared" si="18"/>
        <v>1099.8800000000001</v>
      </c>
      <c r="H1193" t="str">
        <f>_xlfn.XLOOKUP(C1193,products[Product_ID],products[Product_Name],"not found",0)</f>
        <v>Electra Townie Original 21D - 2016</v>
      </c>
      <c r="I1193" t="e">
        <f>VLOOKUP(products!D1193,categories[#All],2,TRUE)</f>
        <v>#N/A</v>
      </c>
    </row>
    <row r="1194" spans="1:9" x14ac:dyDescent="0.3">
      <c r="A1194">
        <v>1193</v>
      </c>
      <c r="B1194">
        <v>1</v>
      </c>
      <c r="C1194">
        <v>83</v>
      </c>
      <c r="D1194">
        <v>2</v>
      </c>
      <c r="E1194">
        <v>149.99</v>
      </c>
      <c r="F1194">
        <v>0.05</v>
      </c>
      <c r="G1194">
        <f t="shared" si="18"/>
        <v>299.93</v>
      </c>
      <c r="H1194" t="str">
        <f>_xlfn.XLOOKUP(C1194,products[Product_ID],products[Product_Name],"not found",0)</f>
        <v>Trek Boy's Kickster - 2015/2017</v>
      </c>
      <c r="I1194" t="e">
        <f>VLOOKUP(products!D1194,categories[#All],2,TRUE)</f>
        <v>#N/A</v>
      </c>
    </row>
    <row r="1195" spans="1:9" x14ac:dyDescent="0.3">
      <c r="A1195">
        <v>1194</v>
      </c>
      <c r="B1195">
        <v>1</v>
      </c>
      <c r="C1195">
        <v>71</v>
      </c>
      <c r="D1195">
        <v>1</v>
      </c>
      <c r="E1195">
        <v>416.99</v>
      </c>
      <c r="F1195">
        <v>0.05</v>
      </c>
      <c r="G1195">
        <f t="shared" si="18"/>
        <v>416.94</v>
      </c>
      <c r="H1195" t="str">
        <f>_xlfn.XLOOKUP(C1195,products[Product_ID],products[Product_Name],"not found",0)</f>
        <v>Sun Bicycles Atlas X-Type - 2017</v>
      </c>
      <c r="I1195" t="e">
        <f>VLOOKUP(products!D1195,categories[#All],2,TRUE)</f>
        <v>#N/A</v>
      </c>
    </row>
    <row r="1196" spans="1:9" x14ac:dyDescent="0.3">
      <c r="A1196">
        <v>1195</v>
      </c>
      <c r="B1196">
        <v>1</v>
      </c>
      <c r="C1196">
        <v>52</v>
      </c>
      <c r="D1196">
        <v>1</v>
      </c>
      <c r="E1196">
        <v>875.99</v>
      </c>
      <c r="F1196">
        <v>7.0000000000000007E-2</v>
      </c>
      <c r="G1196">
        <f t="shared" si="18"/>
        <v>875.92</v>
      </c>
      <c r="H1196" t="str">
        <f>_xlfn.XLOOKUP(C1196,products[Product_ID],products[Product_Name],"not found",0)</f>
        <v>Surly Steamroller - 2017</v>
      </c>
      <c r="I1196" t="e">
        <f>VLOOKUP(products!D1196,categories[#All],2,TRUE)</f>
        <v>#N/A</v>
      </c>
    </row>
    <row r="1197" spans="1:9" x14ac:dyDescent="0.3">
      <c r="A1197">
        <v>1196</v>
      </c>
      <c r="B1197">
        <v>1</v>
      </c>
      <c r="C1197">
        <v>53</v>
      </c>
      <c r="D1197">
        <v>1</v>
      </c>
      <c r="E1197">
        <v>749.99</v>
      </c>
      <c r="F1197">
        <v>7.0000000000000007E-2</v>
      </c>
      <c r="G1197">
        <f t="shared" si="18"/>
        <v>749.92</v>
      </c>
      <c r="H1197" t="str">
        <f>_xlfn.XLOOKUP(C1197,products[Product_ID],products[Product_Name],"not found",0)</f>
        <v>Surly Ogre Frameset - 2017</v>
      </c>
      <c r="I1197" t="e">
        <f>VLOOKUP(products!D1197,categories[#All],2,TRUE)</f>
        <v>#N/A</v>
      </c>
    </row>
    <row r="1198" spans="1:9" x14ac:dyDescent="0.3">
      <c r="A1198">
        <v>1197</v>
      </c>
      <c r="B1198">
        <v>1</v>
      </c>
      <c r="C1198">
        <v>13</v>
      </c>
      <c r="D1198">
        <v>1</v>
      </c>
      <c r="E1198">
        <v>269.99</v>
      </c>
      <c r="F1198">
        <v>7.0000000000000007E-2</v>
      </c>
      <c r="G1198">
        <f t="shared" si="18"/>
        <v>269.92</v>
      </c>
      <c r="H1198" t="str">
        <f>_xlfn.XLOOKUP(C1198,products[Product_ID],products[Product_Name],"not found",0)</f>
        <v>Electra Cruiser 1 (24-Inch) - 2016</v>
      </c>
      <c r="I1198" t="e">
        <f>VLOOKUP(products!D1198,categories[#All],2,TRUE)</f>
        <v>#N/A</v>
      </c>
    </row>
    <row r="1199" spans="1:9" x14ac:dyDescent="0.3">
      <c r="A1199">
        <v>1198</v>
      </c>
      <c r="B1199">
        <v>1</v>
      </c>
      <c r="C1199">
        <v>105</v>
      </c>
      <c r="D1199">
        <v>1</v>
      </c>
      <c r="E1199">
        <v>533.99</v>
      </c>
      <c r="F1199">
        <v>0.05</v>
      </c>
      <c r="G1199">
        <f t="shared" si="18"/>
        <v>533.94000000000005</v>
      </c>
      <c r="H1199" t="str">
        <f>_xlfn.XLOOKUP(C1199,products[Product_ID],products[Product_Name],"not found",0)</f>
        <v>Sun Bicycles Streamway 7 - 2017</v>
      </c>
      <c r="I1199" t="e">
        <f>VLOOKUP(products!D1199,categories[#All],2,TRUE)</f>
        <v>#N/A</v>
      </c>
    </row>
    <row r="1200" spans="1:9" x14ac:dyDescent="0.3">
      <c r="A1200">
        <v>1199</v>
      </c>
      <c r="B1200">
        <v>1</v>
      </c>
      <c r="C1200">
        <v>32</v>
      </c>
      <c r="D1200">
        <v>1</v>
      </c>
      <c r="E1200">
        <v>469.99</v>
      </c>
      <c r="F1200">
        <v>0.05</v>
      </c>
      <c r="G1200">
        <f t="shared" si="18"/>
        <v>469.94</v>
      </c>
      <c r="H1200" t="str">
        <f>_xlfn.XLOOKUP(C1200,products[Product_ID],products[Product_Name],"not found",0)</f>
        <v>Trek Farley Alloy Frameset - 2017</v>
      </c>
      <c r="I1200" t="e">
        <f>VLOOKUP(products!D1200,categories[#All],2,TRUE)</f>
        <v>#N/A</v>
      </c>
    </row>
    <row r="1201" spans="1:9" x14ac:dyDescent="0.3">
      <c r="A1201">
        <v>1200</v>
      </c>
      <c r="B1201">
        <v>1</v>
      </c>
      <c r="C1201">
        <v>42</v>
      </c>
      <c r="D1201">
        <v>2</v>
      </c>
      <c r="E1201">
        <v>2299.9899999999998</v>
      </c>
      <c r="F1201">
        <v>0.2</v>
      </c>
      <c r="G1201">
        <f t="shared" si="18"/>
        <v>4599.78</v>
      </c>
      <c r="H1201" t="str">
        <f>_xlfn.XLOOKUP(C1201,products[Product_ID],products[Product_Name],"not found",0)</f>
        <v>Trek Fuel EX 5 27.5 Plus - 2017</v>
      </c>
      <c r="I1201" t="e">
        <f>VLOOKUP(products!D1201,categories[#All],2,TRUE)</f>
        <v>#N/A</v>
      </c>
    </row>
    <row r="1202" spans="1:9" x14ac:dyDescent="0.3">
      <c r="A1202">
        <v>1201</v>
      </c>
      <c r="B1202">
        <v>1</v>
      </c>
      <c r="C1202">
        <v>95</v>
      </c>
      <c r="D1202">
        <v>1</v>
      </c>
      <c r="E1202">
        <v>299.99</v>
      </c>
      <c r="F1202">
        <v>7.0000000000000007E-2</v>
      </c>
      <c r="G1202">
        <f t="shared" si="18"/>
        <v>299.92</v>
      </c>
      <c r="H1202" t="str">
        <f>_xlfn.XLOOKUP(C1202,products[Product_ID],products[Product_Name],"not found",0)</f>
        <v>Electra Girl's Hawaii 1 16" - 2017</v>
      </c>
      <c r="I1202" t="e">
        <f>VLOOKUP(products!D1202,categories[#All],2,TRUE)</f>
        <v>#N/A</v>
      </c>
    </row>
    <row r="1203" spans="1:9" x14ac:dyDescent="0.3">
      <c r="A1203">
        <v>1202</v>
      </c>
      <c r="B1203">
        <v>1</v>
      </c>
      <c r="C1203">
        <v>84</v>
      </c>
      <c r="D1203">
        <v>2</v>
      </c>
      <c r="E1203">
        <v>109.99</v>
      </c>
      <c r="F1203">
        <v>0.05</v>
      </c>
      <c r="G1203">
        <f t="shared" si="18"/>
        <v>219.92999999999998</v>
      </c>
      <c r="H1203" t="str">
        <f>_xlfn.XLOOKUP(C1203,products[Product_ID],products[Product_Name],"not found",0)</f>
        <v>Sun Bicycles Lil Kitt'n - 2017</v>
      </c>
      <c r="I1203" t="e">
        <f>VLOOKUP(products!D1203,categories[#All],2,TRUE)</f>
        <v>#N/A</v>
      </c>
    </row>
    <row r="1204" spans="1:9" x14ac:dyDescent="0.3">
      <c r="A1204">
        <v>1203</v>
      </c>
      <c r="B1204">
        <v>1</v>
      </c>
      <c r="C1204">
        <v>6</v>
      </c>
      <c r="D1204">
        <v>2</v>
      </c>
      <c r="E1204">
        <v>469.99</v>
      </c>
      <c r="F1204">
        <v>7.0000000000000007E-2</v>
      </c>
      <c r="G1204">
        <f t="shared" si="18"/>
        <v>939.91</v>
      </c>
      <c r="H1204" t="str">
        <f>_xlfn.XLOOKUP(C1204,products[Product_ID],products[Product_Name],"not found",0)</f>
        <v>Surly Ice Cream Truck Frameset - 2016</v>
      </c>
      <c r="I1204" t="e">
        <f>VLOOKUP(products!D1204,categories[#All],2,TRUE)</f>
        <v>#N/A</v>
      </c>
    </row>
    <row r="1205" spans="1:9" x14ac:dyDescent="0.3">
      <c r="A1205">
        <v>1204</v>
      </c>
      <c r="B1205">
        <v>1</v>
      </c>
      <c r="C1205">
        <v>37</v>
      </c>
      <c r="D1205">
        <v>2</v>
      </c>
      <c r="E1205">
        <v>379.99</v>
      </c>
      <c r="F1205">
        <v>7.0000000000000007E-2</v>
      </c>
      <c r="G1205">
        <f t="shared" si="18"/>
        <v>759.91</v>
      </c>
      <c r="H1205" t="str">
        <f>_xlfn.XLOOKUP(C1205,products[Product_ID],products[Product_Name],"not found",0)</f>
        <v>Haro Flightline One ST - 2017</v>
      </c>
      <c r="I1205" t="e">
        <f>VLOOKUP(products!D1205,categories[#All],2,TRUE)</f>
        <v>#N/A</v>
      </c>
    </row>
    <row r="1206" spans="1:9" x14ac:dyDescent="0.3">
      <c r="A1206">
        <v>1205</v>
      </c>
      <c r="B1206">
        <v>1</v>
      </c>
      <c r="C1206">
        <v>105</v>
      </c>
      <c r="D1206">
        <v>2</v>
      </c>
      <c r="E1206">
        <v>533.99</v>
      </c>
      <c r="F1206">
        <v>0.2</v>
      </c>
      <c r="G1206">
        <f t="shared" si="18"/>
        <v>1067.78</v>
      </c>
      <c r="H1206" t="str">
        <f>_xlfn.XLOOKUP(C1206,products[Product_ID],products[Product_Name],"not found",0)</f>
        <v>Sun Bicycles Streamway 7 - 2017</v>
      </c>
      <c r="I1206" t="e">
        <f>VLOOKUP(products!D1206,categories[#All],2,TRUE)</f>
        <v>#N/A</v>
      </c>
    </row>
    <row r="1207" spans="1:9" x14ac:dyDescent="0.3">
      <c r="A1207">
        <v>1206</v>
      </c>
      <c r="B1207">
        <v>1</v>
      </c>
      <c r="C1207">
        <v>73</v>
      </c>
      <c r="D1207">
        <v>1</v>
      </c>
      <c r="E1207">
        <v>749.99</v>
      </c>
      <c r="F1207">
        <v>7.0000000000000007E-2</v>
      </c>
      <c r="G1207">
        <f t="shared" si="18"/>
        <v>749.92</v>
      </c>
      <c r="H1207" t="str">
        <f>_xlfn.XLOOKUP(C1207,products[Product_ID],products[Product_Name],"not found",0)</f>
        <v>Sun Bicycles Brickell Tandem 7 - 2017</v>
      </c>
      <c r="I1207" t="e">
        <f>VLOOKUP(products!D1207,categories[#All],2,TRUE)</f>
        <v>#N/A</v>
      </c>
    </row>
    <row r="1208" spans="1:9" x14ac:dyDescent="0.3">
      <c r="A1208">
        <v>1207</v>
      </c>
      <c r="B1208">
        <v>1</v>
      </c>
      <c r="C1208">
        <v>104</v>
      </c>
      <c r="D1208">
        <v>1</v>
      </c>
      <c r="E1208">
        <v>481.99</v>
      </c>
      <c r="F1208">
        <v>0.05</v>
      </c>
      <c r="G1208">
        <f t="shared" si="18"/>
        <v>481.94</v>
      </c>
      <c r="H1208" t="str">
        <f>_xlfn.XLOOKUP(C1208,products[Product_ID],products[Product_Name],"not found",0)</f>
        <v>Sun Bicycles Streamway - 2017</v>
      </c>
      <c r="I1208" t="e">
        <f>VLOOKUP(products!D1208,categories[#All],2,TRUE)</f>
        <v>#N/A</v>
      </c>
    </row>
    <row r="1209" spans="1:9" x14ac:dyDescent="0.3">
      <c r="A1209">
        <v>1208</v>
      </c>
      <c r="B1209">
        <v>1</v>
      </c>
      <c r="C1209">
        <v>12</v>
      </c>
      <c r="D1209">
        <v>1</v>
      </c>
      <c r="E1209">
        <v>549.99</v>
      </c>
      <c r="F1209">
        <v>0.2</v>
      </c>
      <c r="G1209">
        <f t="shared" si="18"/>
        <v>549.79</v>
      </c>
      <c r="H1209" t="str">
        <f>_xlfn.XLOOKUP(C1209,products[Product_ID],products[Product_Name],"not found",0)</f>
        <v>Electra Townie Original 21D - 2016</v>
      </c>
      <c r="I1209" t="e">
        <f>VLOOKUP(products!D1209,categories[#All],2,TRUE)</f>
        <v>#N/A</v>
      </c>
    </row>
    <row r="1210" spans="1:9" x14ac:dyDescent="0.3">
      <c r="A1210">
        <v>1209</v>
      </c>
      <c r="B1210">
        <v>1</v>
      </c>
      <c r="C1210">
        <v>89</v>
      </c>
      <c r="D1210">
        <v>1</v>
      </c>
      <c r="E1210">
        <v>209.99</v>
      </c>
      <c r="F1210">
        <v>7.0000000000000007E-2</v>
      </c>
      <c r="G1210">
        <f t="shared" si="18"/>
        <v>209.92000000000002</v>
      </c>
      <c r="H1210" t="str">
        <f>_xlfn.XLOOKUP(C1210,products[Product_ID],products[Product_Name],"not found",0)</f>
        <v>Trek Precaliber 16 Boys - 2017</v>
      </c>
      <c r="I1210" t="e">
        <f>VLOOKUP(products!D1210,categories[#All],2,TRUE)</f>
        <v>#N/A</v>
      </c>
    </row>
    <row r="1211" spans="1:9" x14ac:dyDescent="0.3">
      <c r="A1211">
        <v>1210</v>
      </c>
      <c r="B1211">
        <v>1</v>
      </c>
      <c r="C1211">
        <v>26</v>
      </c>
      <c r="D1211">
        <v>1</v>
      </c>
      <c r="E1211">
        <v>599.99</v>
      </c>
      <c r="F1211">
        <v>0.1</v>
      </c>
      <c r="G1211">
        <f t="shared" si="18"/>
        <v>599.89</v>
      </c>
      <c r="H1211" t="str">
        <f>_xlfn.XLOOKUP(C1211,products[Product_ID],products[Product_Name],"not found",0)</f>
        <v>Electra Townie Original 7D EQ - 2016</v>
      </c>
      <c r="I1211" t="e">
        <f>VLOOKUP(products!D1211,categories[#All],2,TRUE)</f>
        <v>#N/A</v>
      </c>
    </row>
    <row r="1212" spans="1:9" x14ac:dyDescent="0.3">
      <c r="A1212">
        <v>1211</v>
      </c>
      <c r="B1212">
        <v>1</v>
      </c>
      <c r="C1212">
        <v>15</v>
      </c>
      <c r="D1212">
        <v>2</v>
      </c>
      <c r="E1212">
        <v>529.99</v>
      </c>
      <c r="F1212">
        <v>0.2</v>
      </c>
      <c r="G1212">
        <f t="shared" si="18"/>
        <v>1059.78</v>
      </c>
      <c r="H1212" t="str">
        <f>_xlfn.XLOOKUP(C1212,products[Product_ID],products[Product_Name],"not found",0)</f>
        <v>Electra Moto 1 - 2016</v>
      </c>
      <c r="I1212" t="e">
        <f>VLOOKUP(products!D1212,categories[#All],2,TRUE)</f>
        <v>#N/A</v>
      </c>
    </row>
    <row r="1213" spans="1:9" x14ac:dyDescent="0.3">
      <c r="A1213">
        <v>1212</v>
      </c>
      <c r="B1213">
        <v>1</v>
      </c>
      <c r="C1213">
        <v>74</v>
      </c>
      <c r="D1213">
        <v>1</v>
      </c>
      <c r="E1213">
        <v>439.99</v>
      </c>
      <c r="F1213">
        <v>0.1</v>
      </c>
      <c r="G1213">
        <f t="shared" si="18"/>
        <v>439.89</v>
      </c>
      <c r="H1213" t="str">
        <f>_xlfn.XLOOKUP(C1213,products[Product_ID],products[Product_Name],"not found",0)</f>
        <v>Electra Cruiser Lux 1 - 2017</v>
      </c>
      <c r="I1213" t="e">
        <f>VLOOKUP(products!D1213,categories[#All],2,TRUE)</f>
        <v>#N/A</v>
      </c>
    </row>
    <row r="1214" spans="1:9" x14ac:dyDescent="0.3">
      <c r="A1214">
        <v>1213</v>
      </c>
      <c r="B1214">
        <v>1</v>
      </c>
      <c r="C1214">
        <v>64</v>
      </c>
      <c r="D1214">
        <v>2</v>
      </c>
      <c r="E1214">
        <v>489.99</v>
      </c>
      <c r="F1214">
        <v>7.0000000000000007E-2</v>
      </c>
      <c r="G1214">
        <f t="shared" si="18"/>
        <v>979.91</v>
      </c>
      <c r="H1214" t="str">
        <f>_xlfn.XLOOKUP(C1214,products[Product_ID],products[Product_Name],"not found",0)</f>
        <v>Electra Townie Original 7D - 2017</v>
      </c>
      <c r="I1214" t="e">
        <f>VLOOKUP(products!D1214,categories[#All],2,TRUE)</f>
        <v>#N/A</v>
      </c>
    </row>
    <row r="1215" spans="1:9" x14ac:dyDescent="0.3">
      <c r="A1215">
        <v>1214</v>
      </c>
      <c r="B1215">
        <v>1</v>
      </c>
      <c r="C1215">
        <v>9</v>
      </c>
      <c r="D1215">
        <v>2</v>
      </c>
      <c r="E1215">
        <v>2999.99</v>
      </c>
      <c r="F1215">
        <v>0.05</v>
      </c>
      <c r="G1215">
        <f t="shared" si="18"/>
        <v>5999.9299999999994</v>
      </c>
      <c r="H1215" t="str">
        <f>_xlfn.XLOOKUP(C1215,products[Product_ID],products[Product_Name],"not found",0)</f>
        <v>Trek Conduit+ - 2016</v>
      </c>
      <c r="I1215" t="e">
        <f>VLOOKUP(products!D1215,categories[#All],2,TRUE)</f>
        <v>#N/A</v>
      </c>
    </row>
    <row r="1216" spans="1:9" x14ac:dyDescent="0.3">
      <c r="A1216">
        <v>1215</v>
      </c>
      <c r="B1216">
        <v>1</v>
      </c>
      <c r="C1216">
        <v>73</v>
      </c>
      <c r="D1216">
        <v>2</v>
      </c>
      <c r="E1216">
        <v>749.99</v>
      </c>
      <c r="F1216">
        <v>0.1</v>
      </c>
      <c r="G1216">
        <f t="shared" si="18"/>
        <v>1499.88</v>
      </c>
      <c r="H1216" t="str">
        <f>_xlfn.XLOOKUP(C1216,products[Product_ID],products[Product_Name],"not found",0)</f>
        <v>Sun Bicycles Brickell Tandem 7 - 2017</v>
      </c>
      <c r="I1216" t="e">
        <f>VLOOKUP(products!D1216,categories[#All],2,TRUE)</f>
        <v>#N/A</v>
      </c>
    </row>
    <row r="1217" spans="1:9" x14ac:dyDescent="0.3">
      <c r="A1217">
        <v>1216</v>
      </c>
      <c r="B1217">
        <v>1</v>
      </c>
      <c r="C1217">
        <v>64</v>
      </c>
      <c r="D1217">
        <v>2</v>
      </c>
      <c r="E1217">
        <v>489.99</v>
      </c>
      <c r="F1217">
        <v>0.1</v>
      </c>
      <c r="G1217">
        <f t="shared" si="18"/>
        <v>979.88</v>
      </c>
      <c r="H1217" t="str">
        <f>_xlfn.XLOOKUP(C1217,products[Product_ID],products[Product_Name],"not found",0)</f>
        <v>Electra Townie Original 7D - 2017</v>
      </c>
      <c r="I1217" t="e">
        <f>VLOOKUP(products!D1217,categories[#All],2,TRUE)</f>
        <v>#N/A</v>
      </c>
    </row>
    <row r="1218" spans="1:9" x14ac:dyDescent="0.3">
      <c r="A1218">
        <v>1217</v>
      </c>
      <c r="B1218">
        <v>1</v>
      </c>
      <c r="C1218">
        <v>73</v>
      </c>
      <c r="D1218">
        <v>1</v>
      </c>
      <c r="E1218">
        <v>749.99</v>
      </c>
      <c r="F1218">
        <v>0.05</v>
      </c>
      <c r="G1218">
        <f t="shared" ref="G1218:G1281" si="19">(E1218*D1218)-F1218</f>
        <v>749.94</v>
      </c>
      <c r="H1218" t="str">
        <f>_xlfn.XLOOKUP(C1218,products[Product_ID],products[Product_Name],"not found",0)</f>
        <v>Sun Bicycles Brickell Tandem 7 - 2017</v>
      </c>
      <c r="I1218" t="e">
        <f>VLOOKUP(products!D1218,categories[#All],2,TRUE)</f>
        <v>#N/A</v>
      </c>
    </row>
    <row r="1219" spans="1:9" x14ac:dyDescent="0.3">
      <c r="A1219">
        <v>1218</v>
      </c>
      <c r="B1219">
        <v>1</v>
      </c>
      <c r="C1219">
        <v>32</v>
      </c>
      <c r="D1219">
        <v>1</v>
      </c>
      <c r="E1219">
        <v>469.99</v>
      </c>
      <c r="F1219">
        <v>7.0000000000000007E-2</v>
      </c>
      <c r="G1219">
        <f t="shared" si="19"/>
        <v>469.92</v>
      </c>
      <c r="H1219" t="str">
        <f>_xlfn.XLOOKUP(C1219,products[Product_ID],products[Product_Name],"not found",0)</f>
        <v>Trek Farley Alloy Frameset - 2017</v>
      </c>
      <c r="I1219" t="e">
        <f>VLOOKUP(products!D1219,categories[#All],2,TRUE)</f>
        <v>#N/A</v>
      </c>
    </row>
    <row r="1220" spans="1:9" x14ac:dyDescent="0.3">
      <c r="A1220">
        <v>1219</v>
      </c>
      <c r="B1220">
        <v>1</v>
      </c>
      <c r="C1220">
        <v>17</v>
      </c>
      <c r="D1220">
        <v>2</v>
      </c>
      <c r="E1220">
        <v>429</v>
      </c>
      <c r="F1220">
        <v>7.0000000000000007E-2</v>
      </c>
      <c r="G1220">
        <f t="shared" si="19"/>
        <v>857.93</v>
      </c>
      <c r="H1220" t="str">
        <f>_xlfn.XLOOKUP(C1220,products[Product_ID],products[Product_Name],"not found",0)</f>
        <v>Pure Cycles Vine 8-Speed - 2016</v>
      </c>
      <c r="I1220" t="e">
        <f>VLOOKUP(products!D1220,categories[#All],2,TRUE)</f>
        <v>#N/A</v>
      </c>
    </row>
    <row r="1221" spans="1:9" x14ac:dyDescent="0.3">
      <c r="A1221">
        <v>1220</v>
      </c>
      <c r="B1221">
        <v>1</v>
      </c>
      <c r="C1221">
        <v>47</v>
      </c>
      <c r="D1221">
        <v>2</v>
      </c>
      <c r="E1221">
        <v>5299.99</v>
      </c>
      <c r="F1221">
        <v>0.1</v>
      </c>
      <c r="G1221">
        <f t="shared" si="19"/>
        <v>10599.88</v>
      </c>
      <c r="H1221" t="str">
        <f>_xlfn.XLOOKUP(C1221,products[Product_ID],products[Product_Name],"not found",0)</f>
        <v>Trek Remedy 9.8 - 2017</v>
      </c>
      <c r="I1221" t="e">
        <f>VLOOKUP(products!D1221,categories[#All],2,TRUE)</f>
        <v>#N/A</v>
      </c>
    </row>
    <row r="1222" spans="1:9" x14ac:dyDescent="0.3">
      <c r="A1222">
        <v>1221</v>
      </c>
      <c r="B1222">
        <v>1</v>
      </c>
      <c r="C1222">
        <v>100</v>
      </c>
      <c r="D1222">
        <v>1</v>
      </c>
      <c r="E1222">
        <v>489.99</v>
      </c>
      <c r="F1222">
        <v>0.05</v>
      </c>
      <c r="G1222">
        <f t="shared" si="19"/>
        <v>489.94</v>
      </c>
      <c r="H1222" t="str">
        <f>_xlfn.XLOOKUP(C1222,products[Product_ID],products[Product_Name],"not found",0)</f>
        <v>Electra Townie 3i EQ (20-inch) - Boys' - 2017</v>
      </c>
      <c r="I1222" t="e">
        <f>VLOOKUP(products!D1222,categories[#All],2,TRUE)</f>
        <v>#N/A</v>
      </c>
    </row>
    <row r="1223" spans="1:9" x14ac:dyDescent="0.3">
      <c r="A1223">
        <v>1222</v>
      </c>
      <c r="B1223">
        <v>1</v>
      </c>
      <c r="C1223">
        <v>97</v>
      </c>
      <c r="D1223">
        <v>1</v>
      </c>
      <c r="E1223">
        <v>349.99</v>
      </c>
      <c r="F1223">
        <v>0.2</v>
      </c>
      <c r="G1223">
        <f t="shared" si="19"/>
        <v>349.79</v>
      </c>
      <c r="H1223" t="str">
        <f>_xlfn.XLOOKUP(C1223,products[Product_ID],products[Product_Name],"not found",0)</f>
        <v>Electra Savannah 3i (20-inch) - Girl's - 2017</v>
      </c>
      <c r="I1223" t="e">
        <f>VLOOKUP(products!D1223,categories[#All],2,TRUE)</f>
        <v>#N/A</v>
      </c>
    </row>
    <row r="1224" spans="1:9" x14ac:dyDescent="0.3">
      <c r="A1224">
        <v>1223</v>
      </c>
      <c r="B1224">
        <v>1</v>
      </c>
      <c r="C1224">
        <v>103</v>
      </c>
      <c r="D1224">
        <v>1</v>
      </c>
      <c r="E1224">
        <v>551.99</v>
      </c>
      <c r="F1224">
        <v>0.05</v>
      </c>
      <c r="G1224">
        <f t="shared" si="19"/>
        <v>551.94000000000005</v>
      </c>
      <c r="H1224" t="str">
        <f>_xlfn.XLOOKUP(C1224,products[Product_ID],products[Product_Name],"not found",0)</f>
        <v>Sun Bicycles Streamway 3 - 2017</v>
      </c>
      <c r="I1224" t="e">
        <f>VLOOKUP(products!D1224,categories[#All],2,TRUE)</f>
        <v>#N/A</v>
      </c>
    </row>
    <row r="1225" spans="1:9" x14ac:dyDescent="0.3">
      <c r="A1225">
        <v>1224</v>
      </c>
      <c r="B1225">
        <v>1</v>
      </c>
      <c r="C1225">
        <v>62</v>
      </c>
      <c r="D1225">
        <v>1</v>
      </c>
      <c r="E1225">
        <v>3499.99</v>
      </c>
      <c r="F1225">
        <v>7.0000000000000007E-2</v>
      </c>
      <c r="G1225">
        <f t="shared" si="19"/>
        <v>3499.9199999999996</v>
      </c>
      <c r="H1225" t="str">
        <f>_xlfn.XLOOKUP(C1225,products[Product_ID],products[Product_Name],"not found",0)</f>
        <v>Trek Boone 7 - 2017</v>
      </c>
      <c r="I1225" t="e">
        <f>VLOOKUP(products!D1225,categories[#All],2,TRUE)</f>
        <v>#N/A</v>
      </c>
    </row>
    <row r="1226" spans="1:9" x14ac:dyDescent="0.3">
      <c r="A1226">
        <v>1225</v>
      </c>
      <c r="B1226">
        <v>1</v>
      </c>
      <c r="C1226">
        <v>81</v>
      </c>
      <c r="D1226">
        <v>1</v>
      </c>
      <c r="E1226">
        <v>1099.99</v>
      </c>
      <c r="F1226">
        <v>0.1</v>
      </c>
      <c r="G1226">
        <f t="shared" si="19"/>
        <v>1099.8900000000001</v>
      </c>
      <c r="H1226" t="str">
        <f>_xlfn.XLOOKUP(C1226,products[Product_ID],products[Product_Name],"not found",0)</f>
        <v>Electra Amsterdam Fashion 7i Ladies' - 2017</v>
      </c>
      <c r="I1226" t="e">
        <f>VLOOKUP(products!D1226,categories[#All],2,TRUE)</f>
        <v>#N/A</v>
      </c>
    </row>
    <row r="1227" spans="1:9" x14ac:dyDescent="0.3">
      <c r="A1227">
        <v>1226</v>
      </c>
      <c r="B1227">
        <v>1</v>
      </c>
      <c r="C1227">
        <v>77</v>
      </c>
      <c r="D1227">
        <v>2</v>
      </c>
      <c r="E1227">
        <v>799.99</v>
      </c>
      <c r="F1227">
        <v>0.05</v>
      </c>
      <c r="G1227">
        <f t="shared" si="19"/>
        <v>1599.93</v>
      </c>
      <c r="H1227" t="str">
        <f>_xlfn.XLOOKUP(C1227,products[Product_ID],products[Product_Name],"not found",0)</f>
        <v>Electra Glam Punk 3i Ladies' - 2017</v>
      </c>
      <c r="I1227" t="e">
        <f>VLOOKUP(products!D1227,categories[#All],2,TRUE)</f>
        <v>#N/A</v>
      </c>
    </row>
    <row r="1228" spans="1:9" x14ac:dyDescent="0.3">
      <c r="A1228">
        <v>1227</v>
      </c>
      <c r="B1228">
        <v>1</v>
      </c>
      <c r="C1228">
        <v>90</v>
      </c>
      <c r="D1228">
        <v>2</v>
      </c>
      <c r="E1228">
        <v>209.99</v>
      </c>
      <c r="F1228">
        <v>0.2</v>
      </c>
      <c r="G1228">
        <f t="shared" si="19"/>
        <v>419.78000000000003</v>
      </c>
      <c r="H1228" t="str">
        <f>_xlfn.XLOOKUP(C1228,products[Product_ID],products[Product_Name],"not found",0)</f>
        <v>Trek Precaliber 16 Girls - 2017</v>
      </c>
      <c r="I1228" t="e">
        <f>VLOOKUP(products!D1228,categories[#All],2,TRUE)</f>
        <v>#N/A</v>
      </c>
    </row>
    <row r="1229" spans="1:9" x14ac:dyDescent="0.3">
      <c r="A1229">
        <v>1228</v>
      </c>
      <c r="B1229">
        <v>1</v>
      </c>
      <c r="C1229">
        <v>92</v>
      </c>
      <c r="D1229">
        <v>1</v>
      </c>
      <c r="E1229">
        <v>209.99</v>
      </c>
      <c r="F1229">
        <v>0.2</v>
      </c>
      <c r="G1229">
        <f t="shared" si="19"/>
        <v>209.79000000000002</v>
      </c>
      <c r="H1229" t="str">
        <f>_xlfn.XLOOKUP(C1229,products[Product_ID],products[Product_Name],"not found",0)</f>
        <v>Haro Shredder 20 - 2017</v>
      </c>
      <c r="I1229" t="e">
        <f>VLOOKUP(products!D1229,categories[#All],2,TRUE)</f>
        <v>#N/A</v>
      </c>
    </row>
    <row r="1230" spans="1:9" x14ac:dyDescent="0.3">
      <c r="A1230">
        <v>1229</v>
      </c>
      <c r="B1230">
        <v>1</v>
      </c>
      <c r="C1230">
        <v>36</v>
      </c>
      <c r="D1230">
        <v>2</v>
      </c>
      <c r="E1230">
        <v>832.99</v>
      </c>
      <c r="F1230">
        <v>7.0000000000000007E-2</v>
      </c>
      <c r="G1230">
        <f t="shared" si="19"/>
        <v>1665.91</v>
      </c>
      <c r="H1230" t="str">
        <f>_xlfn.XLOOKUP(C1230,products[Product_ID],products[Product_Name],"not found",0)</f>
        <v>Surly Troll Frameset - 2017</v>
      </c>
      <c r="I1230" t="e">
        <f>VLOOKUP(products!D1230,categories[#All],2,TRUE)</f>
        <v>#N/A</v>
      </c>
    </row>
    <row r="1231" spans="1:9" x14ac:dyDescent="0.3">
      <c r="A1231">
        <v>1230</v>
      </c>
      <c r="B1231">
        <v>1</v>
      </c>
      <c r="C1231">
        <v>32</v>
      </c>
      <c r="D1231">
        <v>2</v>
      </c>
      <c r="E1231">
        <v>469.99</v>
      </c>
      <c r="F1231">
        <v>0.1</v>
      </c>
      <c r="G1231">
        <f t="shared" si="19"/>
        <v>939.88</v>
      </c>
      <c r="H1231" t="str">
        <f>_xlfn.XLOOKUP(C1231,products[Product_ID],products[Product_Name],"not found",0)</f>
        <v>Trek Farley Alloy Frameset - 2017</v>
      </c>
      <c r="I1231" t="e">
        <f>VLOOKUP(products!D1231,categories[#All],2,TRUE)</f>
        <v>#N/A</v>
      </c>
    </row>
    <row r="1232" spans="1:9" x14ac:dyDescent="0.3">
      <c r="A1232">
        <v>1231</v>
      </c>
      <c r="B1232">
        <v>1</v>
      </c>
      <c r="C1232">
        <v>75</v>
      </c>
      <c r="D1232">
        <v>2</v>
      </c>
      <c r="E1232">
        <v>599.99</v>
      </c>
      <c r="F1232">
        <v>0.05</v>
      </c>
      <c r="G1232">
        <f t="shared" si="19"/>
        <v>1199.93</v>
      </c>
      <c r="H1232" t="str">
        <f>_xlfn.XLOOKUP(C1232,products[Product_ID],products[Product_Name],"not found",0)</f>
        <v>Electra Cruiser Lux Fat Tire 1 Ladies - 2017</v>
      </c>
      <c r="I1232" t="e">
        <f>VLOOKUP(products!D1232,categories[#All],2,TRUE)</f>
        <v>#N/A</v>
      </c>
    </row>
    <row r="1233" spans="1:9" x14ac:dyDescent="0.3">
      <c r="A1233">
        <v>1232</v>
      </c>
      <c r="B1233">
        <v>1</v>
      </c>
      <c r="C1233">
        <v>4</v>
      </c>
      <c r="D1233">
        <v>2</v>
      </c>
      <c r="E1233">
        <v>2899.99</v>
      </c>
      <c r="F1233">
        <v>7.0000000000000007E-2</v>
      </c>
      <c r="G1233">
        <f t="shared" si="19"/>
        <v>5799.91</v>
      </c>
      <c r="H1233" t="str">
        <f>_xlfn.XLOOKUP(C1233,products[Product_ID],products[Product_Name],"not found",0)</f>
        <v>Trek Fuel EX 8 29 - 2016</v>
      </c>
      <c r="I1233" t="e">
        <f>VLOOKUP(products!D1233,categories[#All],2,TRUE)</f>
        <v>#N/A</v>
      </c>
    </row>
    <row r="1234" spans="1:9" x14ac:dyDescent="0.3">
      <c r="A1234">
        <v>1233</v>
      </c>
      <c r="B1234">
        <v>1</v>
      </c>
      <c r="C1234">
        <v>87</v>
      </c>
      <c r="D1234">
        <v>2</v>
      </c>
      <c r="E1234">
        <v>189.99</v>
      </c>
      <c r="F1234">
        <v>0.2</v>
      </c>
      <c r="G1234">
        <f t="shared" si="19"/>
        <v>379.78000000000003</v>
      </c>
      <c r="H1234" t="str">
        <f>_xlfn.XLOOKUP(C1234,products[Product_ID],products[Product_Name],"not found",0)</f>
        <v>Trek Precaliber 12 Boys - 2017</v>
      </c>
      <c r="I1234" t="e">
        <f>VLOOKUP(products!D1234,categories[#All],2,TRUE)</f>
        <v>#N/A</v>
      </c>
    </row>
    <row r="1235" spans="1:9" x14ac:dyDescent="0.3">
      <c r="A1235">
        <v>1234</v>
      </c>
      <c r="B1235">
        <v>1</v>
      </c>
      <c r="C1235">
        <v>56</v>
      </c>
      <c r="D1235">
        <v>2</v>
      </c>
      <c r="E1235">
        <v>5499.99</v>
      </c>
      <c r="F1235">
        <v>7.0000000000000007E-2</v>
      </c>
      <c r="G1235">
        <f t="shared" si="19"/>
        <v>10999.91</v>
      </c>
      <c r="H1235" t="str">
        <f>_xlfn.XLOOKUP(C1235,products[Product_ID],products[Product_Name],"not found",0)</f>
        <v>Trek Domane SLR 6 Disc - 2017</v>
      </c>
      <c r="I1235" t="e">
        <f>VLOOKUP(products!D1235,categories[#All],2,TRUE)</f>
        <v>#N/A</v>
      </c>
    </row>
    <row r="1236" spans="1:9" x14ac:dyDescent="0.3">
      <c r="A1236">
        <v>1235</v>
      </c>
      <c r="B1236">
        <v>1</v>
      </c>
      <c r="C1236">
        <v>7</v>
      </c>
      <c r="D1236">
        <v>1</v>
      </c>
      <c r="E1236">
        <v>3999.99</v>
      </c>
      <c r="F1236">
        <v>0.1</v>
      </c>
      <c r="G1236">
        <f t="shared" si="19"/>
        <v>3999.89</v>
      </c>
      <c r="H1236" t="str">
        <f>_xlfn.XLOOKUP(C1236,products[Product_ID],products[Product_Name],"not found",0)</f>
        <v>Trek Slash 8 27.5 - 2016</v>
      </c>
      <c r="I1236" t="e">
        <f>VLOOKUP(products!D1236,categories[#All],2,TRUE)</f>
        <v>#N/A</v>
      </c>
    </row>
    <row r="1237" spans="1:9" x14ac:dyDescent="0.3">
      <c r="A1237">
        <v>1236</v>
      </c>
      <c r="B1237">
        <v>1</v>
      </c>
      <c r="C1237">
        <v>60</v>
      </c>
      <c r="D1237">
        <v>1</v>
      </c>
      <c r="E1237">
        <v>1559.99</v>
      </c>
      <c r="F1237">
        <v>7.0000000000000007E-2</v>
      </c>
      <c r="G1237">
        <f t="shared" si="19"/>
        <v>1559.92</v>
      </c>
      <c r="H1237" t="str">
        <f>_xlfn.XLOOKUP(C1237,products[Product_ID],products[Product_Name],"not found",0)</f>
        <v>Sun Bicycles ElectroLite - 2017</v>
      </c>
      <c r="I1237" t="e">
        <f>VLOOKUP(products!D1237,categories[#All],2,TRUE)</f>
        <v>#N/A</v>
      </c>
    </row>
    <row r="1238" spans="1:9" x14ac:dyDescent="0.3">
      <c r="A1238">
        <v>1237</v>
      </c>
      <c r="B1238">
        <v>1</v>
      </c>
      <c r="C1238">
        <v>23</v>
      </c>
      <c r="D1238">
        <v>1</v>
      </c>
      <c r="E1238">
        <v>299.99</v>
      </c>
      <c r="F1238">
        <v>0.1</v>
      </c>
      <c r="G1238">
        <f t="shared" si="19"/>
        <v>299.89</v>
      </c>
      <c r="H1238" t="str">
        <f>_xlfn.XLOOKUP(C1238,products[Product_ID],products[Product_Name],"not found",0)</f>
        <v>Electra Girl's Hawaii 1 (20-inch) - 2015/2016</v>
      </c>
      <c r="I1238" t="e">
        <f>VLOOKUP(products!D1238,categories[#All],2,TRUE)</f>
        <v>#N/A</v>
      </c>
    </row>
    <row r="1239" spans="1:9" x14ac:dyDescent="0.3">
      <c r="A1239">
        <v>1238</v>
      </c>
      <c r="B1239">
        <v>1</v>
      </c>
      <c r="C1239">
        <v>40</v>
      </c>
      <c r="D1239">
        <v>1</v>
      </c>
      <c r="E1239">
        <v>4999.99</v>
      </c>
      <c r="F1239">
        <v>0.1</v>
      </c>
      <c r="G1239">
        <f t="shared" si="19"/>
        <v>4999.8899999999994</v>
      </c>
      <c r="H1239" t="str">
        <f>_xlfn.XLOOKUP(C1239,products[Product_ID],products[Product_Name],"not found",0)</f>
        <v>Trek Fuel EX 9.8 29 - 2017</v>
      </c>
      <c r="I1239" t="e">
        <f>VLOOKUP(products!D1239,categories[#All],2,TRUE)</f>
        <v>#N/A</v>
      </c>
    </row>
    <row r="1240" spans="1:9" x14ac:dyDescent="0.3">
      <c r="A1240">
        <v>1239</v>
      </c>
      <c r="B1240">
        <v>1</v>
      </c>
      <c r="C1240">
        <v>15</v>
      </c>
      <c r="D1240">
        <v>2</v>
      </c>
      <c r="E1240">
        <v>529.99</v>
      </c>
      <c r="F1240">
        <v>0.2</v>
      </c>
      <c r="G1240">
        <f t="shared" si="19"/>
        <v>1059.78</v>
      </c>
      <c r="H1240" t="str">
        <f>_xlfn.XLOOKUP(C1240,products[Product_ID],products[Product_Name],"not found",0)</f>
        <v>Electra Moto 1 - 2016</v>
      </c>
      <c r="I1240" t="e">
        <f>VLOOKUP(products!D1240,categories[#All],2,TRUE)</f>
        <v>#N/A</v>
      </c>
    </row>
    <row r="1241" spans="1:9" x14ac:dyDescent="0.3">
      <c r="A1241">
        <v>1240</v>
      </c>
      <c r="B1241">
        <v>1</v>
      </c>
      <c r="C1241">
        <v>107</v>
      </c>
      <c r="D1241">
        <v>2</v>
      </c>
      <c r="E1241">
        <v>416.99</v>
      </c>
      <c r="F1241">
        <v>0.1</v>
      </c>
      <c r="G1241">
        <f t="shared" si="19"/>
        <v>833.88</v>
      </c>
      <c r="H1241" t="str">
        <f>_xlfn.XLOOKUP(C1241,products[Product_ID],products[Product_Name],"not found",0)</f>
        <v>Sun Bicycles Cruz 7 - 2017</v>
      </c>
      <c r="I1241" t="e">
        <f>VLOOKUP(products!D1241,categories[#All],2,TRUE)</f>
        <v>#N/A</v>
      </c>
    </row>
    <row r="1242" spans="1:9" x14ac:dyDescent="0.3">
      <c r="A1242">
        <v>1241</v>
      </c>
      <c r="B1242">
        <v>1</v>
      </c>
      <c r="C1242">
        <v>74</v>
      </c>
      <c r="D1242">
        <v>1</v>
      </c>
      <c r="E1242">
        <v>439.99</v>
      </c>
      <c r="F1242">
        <v>0.05</v>
      </c>
      <c r="G1242">
        <f t="shared" si="19"/>
        <v>439.94</v>
      </c>
      <c r="H1242" t="str">
        <f>_xlfn.XLOOKUP(C1242,products[Product_ID],products[Product_Name],"not found",0)</f>
        <v>Electra Cruiser Lux 1 - 2017</v>
      </c>
      <c r="I1242" t="e">
        <f>VLOOKUP(products!D1242,categories[#All],2,TRUE)</f>
        <v>#N/A</v>
      </c>
    </row>
    <row r="1243" spans="1:9" x14ac:dyDescent="0.3">
      <c r="A1243">
        <v>1242</v>
      </c>
      <c r="B1243">
        <v>1</v>
      </c>
      <c r="C1243">
        <v>94</v>
      </c>
      <c r="D1243">
        <v>1</v>
      </c>
      <c r="E1243">
        <v>249.99</v>
      </c>
      <c r="F1243">
        <v>0.05</v>
      </c>
      <c r="G1243">
        <f t="shared" si="19"/>
        <v>249.94</v>
      </c>
      <c r="H1243" t="str">
        <f>_xlfn.XLOOKUP(C1243,products[Product_ID],products[Product_Name],"not found",0)</f>
        <v>Haro Shredder Pro 20 - 2017</v>
      </c>
      <c r="I1243" t="e">
        <f>VLOOKUP(products!D1243,categories[#All],2,TRUE)</f>
        <v>#N/A</v>
      </c>
    </row>
    <row r="1244" spans="1:9" x14ac:dyDescent="0.3">
      <c r="A1244">
        <v>1243</v>
      </c>
      <c r="B1244">
        <v>1</v>
      </c>
      <c r="C1244">
        <v>44</v>
      </c>
      <c r="D1244">
        <v>1</v>
      </c>
      <c r="E1244">
        <v>539.99</v>
      </c>
      <c r="F1244">
        <v>7.0000000000000007E-2</v>
      </c>
      <c r="G1244">
        <f t="shared" si="19"/>
        <v>539.91999999999996</v>
      </c>
      <c r="H1244" t="str">
        <f>_xlfn.XLOOKUP(C1244,products[Product_ID],products[Product_Name],"not found",0)</f>
        <v>Haro SR 1.1 - 2017</v>
      </c>
      <c r="I1244" t="e">
        <f>VLOOKUP(products!D1244,categories[#All],2,TRUE)</f>
        <v>#N/A</v>
      </c>
    </row>
    <row r="1245" spans="1:9" x14ac:dyDescent="0.3">
      <c r="A1245">
        <v>1244</v>
      </c>
      <c r="B1245">
        <v>1</v>
      </c>
      <c r="C1245">
        <v>45</v>
      </c>
      <c r="D1245">
        <v>1</v>
      </c>
      <c r="E1245">
        <v>869.99</v>
      </c>
      <c r="F1245">
        <v>0.2</v>
      </c>
      <c r="G1245">
        <f t="shared" si="19"/>
        <v>869.79</v>
      </c>
      <c r="H1245" t="str">
        <f>_xlfn.XLOOKUP(C1245,products[Product_ID],products[Product_Name],"not found",0)</f>
        <v>Haro SR 1.2 - 2017</v>
      </c>
      <c r="I1245" t="e">
        <f>VLOOKUP(products!D1245,categories[#All],2,TRUE)</f>
        <v>#N/A</v>
      </c>
    </row>
    <row r="1246" spans="1:9" x14ac:dyDescent="0.3">
      <c r="A1246">
        <v>1245</v>
      </c>
      <c r="B1246">
        <v>1</v>
      </c>
      <c r="C1246">
        <v>13</v>
      </c>
      <c r="D1246">
        <v>1</v>
      </c>
      <c r="E1246">
        <v>269.99</v>
      </c>
      <c r="F1246">
        <v>0.1</v>
      </c>
      <c r="G1246">
        <f t="shared" si="19"/>
        <v>269.89</v>
      </c>
      <c r="H1246" t="str">
        <f>_xlfn.XLOOKUP(C1246,products[Product_ID],products[Product_Name],"not found",0)</f>
        <v>Electra Cruiser 1 (24-Inch) - 2016</v>
      </c>
      <c r="I1246" t="e">
        <f>VLOOKUP(products!D1246,categories[#All],2,TRUE)</f>
        <v>#N/A</v>
      </c>
    </row>
    <row r="1247" spans="1:9" x14ac:dyDescent="0.3">
      <c r="A1247">
        <v>1246</v>
      </c>
      <c r="B1247">
        <v>1</v>
      </c>
      <c r="C1247">
        <v>78</v>
      </c>
      <c r="D1247">
        <v>2</v>
      </c>
      <c r="E1247">
        <v>647.99</v>
      </c>
      <c r="F1247">
        <v>0.2</v>
      </c>
      <c r="G1247">
        <f t="shared" si="19"/>
        <v>1295.78</v>
      </c>
      <c r="H1247" t="str">
        <f>_xlfn.XLOOKUP(C1247,products[Product_ID],products[Product_Name],"not found",0)</f>
        <v>Sun Bicycles Biscayne Tandem CB - 2017</v>
      </c>
      <c r="I1247" t="e">
        <f>VLOOKUP(products!D1247,categories[#All],2,TRUE)</f>
        <v>#N/A</v>
      </c>
    </row>
    <row r="1248" spans="1:9" x14ac:dyDescent="0.3">
      <c r="A1248">
        <v>1247</v>
      </c>
      <c r="B1248">
        <v>1</v>
      </c>
      <c r="C1248">
        <v>15</v>
      </c>
      <c r="D1248">
        <v>2</v>
      </c>
      <c r="E1248">
        <v>529.99</v>
      </c>
      <c r="F1248">
        <v>0.1</v>
      </c>
      <c r="G1248">
        <f t="shared" si="19"/>
        <v>1059.8800000000001</v>
      </c>
      <c r="H1248" t="str">
        <f>_xlfn.XLOOKUP(C1248,products[Product_ID],products[Product_Name],"not found",0)</f>
        <v>Electra Moto 1 - 2016</v>
      </c>
      <c r="I1248" t="e">
        <f>VLOOKUP(products!D1248,categories[#All],2,TRUE)</f>
        <v>#N/A</v>
      </c>
    </row>
    <row r="1249" spans="1:9" x14ac:dyDescent="0.3">
      <c r="A1249">
        <v>1248</v>
      </c>
      <c r="B1249">
        <v>1</v>
      </c>
      <c r="C1249">
        <v>94</v>
      </c>
      <c r="D1249">
        <v>2</v>
      </c>
      <c r="E1249">
        <v>249.99</v>
      </c>
      <c r="F1249">
        <v>0.05</v>
      </c>
      <c r="G1249">
        <f t="shared" si="19"/>
        <v>499.93</v>
      </c>
      <c r="H1249" t="str">
        <f>_xlfn.XLOOKUP(C1249,products[Product_ID],products[Product_Name],"not found",0)</f>
        <v>Haro Shredder Pro 20 - 2017</v>
      </c>
      <c r="I1249" t="e">
        <f>VLOOKUP(products!D1249,categories[#All],2,TRUE)</f>
        <v>#N/A</v>
      </c>
    </row>
    <row r="1250" spans="1:9" x14ac:dyDescent="0.3">
      <c r="A1250">
        <v>1249</v>
      </c>
      <c r="B1250">
        <v>1</v>
      </c>
      <c r="C1250">
        <v>62</v>
      </c>
      <c r="D1250">
        <v>1</v>
      </c>
      <c r="E1250">
        <v>3499.99</v>
      </c>
      <c r="F1250">
        <v>0.05</v>
      </c>
      <c r="G1250">
        <f t="shared" si="19"/>
        <v>3499.9399999999996</v>
      </c>
      <c r="H1250" t="str">
        <f>_xlfn.XLOOKUP(C1250,products[Product_ID],products[Product_Name],"not found",0)</f>
        <v>Trek Boone 7 - 2017</v>
      </c>
      <c r="I1250" t="e">
        <f>VLOOKUP(products!D1250,categories[#All],2,TRUE)</f>
        <v>#N/A</v>
      </c>
    </row>
    <row r="1251" spans="1:9" x14ac:dyDescent="0.3">
      <c r="A1251">
        <v>1250</v>
      </c>
      <c r="B1251">
        <v>1</v>
      </c>
      <c r="C1251">
        <v>78</v>
      </c>
      <c r="D1251">
        <v>2</v>
      </c>
      <c r="E1251">
        <v>647.99</v>
      </c>
      <c r="F1251">
        <v>0.05</v>
      </c>
      <c r="G1251">
        <f t="shared" si="19"/>
        <v>1295.93</v>
      </c>
      <c r="H1251" t="str">
        <f>_xlfn.XLOOKUP(C1251,products[Product_ID],products[Product_Name],"not found",0)</f>
        <v>Sun Bicycles Biscayne Tandem CB - 2017</v>
      </c>
      <c r="I1251" t="e">
        <f>VLOOKUP(products!D1251,categories[#All],2,TRUE)</f>
        <v>#N/A</v>
      </c>
    </row>
    <row r="1252" spans="1:9" x14ac:dyDescent="0.3">
      <c r="A1252">
        <v>1251</v>
      </c>
      <c r="B1252">
        <v>1</v>
      </c>
      <c r="C1252">
        <v>40</v>
      </c>
      <c r="D1252">
        <v>2</v>
      </c>
      <c r="E1252">
        <v>4999.99</v>
      </c>
      <c r="F1252">
        <v>0.1</v>
      </c>
      <c r="G1252">
        <f t="shared" si="19"/>
        <v>9999.8799999999992</v>
      </c>
      <c r="H1252" t="str">
        <f>_xlfn.XLOOKUP(C1252,products[Product_ID],products[Product_Name],"not found",0)</f>
        <v>Trek Fuel EX 9.8 29 - 2017</v>
      </c>
      <c r="I1252" t="e">
        <f>VLOOKUP(products!D1252,categories[#All],2,TRUE)</f>
        <v>#N/A</v>
      </c>
    </row>
    <row r="1253" spans="1:9" x14ac:dyDescent="0.3">
      <c r="A1253">
        <v>1252</v>
      </c>
      <c r="B1253">
        <v>1</v>
      </c>
      <c r="C1253">
        <v>79</v>
      </c>
      <c r="D1253">
        <v>1</v>
      </c>
      <c r="E1253">
        <v>402.99</v>
      </c>
      <c r="F1253">
        <v>0.2</v>
      </c>
      <c r="G1253">
        <f t="shared" si="19"/>
        <v>402.79</v>
      </c>
      <c r="H1253" t="str">
        <f>_xlfn.XLOOKUP(C1253,products[Product_ID],products[Product_Name],"not found",0)</f>
        <v>Sun Bicycles Boardwalk (24-inch Wheels) - 2017</v>
      </c>
      <c r="I1253" t="e">
        <f>VLOOKUP(products!D1253,categories[#All],2,TRUE)</f>
        <v>#N/A</v>
      </c>
    </row>
    <row r="1254" spans="1:9" x14ac:dyDescent="0.3">
      <c r="A1254">
        <v>1253</v>
      </c>
      <c r="B1254">
        <v>1</v>
      </c>
      <c r="C1254">
        <v>25</v>
      </c>
      <c r="D1254">
        <v>2</v>
      </c>
      <c r="E1254">
        <v>499.99</v>
      </c>
      <c r="F1254">
        <v>0.1</v>
      </c>
      <c r="G1254">
        <f t="shared" si="19"/>
        <v>999.88</v>
      </c>
      <c r="H1254" t="str">
        <f>_xlfn.XLOOKUP(C1254,products[Product_ID],products[Product_Name],"not found",0)</f>
        <v>Electra Townie Original 7D - 2015/2016</v>
      </c>
      <c r="I1254" t="e">
        <f>VLOOKUP(products!D1254,categories[#All],2,TRUE)</f>
        <v>#N/A</v>
      </c>
    </row>
    <row r="1255" spans="1:9" x14ac:dyDescent="0.3">
      <c r="A1255">
        <v>1254</v>
      </c>
      <c r="B1255">
        <v>1</v>
      </c>
      <c r="C1255">
        <v>80</v>
      </c>
      <c r="D1255">
        <v>1</v>
      </c>
      <c r="E1255">
        <v>761.99</v>
      </c>
      <c r="F1255">
        <v>0.2</v>
      </c>
      <c r="G1255">
        <f t="shared" si="19"/>
        <v>761.79</v>
      </c>
      <c r="H1255" t="str">
        <f>_xlfn.XLOOKUP(C1255,products[Product_ID],products[Product_Name],"not found",0)</f>
        <v>Sun Bicycles Brickell Tandem CB - 2017</v>
      </c>
      <c r="I1255" t="e">
        <f>VLOOKUP(products!D1255,categories[#All],2,TRUE)</f>
        <v>#N/A</v>
      </c>
    </row>
    <row r="1256" spans="1:9" x14ac:dyDescent="0.3">
      <c r="A1256">
        <v>1255</v>
      </c>
      <c r="B1256">
        <v>1</v>
      </c>
      <c r="C1256">
        <v>43</v>
      </c>
      <c r="D1256">
        <v>2</v>
      </c>
      <c r="E1256">
        <v>5299.99</v>
      </c>
      <c r="F1256">
        <v>0.2</v>
      </c>
      <c r="G1256">
        <f t="shared" si="19"/>
        <v>10599.779999999999</v>
      </c>
      <c r="H1256" t="str">
        <f>_xlfn.XLOOKUP(C1256,products[Product_ID],products[Product_Name],"not found",0)</f>
        <v>Trek Fuel EX 9.8 27.5 Plus - 2017</v>
      </c>
      <c r="I1256" t="e">
        <f>VLOOKUP(products!D1256,categories[#All],2,TRUE)</f>
        <v>#N/A</v>
      </c>
    </row>
    <row r="1257" spans="1:9" x14ac:dyDescent="0.3">
      <c r="A1257">
        <v>1256</v>
      </c>
      <c r="B1257">
        <v>1</v>
      </c>
      <c r="C1257">
        <v>44</v>
      </c>
      <c r="D1257">
        <v>2</v>
      </c>
      <c r="E1257">
        <v>539.99</v>
      </c>
      <c r="F1257">
        <v>0.2</v>
      </c>
      <c r="G1257">
        <f t="shared" si="19"/>
        <v>1079.78</v>
      </c>
      <c r="H1257" t="str">
        <f>_xlfn.XLOOKUP(C1257,products[Product_ID],products[Product_Name],"not found",0)</f>
        <v>Haro SR 1.1 - 2017</v>
      </c>
      <c r="I1257" t="e">
        <f>VLOOKUP(products!D1257,categories[#All],2,TRUE)</f>
        <v>#N/A</v>
      </c>
    </row>
    <row r="1258" spans="1:9" x14ac:dyDescent="0.3">
      <c r="A1258">
        <v>1257</v>
      </c>
      <c r="B1258">
        <v>1</v>
      </c>
      <c r="C1258">
        <v>30</v>
      </c>
      <c r="D1258">
        <v>2</v>
      </c>
      <c r="E1258">
        <v>999.99</v>
      </c>
      <c r="F1258">
        <v>0.05</v>
      </c>
      <c r="G1258">
        <f t="shared" si="19"/>
        <v>1999.93</v>
      </c>
      <c r="H1258" t="str">
        <f>_xlfn.XLOOKUP(C1258,products[Product_ID],products[Product_Name],"not found",0)</f>
        <v>Surly Ice Cream Truck Frameset - 2017</v>
      </c>
      <c r="I1258" t="e">
        <f>VLOOKUP(products!D1258,categories[#All],2,TRUE)</f>
        <v>#N/A</v>
      </c>
    </row>
    <row r="1259" spans="1:9" x14ac:dyDescent="0.3">
      <c r="A1259">
        <v>1258</v>
      </c>
      <c r="B1259">
        <v>1</v>
      </c>
      <c r="C1259">
        <v>94</v>
      </c>
      <c r="D1259">
        <v>2</v>
      </c>
      <c r="E1259">
        <v>249.99</v>
      </c>
      <c r="F1259">
        <v>0.1</v>
      </c>
      <c r="G1259">
        <f t="shared" si="19"/>
        <v>499.88</v>
      </c>
      <c r="H1259" t="str">
        <f>_xlfn.XLOOKUP(C1259,products[Product_ID],products[Product_Name],"not found",0)</f>
        <v>Haro Shredder Pro 20 - 2017</v>
      </c>
      <c r="I1259" t="e">
        <f>VLOOKUP(products!D1259,categories[#All],2,TRUE)</f>
        <v>#N/A</v>
      </c>
    </row>
    <row r="1260" spans="1:9" x14ac:dyDescent="0.3">
      <c r="A1260">
        <v>1259</v>
      </c>
      <c r="B1260">
        <v>1</v>
      </c>
      <c r="C1260">
        <v>60</v>
      </c>
      <c r="D1260">
        <v>1</v>
      </c>
      <c r="E1260">
        <v>1559.99</v>
      </c>
      <c r="F1260">
        <v>0.1</v>
      </c>
      <c r="G1260">
        <f t="shared" si="19"/>
        <v>1559.89</v>
      </c>
      <c r="H1260" t="str">
        <f>_xlfn.XLOOKUP(C1260,products[Product_ID],products[Product_Name],"not found",0)</f>
        <v>Sun Bicycles ElectroLite - 2017</v>
      </c>
      <c r="I1260" t="e">
        <f>VLOOKUP(products!D1260,categories[#All],2,TRUE)</f>
        <v>#N/A</v>
      </c>
    </row>
    <row r="1261" spans="1:9" x14ac:dyDescent="0.3">
      <c r="A1261">
        <v>1260</v>
      </c>
      <c r="B1261">
        <v>1</v>
      </c>
      <c r="C1261">
        <v>8</v>
      </c>
      <c r="D1261">
        <v>1</v>
      </c>
      <c r="E1261">
        <v>1799.99</v>
      </c>
      <c r="F1261">
        <v>0.1</v>
      </c>
      <c r="G1261">
        <f t="shared" si="19"/>
        <v>1799.89</v>
      </c>
      <c r="H1261" t="str">
        <f>_xlfn.XLOOKUP(C1261,products[Product_ID],products[Product_Name],"not found",0)</f>
        <v>Trek Remedy 29 Carbon Frameset - 2016</v>
      </c>
      <c r="I1261" t="e">
        <f>VLOOKUP(products!D1261,categories[#All],2,TRUE)</f>
        <v>#N/A</v>
      </c>
    </row>
    <row r="1262" spans="1:9" x14ac:dyDescent="0.3">
      <c r="A1262">
        <v>1261</v>
      </c>
      <c r="B1262">
        <v>1</v>
      </c>
      <c r="C1262">
        <v>73</v>
      </c>
      <c r="D1262">
        <v>1</v>
      </c>
      <c r="E1262">
        <v>749.99</v>
      </c>
      <c r="F1262">
        <v>0.2</v>
      </c>
      <c r="G1262">
        <f t="shared" si="19"/>
        <v>749.79</v>
      </c>
      <c r="H1262" t="str">
        <f>_xlfn.XLOOKUP(C1262,products[Product_ID],products[Product_Name],"not found",0)</f>
        <v>Sun Bicycles Brickell Tandem 7 - 2017</v>
      </c>
      <c r="I1262" t="e">
        <f>VLOOKUP(products!D1262,categories[#All],2,TRUE)</f>
        <v>#N/A</v>
      </c>
    </row>
    <row r="1263" spans="1:9" x14ac:dyDescent="0.3">
      <c r="A1263">
        <v>1262</v>
      </c>
      <c r="B1263">
        <v>1</v>
      </c>
      <c r="C1263">
        <v>37</v>
      </c>
      <c r="D1263">
        <v>1</v>
      </c>
      <c r="E1263">
        <v>379.99</v>
      </c>
      <c r="F1263">
        <v>7.0000000000000007E-2</v>
      </c>
      <c r="G1263">
        <f t="shared" si="19"/>
        <v>379.92</v>
      </c>
      <c r="H1263" t="str">
        <f>_xlfn.XLOOKUP(C1263,products[Product_ID],products[Product_Name],"not found",0)</f>
        <v>Haro Flightline One ST - 2017</v>
      </c>
      <c r="I1263" t="e">
        <f>VLOOKUP(products!D1263,categories[#All],2,TRUE)</f>
        <v>#N/A</v>
      </c>
    </row>
    <row r="1264" spans="1:9" x14ac:dyDescent="0.3">
      <c r="A1264">
        <v>1263</v>
      </c>
      <c r="B1264">
        <v>1</v>
      </c>
      <c r="C1264">
        <v>45</v>
      </c>
      <c r="D1264">
        <v>1</v>
      </c>
      <c r="E1264">
        <v>869.99</v>
      </c>
      <c r="F1264">
        <v>0.2</v>
      </c>
      <c r="G1264">
        <f t="shared" si="19"/>
        <v>869.79</v>
      </c>
      <c r="H1264" t="str">
        <f>_xlfn.XLOOKUP(C1264,products[Product_ID],products[Product_Name],"not found",0)</f>
        <v>Haro SR 1.2 - 2017</v>
      </c>
      <c r="I1264" t="e">
        <f>VLOOKUP(products!D1264,categories[#All],2,TRUE)</f>
        <v>#N/A</v>
      </c>
    </row>
    <row r="1265" spans="1:9" x14ac:dyDescent="0.3">
      <c r="A1265">
        <v>1264</v>
      </c>
      <c r="B1265">
        <v>1</v>
      </c>
      <c r="C1265">
        <v>101</v>
      </c>
      <c r="D1265">
        <v>1</v>
      </c>
      <c r="E1265">
        <v>339.99</v>
      </c>
      <c r="F1265">
        <v>7.0000000000000007E-2</v>
      </c>
      <c r="G1265">
        <f t="shared" si="19"/>
        <v>339.92</v>
      </c>
      <c r="H1265" t="str">
        <f>_xlfn.XLOOKUP(C1265,products[Product_ID],products[Product_Name],"not found",0)</f>
        <v>Electra Townie 7D (20-inch) - Boys' - 2017</v>
      </c>
      <c r="I1265" t="e">
        <f>VLOOKUP(products!D1265,categories[#All],2,TRUE)</f>
        <v>#N/A</v>
      </c>
    </row>
    <row r="1266" spans="1:9" x14ac:dyDescent="0.3">
      <c r="A1266">
        <v>1265</v>
      </c>
      <c r="B1266">
        <v>1</v>
      </c>
      <c r="C1266">
        <v>41</v>
      </c>
      <c r="D1266">
        <v>2</v>
      </c>
      <c r="E1266">
        <v>1469.99</v>
      </c>
      <c r="F1266">
        <v>0.1</v>
      </c>
      <c r="G1266">
        <f t="shared" si="19"/>
        <v>2939.88</v>
      </c>
      <c r="H1266" t="str">
        <f>_xlfn.XLOOKUP(C1266,products[Product_ID],products[Product_Name],"not found",0)</f>
        <v>Haro Shift R3 - 2017</v>
      </c>
      <c r="I1266" t="e">
        <f>VLOOKUP(products!D1266,categories[#All],2,TRUE)</f>
        <v>#N/A</v>
      </c>
    </row>
    <row r="1267" spans="1:9" x14ac:dyDescent="0.3">
      <c r="A1267">
        <v>1266</v>
      </c>
      <c r="B1267">
        <v>1</v>
      </c>
      <c r="C1267">
        <v>90</v>
      </c>
      <c r="D1267">
        <v>1</v>
      </c>
      <c r="E1267">
        <v>209.99</v>
      </c>
      <c r="F1267">
        <v>0.2</v>
      </c>
      <c r="G1267">
        <f t="shared" si="19"/>
        <v>209.79000000000002</v>
      </c>
      <c r="H1267" t="str">
        <f>_xlfn.XLOOKUP(C1267,products[Product_ID],products[Product_Name],"not found",0)</f>
        <v>Trek Precaliber 16 Girls - 2017</v>
      </c>
      <c r="I1267" t="e">
        <f>VLOOKUP(products!D1267,categories[#All],2,TRUE)</f>
        <v>#N/A</v>
      </c>
    </row>
    <row r="1268" spans="1:9" x14ac:dyDescent="0.3">
      <c r="A1268">
        <v>1267</v>
      </c>
      <c r="B1268">
        <v>1</v>
      </c>
      <c r="C1268">
        <v>45</v>
      </c>
      <c r="D1268">
        <v>1</v>
      </c>
      <c r="E1268">
        <v>869.99</v>
      </c>
      <c r="F1268">
        <v>0.1</v>
      </c>
      <c r="G1268">
        <f t="shared" si="19"/>
        <v>869.89</v>
      </c>
      <c r="H1268" t="str">
        <f>_xlfn.XLOOKUP(C1268,products[Product_ID],products[Product_Name],"not found",0)</f>
        <v>Haro SR 1.2 - 2017</v>
      </c>
      <c r="I1268" t="e">
        <f>VLOOKUP(products!D1268,categories[#All],2,TRUE)</f>
        <v>#N/A</v>
      </c>
    </row>
    <row r="1269" spans="1:9" x14ac:dyDescent="0.3">
      <c r="A1269">
        <v>1268</v>
      </c>
      <c r="B1269">
        <v>1</v>
      </c>
      <c r="C1269">
        <v>68</v>
      </c>
      <c r="D1269">
        <v>2</v>
      </c>
      <c r="E1269">
        <v>449.99</v>
      </c>
      <c r="F1269">
        <v>7.0000000000000007E-2</v>
      </c>
      <c r="G1269">
        <f t="shared" si="19"/>
        <v>899.91</v>
      </c>
      <c r="H1269" t="str">
        <f>_xlfn.XLOOKUP(C1269,products[Product_ID],products[Product_Name],"not found",0)</f>
        <v>Sun Bicycles Cruz 3 - 2017</v>
      </c>
      <c r="I1269" t="e">
        <f>VLOOKUP(products!D1269,categories[#All],2,TRUE)</f>
        <v>#N/A</v>
      </c>
    </row>
    <row r="1270" spans="1:9" x14ac:dyDescent="0.3">
      <c r="A1270">
        <v>1269</v>
      </c>
      <c r="B1270">
        <v>1</v>
      </c>
      <c r="C1270">
        <v>4</v>
      </c>
      <c r="D1270">
        <v>2</v>
      </c>
      <c r="E1270">
        <v>2899.99</v>
      </c>
      <c r="F1270">
        <v>0.2</v>
      </c>
      <c r="G1270">
        <f t="shared" si="19"/>
        <v>5799.78</v>
      </c>
      <c r="H1270" t="str">
        <f>_xlfn.XLOOKUP(C1270,products[Product_ID],products[Product_Name],"not found",0)</f>
        <v>Trek Fuel EX 8 29 - 2016</v>
      </c>
      <c r="I1270" t="e">
        <f>VLOOKUP(products!D1270,categories[#All],2,TRUE)</f>
        <v>#N/A</v>
      </c>
    </row>
    <row r="1271" spans="1:9" x14ac:dyDescent="0.3">
      <c r="A1271">
        <v>1270</v>
      </c>
      <c r="B1271">
        <v>1</v>
      </c>
      <c r="C1271">
        <v>54</v>
      </c>
      <c r="D1271">
        <v>1</v>
      </c>
      <c r="E1271">
        <v>3199.99</v>
      </c>
      <c r="F1271">
        <v>0.2</v>
      </c>
      <c r="G1271">
        <f t="shared" si="19"/>
        <v>3199.79</v>
      </c>
      <c r="H1271" t="str">
        <f>_xlfn.XLOOKUP(C1271,products[Product_ID],products[Product_Name],"not found",0)</f>
        <v>Trek Domane SL Disc Frameset - 2017</v>
      </c>
      <c r="I1271" t="e">
        <f>VLOOKUP(products!D1271,categories[#All],2,TRUE)</f>
        <v>#N/A</v>
      </c>
    </row>
    <row r="1272" spans="1:9" x14ac:dyDescent="0.3">
      <c r="A1272">
        <v>1271</v>
      </c>
      <c r="B1272">
        <v>1</v>
      </c>
      <c r="C1272">
        <v>25</v>
      </c>
      <c r="D1272">
        <v>2</v>
      </c>
      <c r="E1272">
        <v>499.99</v>
      </c>
      <c r="F1272">
        <v>0.1</v>
      </c>
      <c r="G1272">
        <f t="shared" si="19"/>
        <v>999.88</v>
      </c>
      <c r="H1272" t="str">
        <f>_xlfn.XLOOKUP(C1272,products[Product_ID],products[Product_Name],"not found",0)</f>
        <v>Electra Townie Original 7D - 2015/2016</v>
      </c>
      <c r="I1272" t="e">
        <f>VLOOKUP(products!D1272,categories[#All],2,TRUE)</f>
        <v>#N/A</v>
      </c>
    </row>
    <row r="1273" spans="1:9" x14ac:dyDescent="0.3">
      <c r="A1273">
        <v>1272</v>
      </c>
      <c r="B1273">
        <v>1</v>
      </c>
      <c r="C1273">
        <v>16</v>
      </c>
      <c r="D1273">
        <v>2</v>
      </c>
      <c r="E1273">
        <v>599.99</v>
      </c>
      <c r="F1273">
        <v>0.2</v>
      </c>
      <c r="G1273">
        <f t="shared" si="19"/>
        <v>1199.78</v>
      </c>
      <c r="H1273" t="str">
        <f>_xlfn.XLOOKUP(C1273,products[Product_ID],products[Product_Name],"not found",0)</f>
        <v>Electra Townie Original 7D EQ - 2016</v>
      </c>
      <c r="I1273" t="e">
        <f>VLOOKUP(products!D1273,categories[#All],2,TRUE)</f>
        <v>#N/A</v>
      </c>
    </row>
    <row r="1274" spans="1:9" x14ac:dyDescent="0.3">
      <c r="A1274">
        <v>1273</v>
      </c>
      <c r="B1274">
        <v>1</v>
      </c>
      <c r="C1274">
        <v>95</v>
      </c>
      <c r="D1274">
        <v>2</v>
      </c>
      <c r="E1274">
        <v>299.99</v>
      </c>
      <c r="F1274">
        <v>7.0000000000000007E-2</v>
      </c>
      <c r="G1274">
        <f t="shared" si="19"/>
        <v>599.91</v>
      </c>
      <c r="H1274" t="str">
        <f>_xlfn.XLOOKUP(C1274,products[Product_ID],products[Product_Name],"not found",0)</f>
        <v>Electra Girl's Hawaii 1 16" - 2017</v>
      </c>
      <c r="I1274" t="e">
        <f>VLOOKUP(products!D1274,categories[#All],2,TRUE)</f>
        <v>#N/A</v>
      </c>
    </row>
    <row r="1275" spans="1:9" x14ac:dyDescent="0.3">
      <c r="A1275">
        <v>1274</v>
      </c>
      <c r="B1275">
        <v>1</v>
      </c>
      <c r="C1275">
        <v>81</v>
      </c>
      <c r="D1275">
        <v>1</v>
      </c>
      <c r="E1275">
        <v>1099.99</v>
      </c>
      <c r="F1275">
        <v>0.1</v>
      </c>
      <c r="G1275">
        <f t="shared" si="19"/>
        <v>1099.8900000000001</v>
      </c>
      <c r="H1275" t="str">
        <f>_xlfn.XLOOKUP(C1275,products[Product_ID],products[Product_Name],"not found",0)</f>
        <v>Electra Amsterdam Fashion 7i Ladies' - 2017</v>
      </c>
      <c r="I1275" t="e">
        <f>VLOOKUP(products!D1275,categories[#All],2,TRUE)</f>
        <v>#N/A</v>
      </c>
    </row>
    <row r="1276" spans="1:9" x14ac:dyDescent="0.3">
      <c r="A1276">
        <v>1275</v>
      </c>
      <c r="B1276">
        <v>1</v>
      </c>
      <c r="C1276">
        <v>58</v>
      </c>
      <c r="D1276">
        <v>1</v>
      </c>
      <c r="E1276">
        <v>4999.99</v>
      </c>
      <c r="F1276">
        <v>7.0000000000000007E-2</v>
      </c>
      <c r="G1276">
        <f t="shared" si="19"/>
        <v>4999.92</v>
      </c>
      <c r="H1276" t="str">
        <f>_xlfn.XLOOKUP(C1276,products[Product_ID],products[Product_Name],"not found",0)</f>
        <v>Trek Madone 9.2 - 2017</v>
      </c>
      <c r="I1276" t="e">
        <f>VLOOKUP(products!D1276,categories[#All],2,TRUE)</f>
        <v>#N/A</v>
      </c>
    </row>
    <row r="1277" spans="1:9" x14ac:dyDescent="0.3">
      <c r="A1277">
        <v>1276</v>
      </c>
      <c r="B1277">
        <v>1</v>
      </c>
      <c r="C1277">
        <v>18</v>
      </c>
      <c r="D1277">
        <v>2</v>
      </c>
      <c r="E1277">
        <v>449</v>
      </c>
      <c r="F1277">
        <v>0.2</v>
      </c>
      <c r="G1277">
        <f t="shared" si="19"/>
        <v>897.8</v>
      </c>
      <c r="H1277" t="str">
        <f>_xlfn.XLOOKUP(C1277,products[Product_ID],products[Product_Name],"not found",0)</f>
        <v>Pure Cycles Western 3-Speed - Women's - 2015/2016</v>
      </c>
      <c r="I1277" t="e">
        <f>VLOOKUP(products!D1277,categories[#All],2,TRUE)</f>
        <v>#N/A</v>
      </c>
    </row>
    <row r="1278" spans="1:9" x14ac:dyDescent="0.3">
      <c r="A1278">
        <v>1277</v>
      </c>
      <c r="B1278">
        <v>1</v>
      </c>
      <c r="C1278">
        <v>56</v>
      </c>
      <c r="D1278">
        <v>2</v>
      </c>
      <c r="E1278">
        <v>5499.99</v>
      </c>
      <c r="F1278">
        <v>0.2</v>
      </c>
      <c r="G1278">
        <f t="shared" si="19"/>
        <v>10999.779999999999</v>
      </c>
      <c r="H1278" t="str">
        <f>_xlfn.XLOOKUP(C1278,products[Product_ID],products[Product_Name],"not found",0)</f>
        <v>Trek Domane SLR 6 Disc - 2017</v>
      </c>
      <c r="I1278" t="e">
        <f>VLOOKUP(products!D1278,categories[#All],2,TRUE)</f>
        <v>#N/A</v>
      </c>
    </row>
    <row r="1279" spans="1:9" x14ac:dyDescent="0.3">
      <c r="A1279">
        <v>1278</v>
      </c>
      <c r="B1279">
        <v>1</v>
      </c>
      <c r="C1279">
        <v>103</v>
      </c>
      <c r="D1279">
        <v>2</v>
      </c>
      <c r="E1279">
        <v>551.99</v>
      </c>
      <c r="F1279">
        <v>0.1</v>
      </c>
      <c r="G1279">
        <f t="shared" si="19"/>
        <v>1103.8800000000001</v>
      </c>
      <c r="H1279" t="str">
        <f>_xlfn.XLOOKUP(C1279,products[Product_ID],products[Product_Name],"not found",0)</f>
        <v>Sun Bicycles Streamway 3 - 2017</v>
      </c>
      <c r="I1279" t="e">
        <f>VLOOKUP(products!D1279,categories[#All],2,TRUE)</f>
        <v>#N/A</v>
      </c>
    </row>
    <row r="1280" spans="1:9" x14ac:dyDescent="0.3">
      <c r="A1280">
        <v>1279</v>
      </c>
      <c r="B1280">
        <v>1</v>
      </c>
      <c r="C1280">
        <v>9</v>
      </c>
      <c r="D1280">
        <v>2</v>
      </c>
      <c r="E1280">
        <v>2999.99</v>
      </c>
      <c r="F1280">
        <v>0.05</v>
      </c>
      <c r="G1280">
        <f t="shared" si="19"/>
        <v>5999.9299999999994</v>
      </c>
      <c r="H1280" t="str">
        <f>_xlfn.XLOOKUP(C1280,products[Product_ID],products[Product_Name],"not found",0)</f>
        <v>Trek Conduit+ - 2016</v>
      </c>
      <c r="I1280" t="e">
        <f>VLOOKUP(products!D1280,categories[#All],2,TRUE)</f>
        <v>#N/A</v>
      </c>
    </row>
    <row r="1281" spans="1:9" x14ac:dyDescent="0.3">
      <c r="A1281">
        <v>1280</v>
      </c>
      <c r="B1281">
        <v>1</v>
      </c>
      <c r="C1281">
        <v>72</v>
      </c>
      <c r="D1281">
        <v>2</v>
      </c>
      <c r="E1281">
        <v>619.99</v>
      </c>
      <c r="F1281">
        <v>7.0000000000000007E-2</v>
      </c>
      <c r="G1281">
        <f t="shared" si="19"/>
        <v>1239.9100000000001</v>
      </c>
      <c r="H1281" t="str">
        <f>_xlfn.XLOOKUP(C1281,products[Product_ID],products[Product_Name],"not found",0)</f>
        <v>Sun Bicycles Biscayne Tandem 7 - 2017</v>
      </c>
      <c r="I1281" t="e">
        <f>VLOOKUP(products!D1281,categories[#All],2,TRUE)</f>
        <v>#N/A</v>
      </c>
    </row>
    <row r="1282" spans="1:9" x14ac:dyDescent="0.3">
      <c r="A1282">
        <v>1281</v>
      </c>
      <c r="B1282">
        <v>1</v>
      </c>
      <c r="C1282">
        <v>36</v>
      </c>
      <c r="D1282">
        <v>1</v>
      </c>
      <c r="E1282">
        <v>832.99</v>
      </c>
      <c r="F1282">
        <v>0.05</v>
      </c>
      <c r="G1282">
        <f t="shared" ref="G1282:G1345" si="20">(E1282*D1282)-F1282</f>
        <v>832.94</v>
      </c>
      <c r="H1282" t="str">
        <f>_xlfn.XLOOKUP(C1282,products[Product_ID],products[Product_Name],"not found",0)</f>
        <v>Surly Troll Frameset - 2017</v>
      </c>
      <c r="I1282" t="e">
        <f>VLOOKUP(products!D1282,categories[#All],2,TRUE)</f>
        <v>#N/A</v>
      </c>
    </row>
    <row r="1283" spans="1:9" x14ac:dyDescent="0.3">
      <c r="A1283">
        <v>1282</v>
      </c>
      <c r="B1283">
        <v>1</v>
      </c>
      <c r="C1283">
        <v>111</v>
      </c>
      <c r="D1283">
        <v>1</v>
      </c>
      <c r="E1283">
        <v>470.99</v>
      </c>
      <c r="F1283">
        <v>0.05</v>
      </c>
      <c r="G1283">
        <f t="shared" si="20"/>
        <v>470.94</v>
      </c>
      <c r="H1283" t="str">
        <f>_xlfn.XLOOKUP(C1283,products[Product_ID],products[Product_Name],"not found",0)</f>
        <v>Sun Bicycles Drifter 7 - Women's - 2017</v>
      </c>
      <c r="I1283" t="e">
        <f>VLOOKUP(products!D1283,categories[#All],2,TRUE)</f>
        <v>#N/A</v>
      </c>
    </row>
    <row r="1284" spans="1:9" x14ac:dyDescent="0.3">
      <c r="A1284">
        <v>1283</v>
      </c>
      <c r="B1284">
        <v>1</v>
      </c>
      <c r="C1284">
        <v>61</v>
      </c>
      <c r="D1284">
        <v>2</v>
      </c>
      <c r="E1284">
        <v>4999.99</v>
      </c>
      <c r="F1284">
        <v>0.05</v>
      </c>
      <c r="G1284">
        <f t="shared" si="20"/>
        <v>9999.93</v>
      </c>
      <c r="H1284" t="str">
        <f>_xlfn.XLOOKUP(C1284,products[Product_ID],products[Product_Name],"not found",0)</f>
        <v>Trek Powerfly 8 FS Plus - 2017</v>
      </c>
      <c r="I1284" t="e">
        <f>VLOOKUP(products!D1284,categories[#All],2,TRUE)</f>
        <v>#N/A</v>
      </c>
    </row>
    <row r="1285" spans="1:9" x14ac:dyDescent="0.3">
      <c r="A1285">
        <v>1284</v>
      </c>
      <c r="B1285">
        <v>1</v>
      </c>
      <c r="C1285">
        <v>101</v>
      </c>
      <c r="D1285">
        <v>1</v>
      </c>
      <c r="E1285">
        <v>339.99</v>
      </c>
      <c r="F1285">
        <v>7.0000000000000007E-2</v>
      </c>
      <c r="G1285">
        <f t="shared" si="20"/>
        <v>339.92</v>
      </c>
      <c r="H1285" t="str">
        <f>_xlfn.XLOOKUP(C1285,products[Product_ID],products[Product_Name],"not found",0)</f>
        <v>Electra Townie 7D (20-inch) - Boys' - 2017</v>
      </c>
      <c r="I1285" t="e">
        <f>VLOOKUP(products!D1285,categories[#All],2,TRUE)</f>
        <v>#N/A</v>
      </c>
    </row>
    <row r="1286" spans="1:9" x14ac:dyDescent="0.3">
      <c r="A1286">
        <v>1285</v>
      </c>
      <c r="B1286">
        <v>1</v>
      </c>
      <c r="C1286">
        <v>78</v>
      </c>
      <c r="D1286">
        <v>2</v>
      </c>
      <c r="E1286">
        <v>647.99</v>
      </c>
      <c r="F1286">
        <v>7.0000000000000007E-2</v>
      </c>
      <c r="G1286">
        <f t="shared" si="20"/>
        <v>1295.9100000000001</v>
      </c>
      <c r="H1286" t="str">
        <f>_xlfn.XLOOKUP(C1286,products[Product_ID],products[Product_Name],"not found",0)</f>
        <v>Sun Bicycles Biscayne Tandem CB - 2017</v>
      </c>
      <c r="I1286" t="e">
        <f>VLOOKUP(products!D1286,categories[#All],2,TRUE)</f>
        <v>#N/A</v>
      </c>
    </row>
    <row r="1287" spans="1:9" x14ac:dyDescent="0.3">
      <c r="A1287">
        <v>1286</v>
      </c>
      <c r="B1287">
        <v>1</v>
      </c>
      <c r="C1287">
        <v>109</v>
      </c>
      <c r="D1287">
        <v>2</v>
      </c>
      <c r="E1287">
        <v>416.99</v>
      </c>
      <c r="F1287">
        <v>0.2</v>
      </c>
      <c r="G1287">
        <f t="shared" si="20"/>
        <v>833.78</v>
      </c>
      <c r="H1287" t="str">
        <f>_xlfn.XLOOKUP(C1287,products[Product_ID],products[Product_Name],"not found",0)</f>
        <v>Sun Bicycles Cruz 7 - Women's - 2017</v>
      </c>
      <c r="I1287" t="e">
        <f>VLOOKUP(products!D1287,categories[#All],2,TRUE)</f>
        <v>#N/A</v>
      </c>
    </row>
    <row r="1288" spans="1:9" x14ac:dyDescent="0.3">
      <c r="A1288">
        <v>1287</v>
      </c>
      <c r="B1288">
        <v>1</v>
      </c>
      <c r="C1288">
        <v>27</v>
      </c>
      <c r="D1288">
        <v>2</v>
      </c>
      <c r="E1288">
        <v>999.99</v>
      </c>
      <c r="F1288">
        <v>0.2</v>
      </c>
      <c r="G1288">
        <f t="shared" si="20"/>
        <v>1999.78</v>
      </c>
      <c r="H1288" t="str">
        <f>_xlfn.XLOOKUP(C1288,products[Product_ID],products[Product_Name],"not found",0)</f>
        <v>Surly Big Dummy Frameset - 2017</v>
      </c>
      <c r="I1288" t="e">
        <f>VLOOKUP(products!D1288,categories[#All],2,TRUE)</f>
        <v>#N/A</v>
      </c>
    </row>
    <row r="1289" spans="1:9" x14ac:dyDescent="0.3">
      <c r="A1289">
        <v>1288</v>
      </c>
      <c r="B1289">
        <v>1</v>
      </c>
      <c r="C1289">
        <v>73</v>
      </c>
      <c r="D1289">
        <v>1</v>
      </c>
      <c r="E1289">
        <v>749.99</v>
      </c>
      <c r="F1289">
        <v>0.2</v>
      </c>
      <c r="G1289">
        <f t="shared" si="20"/>
        <v>749.79</v>
      </c>
      <c r="H1289" t="str">
        <f>_xlfn.XLOOKUP(C1289,products[Product_ID],products[Product_Name],"not found",0)</f>
        <v>Sun Bicycles Brickell Tandem 7 - 2017</v>
      </c>
      <c r="I1289" t="e">
        <f>VLOOKUP(products!D1289,categories[#All],2,TRUE)</f>
        <v>#N/A</v>
      </c>
    </row>
    <row r="1290" spans="1:9" x14ac:dyDescent="0.3">
      <c r="A1290">
        <v>1289</v>
      </c>
      <c r="B1290">
        <v>1</v>
      </c>
      <c r="C1290">
        <v>89</v>
      </c>
      <c r="D1290">
        <v>1</v>
      </c>
      <c r="E1290">
        <v>209.99</v>
      </c>
      <c r="F1290">
        <v>0.05</v>
      </c>
      <c r="G1290">
        <f t="shared" si="20"/>
        <v>209.94</v>
      </c>
      <c r="H1290" t="str">
        <f>_xlfn.XLOOKUP(C1290,products[Product_ID],products[Product_Name],"not found",0)</f>
        <v>Trek Precaliber 16 Boys - 2017</v>
      </c>
      <c r="I1290" t="e">
        <f>VLOOKUP(products!D1290,categories[#All],2,TRUE)</f>
        <v>#N/A</v>
      </c>
    </row>
    <row r="1291" spans="1:9" x14ac:dyDescent="0.3">
      <c r="A1291">
        <v>1290</v>
      </c>
      <c r="B1291">
        <v>1</v>
      </c>
      <c r="C1291">
        <v>75</v>
      </c>
      <c r="D1291">
        <v>2</v>
      </c>
      <c r="E1291">
        <v>599.99</v>
      </c>
      <c r="F1291">
        <v>0.05</v>
      </c>
      <c r="G1291">
        <f t="shared" si="20"/>
        <v>1199.93</v>
      </c>
      <c r="H1291" t="str">
        <f>_xlfn.XLOOKUP(C1291,products[Product_ID],products[Product_Name],"not found",0)</f>
        <v>Electra Cruiser Lux Fat Tire 1 Ladies - 2017</v>
      </c>
      <c r="I1291" t="e">
        <f>VLOOKUP(products!D1291,categories[#All],2,TRUE)</f>
        <v>#N/A</v>
      </c>
    </row>
    <row r="1292" spans="1:9" x14ac:dyDescent="0.3">
      <c r="A1292">
        <v>1291</v>
      </c>
      <c r="B1292">
        <v>1</v>
      </c>
      <c r="C1292">
        <v>57</v>
      </c>
      <c r="D1292">
        <v>1</v>
      </c>
      <c r="E1292">
        <v>1999.99</v>
      </c>
      <c r="F1292">
        <v>0.1</v>
      </c>
      <c r="G1292">
        <f t="shared" si="20"/>
        <v>1999.89</v>
      </c>
      <c r="H1292" t="str">
        <f>_xlfn.XLOOKUP(C1292,products[Product_ID],products[Product_Name],"not found",0)</f>
        <v>Trek Emonda S 5 - 2017</v>
      </c>
      <c r="I1292" t="e">
        <f>VLOOKUP(products!D1292,categories[#All],2,TRUE)</f>
        <v>#N/A</v>
      </c>
    </row>
    <row r="1293" spans="1:9" x14ac:dyDescent="0.3">
      <c r="A1293">
        <v>1292</v>
      </c>
      <c r="B1293">
        <v>1</v>
      </c>
      <c r="C1293">
        <v>70</v>
      </c>
      <c r="D1293">
        <v>1</v>
      </c>
      <c r="E1293">
        <v>659.99</v>
      </c>
      <c r="F1293">
        <v>7.0000000000000007E-2</v>
      </c>
      <c r="G1293">
        <f t="shared" si="20"/>
        <v>659.92</v>
      </c>
      <c r="H1293" t="str">
        <f>_xlfn.XLOOKUP(C1293,products[Product_ID],products[Product_Name],"not found",0)</f>
        <v>Electra Amsterdam Original 3i - 2015/2017</v>
      </c>
      <c r="I1293" t="e">
        <f>VLOOKUP(products!D1293,categories[#All],2,TRUE)</f>
        <v>#N/A</v>
      </c>
    </row>
    <row r="1294" spans="1:9" x14ac:dyDescent="0.3">
      <c r="A1294">
        <v>1293</v>
      </c>
      <c r="B1294">
        <v>1</v>
      </c>
      <c r="C1294">
        <v>88</v>
      </c>
      <c r="D1294">
        <v>2</v>
      </c>
      <c r="E1294">
        <v>189.99</v>
      </c>
      <c r="F1294">
        <v>0.1</v>
      </c>
      <c r="G1294">
        <f t="shared" si="20"/>
        <v>379.88</v>
      </c>
      <c r="H1294" t="str">
        <f>_xlfn.XLOOKUP(C1294,products[Product_ID],products[Product_Name],"not found",0)</f>
        <v>Trek Precaliber 12 Girls - 2017</v>
      </c>
      <c r="I1294" t="e">
        <f>VLOOKUP(products!D1294,categories[#All],2,TRUE)</f>
        <v>#N/A</v>
      </c>
    </row>
    <row r="1295" spans="1:9" x14ac:dyDescent="0.3">
      <c r="A1295">
        <v>1294</v>
      </c>
      <c r="B1295">
        <v>1</v>
      </c>
      <c r="C1295">
        <v>95</v>
      </c>
      <c r="D1295">
        <v>2</v>
      </c>
      <c r="E1295">
        <v>299.99</v>
      </c>
      <c r="F1295">
        <v>0.05</v>
      </c>
      <c r="G1295">
        <f t="shared" si="20"/>
        <v>599.93000000000006</v>
      </c>
      <c r="H1295" t="str">
        <f>_xlfn.XLOOKUP(C1295,products[Product_ID],products[Product_Name],"not found",0)</f>
        <v>Electra Girl's Hawaii 1 16" - 2017</v>
      </c>
      <c r="I1295" t="e">
        <f>VLOOKUP(products!D1295,categories[#All],2,TRUE)</f>
        <v>#N/A</v>
      </c>
    </row>
    <row r="1296" spans="1:9" x14ac:dyDescent="0.3">
      <c r="A1296">
        <v>1295</v>
      </c>
      <c r="B1296">
        <v>1</v>
      </c>
      <c r="C1296">
        <v>5</v>
      </c>
      <c r="D1296">
        <v>2</v>
      </c>
      <c r="E1296">
        <v>1320.99</v>
      </c>
      <c r="F1296">
        <v>0.2</v>
      </c>
      <c r="G1296">
        <f t="shared" si="20"/>
        <v>2641.78</v>
      </c>
      <c r="H1296" t="str">
        <f>_xlfn.XLOOKUP(C1296,products[Product_ID],products[Product_Name],"not found",0)</f>
        <v>Heller Shagamaw Frame - 2016</v>
      </c>
      <c r="I1296" t="e">
        <f>VLOOKUP(products!D1296,categories[#All],2,TRUE)</f>
        <v>#N/A</v>
      </c>
    </row>
    <row r="1297" spans="1:9" x14ac:dyDescent="0.3">
      <c r="A1297">
        <v>1296</v>
      </c>
      <c r="B1297">
        <v>1</v>
      </c>
      <c r="C1297">
        <v>25</v>
      </c>
      <c r="D1297">
        <v>2</v>
      </c>
      <c r="E1297">
        <v>499.99</v>
      </c>
      <c r="F1297">
        <v>0.05</v>
      </c>
      <c r="G1297">
        <f t="shared" si="20"/>
        <v>999.93000000000006</v>
      </c>
      <c r="H1297" t="str">
        <f>_xlfn.XLOOKUP(C1297,products[Product_ID],products[Product_Name],"not found",0)</f>
        <v>Electra Townie Original 7D - 2015/2016</v>
      </c>
      <c r="I1297" t="e">
        <f>VLOOKUP(products!D1297,categories[#All],2,TRUE)</f>
        <v>#N/A</v>
      </c>
    </row>
    <row r="1298" spans="1:9" x14ac:dyDescent="0.3">
      <c r="A1298">
        <v>1297</v>
      </c>
      <c r="B1298">
        <v>1</v>
      </c>
      <c r="C1298">
        <v>104</v>
      </c>
      <c r="D1298">
        <v>2</v>
      </c>
      <c r="E1298">
        <v>481.99</v>
      </c>
      <c r="F1298">
        <v>7.0000000000000007E-2</v>
      </c>
      <c r="G1298">
        <f t="shared" si="20"/>
        <v>963.91</v>
      </c>
      <c r="H1298" t="str">
        <f>_xlfn.XLOOKUP(C1298,products[Product_ID],products[Product_Name],"not found",0)</f>
        <v>Sun Bicycles Streamway - 2017</v>
      </c>
      <c r="I1298" t="e">
        <f>VLOOKUP(products!D1298,categories[#All],2,TRUE)</f>
        <v>#N/A</v>
      </c>
    </row>
    <row r="1299" spans="1:9" x14ac:dyDescent="0.3">
      <c r="A1299">
        <v>1298</v>
      </c>
      <c r="B1299">
        <v>1</v>
      </c>
      <c r="C1299">
        <v>59</v>
      </c>
      <c r="D1299">
        <v>1</v>
      </c>
      <c r="E1299">
        <v>2599.9899999999998</v>
      </c>
      <c r="F1299">
        <v>0.05</v>
      </c>
      <c r="G1299">
        <f t="shared" si="20"/>
        <v>2599.9399999999996</v>
      </c>
      <c r="H1299" t="str">
        <f>_xlfn.XLOOKUP(C1299,products[Product_ID],products[Product_Name],"not found",0)</f>
        <v>Trek Domane S 5 Disc - 2017</v>
      </c>
      <c r="I1299" t="e">
        <f>VLOOKUP(products!D1299,categories[#All],2,TRUE)</f>
        <v>#N/A</v>
      </c>
    </row>
    <row r="1300" spans="1:9" x14ac:dyDescent="0.3">
      <c r="A1300">
        <v>1299</v>
      </c>
      <c r="B1300">
        <v>1</v>
      </c>
      <c r="C1300">
        <v>14</v>
      </c>
      <c r="D1300">
        <v>2</v>
      </c>
      <c r="E1300">
        <v>269.99</v>
      </c>
      <c r="F1300">
        <v>0.1</v>
      </c>
      <c r="G1300">
        <f t="shared" si="20"/>
        <v>539.88</v>
      </c>
      <c r="H1300" t="str">
        <f>_xlfn.XLOOKUP(C1300,products[Product_ID],products[Product_Name],"not found",0)</f>
        <v>Electra Girl's Hawaii 1 (16-inch) - 2015/2016</v>
      </c>
      <c r="I1300" t="e">
        <f>VLOOKUP(products!D1300,categories[#All],2,TRUE)</f>
        <v>#N/A</v>
      </c>
    </row>
    <row r="1301" spans="1:9" x14ac:dyDescent="0.3">
      <c r="A1301">
        <v>1300</v>
      </c>
      <c r="B1301">
        <v>1</v>
      </c>
      <c r="C1301">
        <v>101</v>
      </c>
      <c r="D1301">
        <v>2</v>
      </c>
      <c r="E1301">
        <v>339.99</v>
      </c>
      <c r="F1301">
        <v>7.0000000000000007E-2</v>
      </c>
      <c r="G1301">
        <f t="shared" si="20"/>
        <v>679.91</v>
      </c>
      <c r="H1301" t="str">
        <f>_xlfn.XLOOKUP(C1301,products[Product_ID],products[Product_Name],"not found",0)</f>
        <v>Electra Townie 7D (20-inch) - Boys' - 2017</v>
      </c>
      <c r="I1301" t="e">
        <f>VLOOKUP(products!D1301,categories[#All],2,TRUE)</f>
        <v>#N/A</v>
      </c>
    </row>
    <row r="1302" spans="1:9" x14ac:dyDescent="0.3">
      <c r="A1302">
        <v>1301</v>
      </c>
      <c r="B1302">
        <v>1</v>
      </c>
      <c r="C1302">
        <v>45</v>
      </c>
      <c r="D1302">
        <v>2</v>
      </c>
      <c r="E1302">
        <v>869.99</v>
      </c>
      <c r="F1302">
        <v>0.2</v>
      </c>
      <c r="G1302">
        <f t="shared" si="20"/>
        <v>1739.78</v>
      </c>
      <c r="H1302" t="str">
        <f>_xlfn.XLOOKUP(C1302,products[Product_ID],products[Product_Name],"not found",0)</f>
        <v>Haro SR 1.2 - 2017</v>
      </c>
      <c r="I1302" t="e">
        <f>VLOOKUP(products!D1302,categories[#All],2,TRUE)</f>
        <v>#N/A</v>
      </c>
    </row>
    <row r="1303" spans="1:9" x14ac:dyDescent="0.3">
      <c r="A1303">
        <v>1302</v>
      </c>
      <c r="B1303">
        <v>1</v>
      </c>
      <c r="C1303">
        <v>38</v>
      </c>
      <c r="D1303">
        <v>1</v>
      </c>
      <c r="E1303">
        <v>549.99</v>
      </c>
      <c r="F1303">
        <v>0.05</v>
      </c>
      <c r="G1303">
        <f t="shared" si="20"/>
        <v>549.94000000000005</v>
      </c>
      <c r="H1303" t="str">
        <f>_xlfn.XLOOKUP(C1303,products[Product_ID],products[Product_Name],"not found",0)</f>
        <v>Haro Flightline Two 26 Plus - 2017</v>
      </c>
      <c r="I1303" t="e">
        <f>VLOOKUP(products!D1303,categories[#All],2,TRUE)</f>
        <v>#N/A</v>
      </c>
    </row>
    <row r="1304" spans="1:9" x14ac:dyDescent="0.3">
      <c r="A1304">
        <v>1303</v>
      </c>
      <c r="B1304">
        <v>1</v>
      </c>
      <c r="C1304">
        <v>96</v>
      </c>
      <c r="D1304">
        <v>1</v>
      </c>
      <c r="E1304">
        <v>349.99</v>
      </c>
      <c r="F1304">
        <v>0.1</v>
      </c>
      <c r="G1304">
        <f t="shared" si="20"/>
        <v>349.89</v>
      </c>
      <c r="H1304" t="str">
        <f>_xlfn.XLOOKUP(C1304,products[Product_ID],products[Product_Name],"not found",0)</f>
        <v>Electra Moto 3i (20-inch) - Boy's - 2017</v>
      </c>
      <c r="I1304" t="e">
        <f>VLOOKUP(products!D1304,categories[#All],2,TRUE)</f>
        <v>#N/A</v>
      </c>
    </row>
    <row r="1305" spans="1:9" x14ac:dyDescent="0.3">
      <c r="A1305">
        <v>1304</v>
      </c>
      <c r="B1305">
        <v>1</v>
      </c>
      <c r="C1305">
        <v>80</v>
      </c>
      <c r="D1305">
        <v>1</v>
      </c>
      <c r="E1305">
        <v>761.99</v>
      </c>
      <c r="F1305">
        <v>0.05</v>
      </c>
      <c r="G1305">
        <f t="shared" si="20"/>
        <v>761.94</v>
      </c>
      <c r="H1305" t="str">
        <f>_xlfn.XLOOKUP(C1305,products[Product_ID],products[Product_Name],"not found",0)</f>
        <v>Sun Bicycles Brickell Tandem CB - 2017</v>
      </c>
      <c r="I1305" t="e">
        <f>VLOOKUP(products!D1305,categories[#All],2,TRUE)</f>
        <v>#N/A</v>
      </c>
    </row>
    <row r="1306" spans="1:9" x14ac:dyDescent="0.3">
      <c r="A1306">
        <v>1305</v>
      </c>
      <c r="B1306">
        <v>1</v>
      </c>
      <c r="C1306">
        <v>85</v>
      </c>
      <c r="D1306">
        <v>1</v>
      </c>
      <c r="E1306">
        <v>329.99</v>
      </c>
      <c r="F1306">
        <v>0.2</v>
      </c>
      <c r="G1306">
        <f t="shared" si="20"/>
        <v>329.79</v>
      </c>
      <c r="H1306" t="str">
        <f>_xlfn.XLOOKUP(C1306,products[Product_ID],products[Product_Name],"not found",0)</f>
        <v>Haro Downtown 16 - 2017</v>
      </c>
      <c r="I1306" t="e">
        <f>VLOOKUP(products!D1306,categories[#All],2,TRUE)</f>
        <v>#N/A</v>
      </c>
    </row>
    <row r="1307" spans="1:9" x14ac:dyDescent="0.3">
      <c r="A1307">
        <v>1306</v>
      </c>
      <c r="B1307">
        <v>1</v>
      </c>
      <c r="C1307">
        <v>103</v>
      </c>
      <c r="D1307">
        <v>2</v>
      </c>
      <c r="E1307">
        <v>551.99</v>
      </c>
      <c r="F1307">
        <v>0.05</v>
      </c>
      <c r="G1307">
        <f t="shared" si="20"/>
        <v>1103.93</v>
      </c>
      <c r="H1307" t="str">
        <f>_xlfn.XLOOKUP(C1307,products[Product_ID],products[Product_Name],"not found",0)</f>
        <v>Sun Bicycles Streamway 3 - 2017</v>
      </c>
      <c r="I1307" t="e">
        <f>VLOOKUP(products!D1307,categories[#All],2,TRUE)</f>
        <v>#N/A</v>
      </c>
    </row>
    <row r="1308" spans="1:9" x14ac:dyDescent="0.3">
      <c r="A1308">
        <v>1307</v>
      </c>
      <c r="B1308">
        <v>1</v>
      </c>
      <c r="C1308">
        <v>96</v>
      </c>
      <c r="D1308">
        <v>2</v>
      </c>
      <c r="E1308">
        <v>349.99</v>
      </c>
      <c r="F1308">
        <v>7.0000000000000007E-2</v>
      </c>
      <c r="G1308">
        <f t="shared" si="20"/>
        <v>699.91</v>
      </c>
      <c r="H1308" t="str">
        <f>_xlfn.XLOOKUP(C1308,products[Product_ID],products[Product_Name],"not found",0)</f>
        <v>Electra Moto 3i (20-inch) - Boy's - 2017</v>
      </c>
      <c r="I1308" t="e">
        <f>VLOOKUP(products!D1308,categories[#All],2,TRUE)</f>
        <v>#N/A</v>
      </c>
    </row>
    <row r="1309" spans="1:9" x14ac:dyDescent="0.3">
      <c r="A1309">
        <v>1308</v>
      </c>
      <c r="B1309">
        <v>1</v>
      </c>
      <c r="C1309">
        <v>54</v>
      </c>
      <c r="D1309">
        <v>1</v>
      </c>
      <c r="E1309">
        <v>3199.99</v>
      </c>
      <c r="F1309">
        <v>0.05</v>
      </c>
      <c r="G1309">
        <f t="shared" si="20"/>
        <v>3199.9399999999996</v>
      </c>
      <c r="H1309" t="str">
        <f>_xlfn.XLOOKUP(C1309,products[Product_ID],products[Product_Name],"not found",0)</f>
        <v>Trek Domane SL Disc Frameset - 2017</v>
      </c>
      <c r="I1309" t="e">
        <f>VLOOKUP(products!D1309,categories[#All],2,TRUE)</f>
        <v>#N/A</v>
      </c>
    </row>
    <row r="1310" spans="1:9" x14ac:dyDescent="0.3">
      <c r="A1310">
        <v>1309</v>
      </c>
      <c r="B1310">
        <v>1</v>
      </c>
      <c r="C1310">
        <v>65</v>
      </c>
      <c r="D1310">
        <v>1</v>
      </c>
      <c r="E1310">
        <v>346.99</v>
      </c>
      <c r="F1310">
        <v>0.05</v>
      </c>
      <c r="G1310">
        <f t="shared" si="20"/>
        <v>346.94</v>
      </c>
      <c r="H1310" t="str">
        <f>_xlfn.XLOOKUP(C1310,products[Product_ID],products[Product_Name],"not found",0)</f>
        <v>Sun Bicycles Lil Bolt Type-R - 2017</v>
      </c>
      <c r="I1310" t="e">
        <f>VLOOKUP(products!D1310,categories[#All],2,TRUE)</f>
        <v>#N/A</v>
      </c>
    </row>
    <row r="1311" spans="1:9" x14ac:dyDescent="0.3">
      <c r="A1311">
        <v>1310</v>
      </c>
      <c r="B1311">
        <v>1</v>
      </c>
      <c r="C1311">
        <v>59</v>
      </c>
      <c r="D1311">
        <v>1</v>
      </c>
      <c r="E1311">
        <v>2599.9899999999998</v>
      </c>
      <c r="F1311">
        <v>0.2</v>
      </c>
      <c r="G1311">
        <f t="shared" si="20"/>
        <v>2599.79</v>
      </c>
      <c r="H1311" t="str">
        <f>_xlfn.XLOOKUP(C1311,products[Product_ID],products[Product_Name],"not found",0)</f>
        <v>Trek Domane S 5 Disc - 2017</v>
      </c>
      <c r="I1311" t="e">
        <f>VLOOKUP(products!D1311,categories[#All],2,TRUE)</f>
        <v>#N/A</v>
      </c>
    </row>
    <row r="1312" spans="1:9" x14ac:dyDescent="0.3">
      <c r="A1312">
        <v>1311</v>
      </c>
      <c r="B1312">
        <v>1</v>
      </c>
      <c r="C1312">
        <v>69</v>
      </c>
      <c r="D1312">
        <v>1</v>
      </c>
      <c r="E1312">
        <v>416.99</v>
      </c>
      <c r="F1312">
        <v>0.1</v>
      </c>
      <c r="G1312">
        <f t="shared" si="20"/>
        <v>416.89</v>
      </c>
      <c r="H1312" t="str">
        <f>_xlfn.XLOOKUP(C1312,products[Product_ID],products[Product_Name],"not found",0)</f>
        <v>Sun Bicycles Cruz 7 - 2017</v>
      </c>
      <c r="I1312" t="e">
        <f>VLOOKUP(products!D1312,categories[#All],2,TRUE)</f>
        <v>#N/A</v>
      </c>
    </row>
    <row r="1313" spans="1:9" x14ac:dyDescent="0.3">
      <c r="A1313">
        <v>1312</v>
      </c>
      <c r="B1313">
        <v>1</v>
      </c>
      <c r="C1313">
        <v>67</v>
      </c>
      <c r="D1313">
        <v>2</v>
      </c>
      <c r="E1313">
        <v>250.99</v>
      </c>
      <c r="F1313">
        <v>0.05</v>
      </c>
      <c r="G1313">
        <f t="shared" si="20"/>
        <v>501.93</v>
      </c>
      <c r="H1313" t="str">
        <f>_xlfn.XLOOKUP(C1313,products[Product_ID],products[Product_Name],"not found",0)</f>
        <v>Sun Bicycles Revolutions 24 - Girl's - 2017</v>
      </c>
      <c r="I1313" t="e">
        <f>VLOOKUP(products!D1313,categories[#All],2,TRUE)</f>
        <v>#N/A</v>
      </c>
    </row>
    <row r="1314" spans="1:9" x14ac:dyDescent="0.3">
      <c r="A1314">
        <v>1313</v>
      </c>
      <c r="B1314">
        <v>1</v>
      </c>
      <c r="C1314">
        <v>75</v>
      </c>
      <c r="D1314">
        <v>1</v>
      </c>
      <c r="E1314">
        <v>599.99</v>
      </c>
      <c r="F1314">
        <v>0.2</v>
      </c>
      <c r="G1314">
        <f t="shared" si="20"/>
        <v>599.79</v>
      </c>
      <c r="H1314" t="str">
        <f>_xlfn.XLOOKUP(C1314,products[Product_ID],products[Product_Name],"not found",0)</f>
        <v>Electra Cruiser Lux Fat Tire 1 Ladies - 2017</v>
      </c>
      <c r="I1314" t="e">
        <f>VLOOKUP(products!D1314,categories[#All],2,TRUE)</f>
        <v>#N/A</v>
      </c>
    </row>
    <row r="1315" spans="1:9" x14ac:dyDescent="0.3">
      <c r="A1315">
        <v>1314</v>
      </c>
      <c r="B1315">
        <v>1</v>
      </c>
      <c r="C1315">
        <v>52</v>
      </c>
      <c r="D1315">
        <v>1</v>
      </c>
      <c r="E1315">
        <v>875.99</v>
      </c>
      <c r="F1315">
        <v>7.0000000000000007E-2</v>
      </c>
      <c r="G1315">
        <f t="shared" si="20"/>
        <v>875.92</v>
      </c>
      <c r="H1315" t="str">
        <f>_xlfn.XLOOKUP(C1315,products[Product_ID],products[Product_Name],"not found",0)</f>
        <v>Surly Steamroller - 2017</v>
      </c>
      <c r="I1315" t="e">
        <f>VLOOKUP(products!D1315,categories[#All],2,TRUE)</f>
        <v>#N/A</v>
      </c>
    </row>
    <row r="1316" spans="1:9" x14ac:dyDescent="0.3">
      <c r="A1316">
        <v>1315</v>
      </c>
      <c r="B1316">
        <v>1</v>
      </c>
      <c r="C1316">
        <v>104</v>
      </c>
      <c r="D1316">
        <v>2</v>
      </c>
      <c r="E1316">
        <v>481.99</v>
      </c>
      <c r="F1316">
        <v>7.0000000000000007E-2</v>
      </c>
      <c r="G1316">
        <f t="shared" si="20"/>
        <v>963.91</v>
      </c>
      <c r="H1316" t="str">
        <f>_xlfn.XLOOKUP(C1316,products[Product_ID],products[Product_Name],"not found",0)</f>
        <v>Sun Bicycles Streamway - 2017</v>
      </c>
      <c r="I1316" t="e">
        <f>VLOOKUP(products!D1316,categories[#All],2,TRUE)</f>
        <v>#N/A</v>
      </c>
    </row>
    <row r="1317" spans="1:9" x14ac:dyDescent="0.3">
      <c r="A1317">
        <v>1316</v>
      </c>
      <c r="B1317">
        <v>1</v>
      </c>
      <c r="C1317">
        <v>76</v>
      </c>
      <c r="D1317">
        <v>2</v>
      </c>
      <c r="E1317">
        <v>299.99</v>
      </c>
      <c r="F1317">
        <v>0.1</v>
      </c>
      <c r="G1317">
        <f t="shared" si="20"/>
        <v>599.88</v>
      </c>
      <c r="H1317" t="str">
        <f>_xlfn.XLOOKUP(C1317,products[Product_ID],products[Product_Name],"not found",0)</f>
        <v>Electra Girl's Hawaii 1 16" - 2017</v>
      </c>
      <c r="I1317" t="e">
        <f>VLOOKUP(products!D1317,categories[#All],2,TRUE)</f>
        <v>#N/A</v>
      </c>
    </row>
    <row r="1318" spans="1:9" x14ac:dyDescent="0.3">
      <c r="A1318">
        <v>1317</v>
      </c>
      <c r="B1318">
        <v>1</v>
      </c>
      <c r="C1318">
        <v>82</v>
      </c>
      <c r="D1318">
        <v>1</v>
      </c>
      <c r="E1318">
        <v>659.99</v>
      </c>
      <c r="F1318">
        <v>0.1</v>
      </c>
      <c r="G1318">
        <f t="shared" si="20"/>
        <v>659.89</v>
      </c>
      <c r="H1318" t="str">
        <f>_xlfn.XLOOKUP(C1318,products[Product_ID],products[Product_Name],"not found",0)</f>
        <v>Electra Amsterdam Original 3i Ladies' - 2017</v>
      </c>
      <c r="I1318" t="e">
        <f>VLOOKUP(products!D1318,categories[#All],2,TRUE)</f>
        <v>#N/A</v>
      </c>
    </row>
    <row r="1319" spans="1:9" x14ac:dyDescent="0.3">
      <c r="A1319">
        <v>1318</v>
      </c>
      <c r="B1319">
        <v>1</v>
      </c>
      <c r="C1319">
        <v>82</v>
      </c>
      <c r="D1319">
        <v>2</v>
      </c>
      <c r="E1319">
        <v>659.99</v>
      </c>
      <c r="F1319">
        <v>0.2</v>
      </c>
      <c r="G1319">
        <f t="shared" si="20"/>
        <v>1319.78</v>
      </c>
      <c r="H1319" t="str">
        <f>_xlfn.XLOOKUP(C1319,products[Product_ID],products[Product_Name],"not found",0)</f>
        <v>Electra Amsterdam Original 3i Ladies' - 2017</v>
      </c>
      <c r="I1319" t="e">
        <f>VLOOKUP(products!D1319,categories[#All],2,TRUE)</f>
        <v>#N/A</v>
      </c>
    </row>
    <row r="1320" spans="1:9" x14ac:dyDescent="0.3">
      <c r="A1320">
        <v>1319</v>
      </c>
      <c r="B1320">
        <v>1</v>
      </c>
      <c r="C1320">
        <v>75</v>
      </c>
      <c r="D1320">
        <v>1</v>
      </c>
      <c r="E1320">
        <v>599.99</v>
      </c>
      <c r="F1320">
        <v>7.0000000000000007E-2</v>
      </c>
      <c r="G1320">
        <f t="shared" si="20"/>
        <v>599.91999999999996</v>
      </c>
      <c r="H1320" t="str">
        <f>_xlfn.XLOOKUP(C1320,products[Product_ID],products[Product_Name],"not found",0)</f>
        <v>Electra Cruiser Lux Fat Tire 1 Ladies - 2017</v>
      </c>
      <c r="I1320" t="e">
        <f>VLOOKUP(products!D1320,categories[#All],2,TRUE)</f>
        <v>#N/A</v>
      </c>
    </row>
    <row r="1321" spans="1:9" x14ac:dyDescent="0.3">
      <c r="A1321">
        <v>1320</v>
      </c>
      <c r="B1321">
        <v>1</v>
      </c>
      <c r="C1321">
        <v>104</v>
      </c>
      <c r="D1321">
        <v>1</v>
      </c>
      <c r="E1321">
        <v>481.99</v>
      </c>
      <c r="F1321">
        <v>0.1</v>
      </c>
      <c r="G1321">
        <f t="shared" si="20"/>
        <v>481.89</v>
      </c>
      <c r="H1321" t="str">
        <f>_xlfn.XLOOKUP(C1321,products[Product_ID],products[Product_Name],"not found",0)</f>
        <v>Sun Bicycles Streamway - 2017</v>
      </c>
      <c r="I1321" t="e">
        <f>VLOOKUP(products!D1321,categories[#All],2,TRUE)</f>
        <v>#N/A</v>
      </c>
    </row>
    <row r="1322" spans="1:9" x14ac:dyDescent="0.3">
      <c r="A1322">
        <v>1321</v>
      </c>
      <c r="B1322">
        <v>1</v>
      </c>
      <c r="C1322">
        <v>34</v>
      </c>
      <c r="D1322">
        <v>1</v>
      </c>
      <c r="E1322">
        <v>469.99</v>
      </c>
      <c r="F1322">
        <v>0.1</v>
      </c>
      <c r="G1322">
        <f t="shared" si="20"/>
        <v>469.89</v>
      </c>
      <c r="H1322" t="str">
        <f>_xlfn.XLOOKUP(C1322,products[Product_ID],products[Product_Name],"not found",0)</f>
        <v>Trek Session DH 27.5 Carbon Frameset - 2017</v>
      </c>
      <c r="I1322" t="e">
        <f>VLOOKUP(products!D1322,categories[#All],2,TRUE)</f>
        <v>#N/A</v>
      </c>
    </row>
    <row r="1323" spans="1:9" x14ac:dyDescent="0.3">
      <c r="A1323">
        <v>1322</v>
      </c>
      <c r="B1323">
        <v>1</v>
      </c>
      <c r="C1323">
        <v>28</v>
      </c>
      <c r="D1323">
        <v>2</v>
      </c>
      <c r="E1323">
        <v>2499.9899999999998</v>
      </c>
      <c r="F1323">
        <v>0.05</v>
      </c>
      <c r="G1323">
        <f t="shared" si="20"/>
        <v>4999.9299999999994</v>
      </c>
      <c r="H1323" t="str">
        <f>_xlfn.XLOOKUP(C1323,products[Product_ID],products[Product_Name],"not found",0)</f>
        <v>Surly Karate Monkey 27.5+ Frameset - 2017</v>
      </c>
      <c r="I1323" t="e">
        <f>VLOOKUP(products!D1323,categories[#All],2,TRUE)</f>
        <v>#N/A</v>
      </c>
    </row>
    <row r="1324" spans="1:9" x14ac:dyDescent="0.3">
      <c r="A1324">
        <v>1323</v>
      </c>
      <c r="B1324">
        <v>1</v>
      </c>
      <c r="C1324">
        <v>27</v>
      </c>
      <c r="D1324">
        <v>2</v>
      </c>
      <c r="E1324">
        <v>999.99</v>
      </c>
      <c r="F1324">
        <v>7.0000000000000007E-2</v>
      </c>
      <c r="G1324">
        <f t="shared" si="20"/>
        <v>1999.91</v>
      </c>
      <c r="H1324" t="str">
        <f>_xlfn.XLOOKUP(C1324,products[Product_ID],products[Product_Name],"not found",0)</f>
        <v>Surly Big Dummy Frameset - 2017</v>
      </c>
      <c r="I1324" t="e">
        <f>VLOOKUP(products!D1324,categories[#All],2,TRUE)</f>
        <v>#N/A</v>
      </c>
    </row>
    <row r="1325" spans="1:9" x14ac:dyDescent="0.3">
      <c r="A1325">
        <v>1324</v>
      </c>
      <c r="B1325">
        <v>1</v>
      </c>
      <c r="C1325">
        <v>66</v>
      </c>
      <c r="D1325">
        <v>1</v>
      </c>
      <c r="E1325">
        <v>250.99</v>
      </c>
      <c r="F1325">
        <v>0.1</v>
      </c>
      <c r="G1325">
        <f t="shared" si="20"/>
        <v>250.89000000000001</v>
      </c>
      <c r="H1325" t="str">
        <f>_xlfn.XLOOKUP(C1325,products[Product_ID],products[Product_Name],"not found",0)</f>
        <v>Sun Bicycles Revolutions 24 - 2017</v>
      </c>
      <c r="I1325" t="e">
        <f>VLOOKUP(products!D1325,categories[#All],2,TRUE)</f>
        <v>#N/A</v>
      </c>
    </row>
    <row r="1326" spans="1:9" x14ac:dyDescent="0.3">
      <c r="A1326">
        <v>1325</v>
      </c>
      <c r="B1326">
        <v>1</v>
      </c>
      <c r="C1326">
        <v>139</v>
      </c>
      <c r="D1326">
        <v>1</v>
      </c>
      <c r="E1326">
        <v>2999.99</v>
      </c>
      <c r="F1326">
        <v>0.05</v>
      </c>
      <c r="G1326">
        <f t="shared" si="20"/>
        <v>2999.9399999999996</v>
      </c>
      <c r="H1326" t="str">
        <f>_xlfn.XLOOKUP(C1326,products[Product_ID],products[Product_Name],"not found",0)</f>
        <v>Trek Remedy 7 27.5 - 2018</v>
      </c>
      <c r="I1326" t="e">
        <f>VLOOKUP(products!D1326,categories[#All],2,TRUE)</f>
        <v>#N/A</v>
      </c>
    </row>
    <row r="1327" spans="1:9" x14ac:dyDescent="0.3">
      <c r="A1327">
        <v>1326</v>
      </c>
      <c r="B1327">
        <v>1</v>
      </c>
      <c r="C1327">
        <v>190</v>
      </c>
      <c r="D1327">
        <v>2</v>
      </c>
      <c r="E1327">
        <v>2799.99</v>
      </c>
      <c r="F1327">
        <v>7.0000000000000007E-2</v>
      </c>
      <c r="G1327">
        <f t="shared" si="20"/>
        <v>5599.91</v>
      </c>
      <c r="H1327" t="str">
        <f>_xlfn.XLOOKUP(C1327,products[Product_ID],products[Product_Name],"not found",0)</f>
        <v>Trek Dual Sport+ - 2018</v>
      </c>
      <c r="I1327" t="e">
        <f>VLOOKUP(products!D1327,categories[#All],2,TRUE)</f>
        <v>#N/A</v>
      </c>
    </row>
    <row r="1328" spans="1:9" x14ac:dyDescent="0.3">
      <c r="A1328">
        <v>1327</v>
      </c>
      <c r="B1328">
        <v>1</v>
      </c>
      <c r="C1328">
        <v>151</v>
      </c>
      <c r="D1328">
        <v>2</v>
      </c>
      <c r="E1328">
        <v>1549.99</v>
      </c>
      <c r="F1328">
        <v>7.0000000000000007E-2</v>
      </c>
      <c r="G1328">
        <f t="shared" si="20"/>
        <v>3099.91</v>
      </c>
      <c r="H1328" t="str">
        <f>_xlfn.XLOOKUP(C1328,products[Product_ID],products[Product_Name],"not found",0)</f>
        <v>Trek Domane ALR 4 Disc Women's - 2018</v>
      </c>
      <c r="I1328" t="e">
        <f>VLOOKUP(products!D1328,categories[#All],2,TRUE)</f>
        <v>#N/A</v>
      </c>
    </row>
    <row r="1329" spans="1:9" x14ac:dyDescent="0.3">
      <c r="A1329">
        <v>1328</v>
      </c>
      <c r="B1329">
        <v>1</v>
      </c>
      <c r="C1329">
        <v>241</v>
      </c>
      <c r="D1329">
        <v>1</v>
      </c>
      <c r="E1329">
        <v>749.99</v>
      </c>
      <c r="F1329">
        <v>7.0000000000000007E-2</v>
      </c>
      <c r="G1329">
        <f t="shared" si="20"/>
        <v>749.92</v>
      </c>
      <c r="H1329" t="str">
        <f>_xlfn.XLOOKUP(C1329,products[Product_ID],products[Product_Name],"not found",0)</f>
        <v>Electra Townie Commute 8D - 2018</v>
      </c>
      <c r="I1329" t="e">
        <f>VLOOKUP(products!D1329,categories[#All],2,TRUE)</f>
        <v>#N/A</v>
      </c>
    </row>
    <row r="1330" spans="1:9" x14ac:dyDescent="0.3">
      <c r="A1330">
        <v>1329</v>
      </c>
      <c r="B1330">
        <v>1</v>
      </c>
      <c r="C1330">
        <v>143</v>
      </c>
      <c r="D1330">
        <v>1</v>
      </c>
      <c r="E1330">
        <v>1099.99</v>
      </c>
      <c r="F1330">
        <v>7.0000000000000007E-2</v>
      </c>
      <c r="G1330">
        <f t="shared" si="20"/>
        <v>1099.92</v>
      </c>
      <c r="H1330" t="str">
        <f>_xlfn.XLOOKUP(C1330,products[Product_ID],products[Product_Name],"not found",0)</f>
        <v>Trek Domane ALR 3 - 2018</v>
      </c>
      <c r="I1330" t="e">
        <f>VLOOKUP(products!D1330,categories[#All],2,TRUE)</f>
        <v>#N/A</v>
      </c>
    </row>
    <row r="1331" spans="1:9" x14ac:dyDescent="0.3">
      <c r="A1331">
        <v>1330</v>
      </c>
      <c r="B1331">
        <v>1</v>
      </c>
      <c r="C1331">
        <v>232</v>
      </c>
      <c r="D1331">
        <v>1</v>
      </c>
      <c r="E1331">
        <v>479.99</v>
      </c>
      <c r="F1331">
        <v>0.2</v>
      </c>
      <c r="G1331">
        <f t="shared" si="20"/>
        <v>479.79</v>
      </c>
      <c r="H1331" t="str">
        <f>_xlfn.XLOOKUP(C1331,products[Product_ID],products[Product_Name],"not found",0)</f>
        <v>Electra Cruiser Lux 7D Ladies' - 2018</v>
      </c>
      <c r="I1331" t="e">
        <f>VLOOKUP(products!D1331,categories[#All],2,TRUE)</f>
        <v>#N/A</v>
      </c>
    </row>
    <row r="1332" spans="1:9" x14ac:dyDescent="0.3">
      <c r="A1332">
        <v>1331</v>
      </c>
      <c r="B1332">
        <v>1</v>
      </c>
      <c r="C1332">
        <v>253</v>
      </c>
      <c r="D1332">
        <v>1</v>
      </c>
      <c r="E1332">
        <v>2599.9899999999998</v>
      </c>
      <c r="F1332">
        <v>0.05</v>
      </c>
      <c r="G1332">
        <f t="shared" si="20"/>
        <v>2599.9399999999996</v>
      </c>
      <c r="H1332" t="str">
        <f>_xlfn.XLOOKUP(C1332,products[Product_ID],products[Product_Name],"not found",0)</f>
        <v>Electra Townie Go! 8i Ladies' - 2018</v>
      </c>
      <c r="I1332" t="e">
        <f>VLOOKUP(products!D1332,categories[#All],2,TRUE)</f>
        <v>#N/A</v>
      </c>
    </row>
    <row r="1333" spans="1:9" x14ac:dyDescent="0.3">
      <c r="A1333">
        <v>1332</v>
      </c>
      <c r="B1333">
        <v>1</v>
      </c>
      <c r="C1333">
        <v>296</v>
      </c>
      <c r="D1333">
        <v>1</v>
      </c>
      <c r="E1333">
        <v>369.99</v>
      </c>
      <c r="F1333">
        <v>0.2</v>
      </c>
      <c r="G1333">
        <f t="shared" si="20"/>
        <v>369.79</v>
      </c>
      <c r="H1333" t="str">
        <f>_xlfn.XLOOKUP(C1333,products[Product_ID],products[Product_Name],"not found",0)</f>
        <v>Electra Treasure 3i 20" - 2018</v>
      </c>
      <c r="I1333" t="e">
        <f>VLOOKUP(products!D1333,categories[#All],2,TRUE)</f>
        <v>#N/A</v>
      </c>
    </row>
    <row r="1334" spans="1:9" x14ac:dyDescent="0.3">
      <c r="A1334">
        <v>1333</v>
      </c>
      <c r="B1334">
        <v>1</v>
      </c>
      <c r="C1334">
        <v>205</v>
      </c>
      <c r="D1334">
        <v>2</v>
      </c>
      <c r="E1334">
        <v>4999.99</v>
      </c>
      <c r="F1334">
        <v>0.05</v>
      </c>
      <c r="G1334">
        <f t="shared" si="20"/>
        <v>9999.93</v>
      </c>
      <c r="H1334" t="str">
        <f>_xlfn.XLOOKUP(C1334,products[Product_ID],products[Product_Name],"not found",0)</f>
        <v>Trek Super Commuter+ 8S - 2018</v>
      </c>
      <c r="I1334" t="e">
        <f>VLOOKUP(products!D1334,categories[#All],2,TRUE)</f>
        <v>#N/A</v>
      </c>
    </row>
    <row r="1335" spans="1:9" x14ac:dyDescent="0.3">
      <c r="A1335">
        <v>1334</v>
      </c>
      <c r="B1335">
        <v>1</v>
      </c>
      <c r="C1335">
        <v>203</v>
      </c>
      <c r="D1335">
        <v>2</v>
      </c>
      <c r="E1335">
        <v>4999.99</v>
      </c>
      <c r="F1335">
        <v>0.05</v>
      </c>
      <c r="G1335">
        <f t="shared" si="20"/>
        <v>9999.93</v>
      </c>
      <c r="H1335" t="str">
        <f>_xlfn.XLOOKUP(C1335,products[Product_ID],products[Product_Name],"not found",0)</f>
        <v>Trek Powerfly 7 FS - 2018</v>
      </c>
      <c r="I1335" t="e">
        <f>VLOOKUP(products!D1335,categories[#All],2,TRUE)</f>
        <v>#N/A</v>
      </c>
    </row>
    <row r="1336" spans="1:9" x14ac:dyDescent="0.3">
      <c r="A1336">
        <v>1335</v>
      </c>
      <c r="B1336">
        <v>1</v>
      </c>
      <c r="C1336">
        <v>138</v>
      </c>
      <c r="D1336">
        <v>2</v>
      </c>
      <c r="E1336">
        <v>2249.9899999999998</v>
      </c>
      <c r="F1336">
        <v>0.05</v>
      </c>
      <c r="G1336">
        <f t="shared" si="20"/>
        <v>4499.9299999999994</v>
      </c>
      <c r="H1336" t="str">
        <f>_xlfn.XLOOKUP(C1336,products[Product_ID],products[Product_Name],"not found",0)</f>
        <v>Trek Fuel EX 5 Plus - 2018</v>
      </c>
      <c r="I1336" t="e">
        <f>VLOOKUP(products!D1336,categories[#All],2,TRUE)</f>
        <v>#N/A</v>
      </c>
    </row>
    <row r="1337" spans="1:9" x14ac:dyDescent="0.3">
      <c r="A1337">
        <v>1336</v>
      </c>
      <c r="B1337">
        <v>1</v>
      </c>
      <c r="C1337">
        <v>29</v>
      </c>
      <c r="D1337">
        <v>2</v>
      </c>
      <c r="E1337">
        <v>999.99</v>
      </c>
      <c r="F1337">
        <v>0.2</v>
      </c>
      <c r="G1337">
        <f t="shared" si="20"/>
        <v>1999.78</v>
      </c>
      <c r="H1337" t="str">
        <f>_xlfn.XLOOKUP(C1337,products[Product_ID],products[Product_Name],"not found",0)</f>
        <v>Trek X-Caliber 8 - 2017</v>
      </c>
      <c r="I1337" t="e">
        <f>VLOOKUP(products!D1337,categories[#All],2,TRUE)</f>
        <v>#N/A</v>
      </c>
    </row>
    <row r="1338" spans="1:9" x14ac:dyDescent="0.3">
      <c r="A1338">
        <v>1337</v>
      </c>
      <c r="B1338">
        <v>1</v>
      </c>
      <c r="C1338">
        <v>153</v>
      </c>
      <c r="D1338">
        <v>1</v>
      </c>
      <c r="E1338">
        <v>4999.99</v>
      </c>
      <c r="F1338">
        <v>0.1</v>
      </c>
      <c r="G1338">
        <f t="shared" si="20"/>
        <v>4999.8899999999994</v>
      </c>
      <c r="H1338" t="str">
        <f>_xlfn.XLOOKUP(C1338,products[Product_ID],products[Product_Name],"not found",0)</f>
        <v>Trek Domane SL 7 Women's - 2018</v>
      </c>
      <c r="I1338" t="e">
        <f>VLOOKUP(products!D1338,categories[#All],2,TRUE)</f>
        <v>#N/A</v>
      </c>
    </row>
    <row r="1339" spans="1:9" x14ac:dyDescent="0.3">
      <c r="A1339">
        <v>1338</v>
      </c>
      <c r="B1339">
        <v>1</v>
      </c>
      <c r="C1339">
        <v>169</v>
      </c>
      <c r="D1339">
        <v>2</v>
      </c>
      <c r="E1339">
        <v>6499.99</v>
      </c>
      <c r="F1339">
        <v>7.0000000000000007E-2</v>
      </c>
      <c r="G1339">
        <f t="shared" si="20"/>
        <v>12999.91</v>
      </c>
      <c r="H1339" t="str">
        <f>_xlfn.XLOOKUP(C1339,products[Product_ID],products[Product_Name],"not found",0)</f>
        <v>Trek Emonda SLR 8 - 2018</v>
      </c>
      <c r="I1339" t="e">
        <f>VLOOKUP(products!D1339,categories[#All],2,TRUE)</f>
        <v>#N/A</v>
      </c>
    </row>
    <row r="1340" spans="1:9" x14ac:dyDescent="0.3">
      <c r="A1340">
        <v>1339</v>
      </c>
      <c r="B1340">
        <v>1</v>
      </c>
      <c r="C1340">
        <v>175</v>
      </c>
      <c r="D1340">
        <v>1</v>
      </c>
      <c r="E1340">
        <v>3199.99</v>
      </c>
      <c r="F1340">
        <v>7.0000000000000007E-2</v>
      </c>
      <c r="G1340">
        <f t="shared" si="20"/>
        <v>3199.9199999999996</v>
      </c>
      <c r="H1340" t="str">
        <f>_xlfn.XLOOKUP(C1340,products[Product_ID],products[Product_Name],"not found",0)</f>
        <v>Trek Domane SLR Frameset - 2018</v>
      </c>
      <c r="I1340" t="e">
        <f>VLOOKUP(products!D1340,categories[#All],2,TRUE)</f>
        <v>#N/A</v>
      </c>
    </row>
    <row r="1341" spans="1:9" x14ac:dyDescent="0.3">
      <c r="A1341">
        <v>1340</v>
      </c>
      <c r="B1341">
        <v>1</v>
      </c>
      <c r="C1341">
        <v>253</v>
      </c>
      <c r="D1341">
        <v>1</v>
      </c>
      <c r="E1341">
        <v>2599.9899999999998</v>
      </c>
      <c r="F1341">
        <v>0.2</v>
      </c>
      <c r="G1341">
        <f t="shared" si="20"/>
        <v>2599.79</v>
      </c>
      <c r="H1341" t="str">
        <f>_xlfn.XLOOKUP(C1341,products[Product_ID],products[Product_Name],"not found",0)</f>
        <v>Electra Townie Go! 8i Ladies' - 2018</v>
      </c>
      <c r="I1341" t="e">
        <f>VLOOKUP(products!D1341,categories[#All],2,TRUE)</f>
        <v>#N/A</v>
      </c>
    </row>
    <row r="1342" spans="1:9" x14ac:dyDescent="0.3">
      <c r="A1342">
        <v>1341</v>
      </c>
      <c r="B1342">
        <v>1</v>
      </c>
      <c r="C1342">
        <v>215</v>
      </c>
      <c r="D1342">
        <v>2</v>
      </c>
      <c r="E1342">
        <v>749.99</v>
      </c>
      <c r="F1342">
        <v>7.0000000000000007E-2</v>
      </c>
      <c r="G1342">
        <f t="shared" si="20"/>
        <v>1499.91</v>
      </c>
      <c r="H1342" t="str">
        <f>_xlfn.XLOOKUP(C1342,products[Product_ID],products[Product_Name],"not found",0)</f>
        <v>Electra Queen of Hearts 3i - 2018</v>
      </c>
      <c r="I1342" t="e">
        <f>VLOOKUP(products!D1342,categories[#All],2,TRUE)</f>
        <v>#N/A</v>
      </c>
    </row>
    <row r="1343" spans="1:9" x14ac:dyDescent="0.3">
      <c r="A1343">
        <v>1342</v>
      </c>
      <c r="B1343">
        <v>1</v>
      </c>
      <c r="C1343">
        <v>60</v>
      </c>
      <c r="D1343">
        <v>1</v>
      </c>
      <c r="E1343">
        <v>1559.99</v>
      </c>
      <c r="F1343">
        <v>0.05</v>
      </c>
      <c r="G1343">
        <f t="shared" si="20"/>
        <v>1559.94</v>
      </c>
      <c r="H1343" t="str">
        <f>_xlfn.XLOOKUP(C1343,products[Product_ID],products[Product_Name],"not found",0)</f>
        <v>Sun Bicycles ElectroLite - 2017</v>
      </c>
      <c r="I1343" t="e">
        <f>VLOOKUP(products!D1343,categories[#All],2,TRUE)</f>
        <v>#N/A</v>
      </c>
    </row>
    <row r="1344" spans="1:9" x14ac:dyDescent="0.3">
      <c r="A1344">
        <v>1343</v>
      </c>
      <c r="B1344">
        <v>1</v>
      </c>
      <c r="C1344">
        <v>244</v>
      </c>
      <c r="D1344">
        <v>1</v>
      </c>
      <c r="E1344">
        <v>559.99</v>
      </c>
      <c r="F1344">
        <v>0.05</v>
      </c>
      <c r="G1344">
        <f t="shared" si="20"/>
        <v>559.94000000000005</v>
      </c>
      <c r="H1344" t="str">
        <f>_xlfn.XLOOKUP(C1344,products[Product_ID],products[Product_Name],"not found",0)</f>
        <v>Electra Townie Original 21D Ladies' - 2018</v>
      </c>
      <c r="I1344" t="e">
        <f>VLOOKUP(products!D1344,categories[#All],2,TRUE)</f>
        <v>#N/A</v>
      </c>
    </row>
    <row r="1345" spans="1:9" x14ac:dyDescent="0.3">
      <c r="A1345">
        <v>1344</v>
      </c>
      <c r="B1345">
        <v>1</v>
      </c>
      <c r="C1345">
        <v>77</v>
      </c>
      <c r="D1345">
        <v>2</v>
      </c>
      <c r="E1345">
        <v>799.99</v>
      </c>
      <c r="F1345">
        <v>7.0000000000000007E-2</v>
      </c>
      <c r="G1345">
        <f t="shared" si="20"/>
        <v>1599.91</v>
      </c>
      <c r="H1345" t="str">
        <f>_xlfn.XLOOKUP(C1345,products[Product_ID],products[Product_Name],"not found",0)</f>
        <v>Electra Glam Punk 3i Ladies' - 2017</v>
      </c>
      <c r="I1345" t="e">
        <f>VLOOKUP(products!D1345,categories[#All],2,TRUE)</f>
        <v>#N/A</v>
      </c>
    </row>
    <row r="1346" spans="1:9" x14ac:dyDescent="0.3">
      <c r="A1346">
        <v>1345</v>
      </c>
      <c r="B1346">
        <v>1</v>
      </c>
      <c r="C1346">
        <v>40</v>
      </c>
      <c r="D1346">
        <v>2</v>
      </c>
      <c r="E1346">
        <v>4999.99</v>
      </c>
      <c r="F1346">
        <v>0.2</v>
      </c>
      <c r="G1346">
        <f t="shared" ref="G1346:G1409" si="21">(E1346*D1346)-F1346</f>
        <v>9999.7799999999988</v>
      </c>
      <c r="H1346" t="str">
        <f>_xlfn.XLOOKUP(C1346,products[Product_ID],products[Product_Name],"not found",0)</f>
        <v>Trek Fuel EX 9.8 29 - 2017</v>
      </c>
      <c r="I1346" t="e">
        <f>VLOOKUP(products!D1346,categories[#All],2,TRUE)</f>
        <v>#N/A</v>
      </c>
    </row>
    <row r="1347" spans="1:9" x14ac:dyDescent="0.3">
      <c r="A1347">
        <v>1346</v>
      </c>
      <c r="B1347">
        <v>1</v>
      </c>
      <c r="C1347">
        <v>134</v>
      </c>
      <c r="D1347">
        <v>2</v>
      </c>
      <c r="E1347">
        <v>1499.99</v>
      </c>
      <c r="F1347">
        <v>0.05</v>
      </c>
      <c r="G1347">
        <f t="shared" si="21"/>
        <v>2999.93</v>
      </c>
      <c r="H1347" t="str">
        <f>_xlfn.XLOOKUP(C1347,products[Product_ID],products[Product_Name],"not found",0)</f>
        <v>Trek Remedy 27.5 C Frameset - 2018</v>
      </c>
      <c r="I1347" t="e">
        <f>VLOOKUP(products!D1347,categories[#All],2,TRUE)</f>
        <v>#N/A</v>
      </c>
    </row>
    <row r="1348" spans="1:9" x14ac:dyDescent="0.3">
      <c r="A1348">
        <v>1347</v>
      </c>
      <c r="B1348">
        <v>1</v>
      </c>
      <c r="C1348">
        <v>43</v>
      </c>
      <c r="D1348">
        <v>2</v>
      </c>
      <c r="E1348">
        <v>5299.99</v>
      </c>
      <c r="F1348">
        <v>7.0000000000000007E-2</v>
      </c>
      <c r="G1348">
        <f t="shared" si="21"/>
        <v>10599.91</v>
      </c>
      <c r="H1348" t="str">
        <f>_xlfn.XLOOKUP(C1348,products[Product_ID],products[Product_Name],"not found",0)</f>
        <v>Trek Fuel EX 9.8 27.5 Plus - 2017</v>
      </c>
      <c r="I1348" t="e">
        <f>VLOOKUP(products!D1348,categories[#All],2,TRUE)</f>
        <v>#N/A</v>
      </c>
    </row>
    <row r="1349" spans="1:9" x14ac:dyDescent="0.3">
      <c r="A1349">
        <v>1348</v>
      </c>
      <c r="B1349">
        <v>1</v>
      </c>
      <c r="C1349">
        <v>203</v>
      </c>
      <c r="D1349">
        <v>1</v>
      </c>
      <c r="E1349">
        <v>4999.99</v>
      </c>
      <c r="F1349">
        <v>0.05</v>
      </c>
      <c r="G1349">
        <f t="shared" si="21"/>
        <v>4999.9399999999996</v>
      </c>
      <c r="H1349" t="str">
        <f>_xlfn.XLOOKUP(C1349,products[Product_ID],products[Product_Name],"not found",0)</f>
        <v>Trek Powerfly 7 FS - 2018</v>
      </c>
      <c r="I1349" t="e">
        <f>VLOOKUP(products!D1349,categories[#All],2,TRUE)</f>
        <v>#N/A</v>
      </c>
    </row>
    <row r="1350" spans="1:9" x14ac:dyDescent="0.3">
      <c r="A1350">
        <v>1349</v>
      </c>
      <c r="B1350">
        <v>1</v>
      </c>
      <c r="C1350">
        <v>138</v>
      </c>
      <c r="D1350">
        <v>2</v>
      </c>
      <c r="E1350">
        <v>2249.9899999999998</v>
      </c>
      <c r="F1350">
        <v>0.05</v>
      </c>
      <c r="G1350">
        <f t="shared" si="21"/>
        <v>4499.9299999999994</v>
      </c>
      <c r="H1350" t="str">
        <f>_xlfn.XLOOKUP(C1350,products[Product_ID],products[Product_Name],"not found",0)</f>
        <v>Trek Fuel EX 5 Plus - 2018</v>
      </c>
      <c r="I1350" t="e">
        <f>VLOOKUP(products!D1350,categories[#All],2,TRUE)</f>
        <v>#N/A</v>
      </c>
    </row>
    <row r="1351" spans="1:9" x14ac:dyDescent="0.3">
      <c r="A1351">
        <v>1350</v>
      </c>
      <c r="B1351">
        <v>1</v>
      </c>
      <c r="C1351">
        <v>305</v>
      </c>
      <c r="D1351">
        <v>1</v>
      </c>
      <c r="E1351">
        <v>749.99</v>
      </c>
      <c r="F1351">
        <v>0.1</v>
      </c>
      <c r="G1351">
        <f t="shared" si="21"/>
        <v>749.89</v>
      </c>
      <c r="H1351" t="str">
        <f>_xlfn.XLOOKUP(C1351,products[Product_ID],products[Product_Name],"not found",0)</f>
        <v>Electra Townie Balloon 3i EQ - 2017/2018</v>
      </c>
      <c r="I1351" t="e">
        <f>VLOOKUP(products!D1351,categories[#All],2,TRUE)</f>
        <v>#N/A</v>
      </c>
    </row>
    <row r="1352" spans="1:9" x14ac:dyDescent="0.3">
      <c r="A1352">
        <v>1351</v>
      </c>
      <c r="B1352">
        <v>1</v>
      </c>
      <c r="C1352">
        <v>297</v>
      </c>
      <c r="D1352">
        <v>2</v>
      </c>
      <c r="E1352">
        <v>279.99</v>
      </c>
      <c r="F1352">
        <v>0.2</v>
      </c>
      <c r="G1352">
        <f t="shared" si="21"/>
        <v>559.78</v>
      </c>
      <c r="H1352" t="str">
        <f>_xlfn.XLOOKUP(C1352,products[Product_ID],products[Product_Name],"not found",0)</f>
        <v>Electra Under-The-Sea 1 16" - 2018</v>
      </c>
      <c r="I1352" t="e">
        <f>VLOOKUP(products!D1352,categories[#All],2,TRUE)</f>
        <v>#N/A</v>
      </c>
    </row>
    <row r="1353" spans="1:9" x14ac:dyDescent="0.3">
      <c r="A1353">
        <v>1352</v>
      </c>
      <c r="B1353">
        <v>1</v>
      </c>
      <c r="C1353">
        <v>136</v>
      </c>
      <c r="D1353">
        <v>1</v>
      </c>
      <c r="E1353">
        <v>1799.99</v>
      </c>
      <c r="F1353">
        <v>0.2</v>
      </c>
      <c r="G1353">
        <f t="shared" si="21"/>
        <v>1799.79</v>
      </c>
      <c r="H1353" t="str">
        <f>_xlfn.XLOOKUP(C1353,products[Product_ID],products[Product_Name],"not found",0)</f>
        <v>Trek Procaliber 6 - 2018</v>
      </c>
      <c r="I1353" t="e">
        <f>VLOOKUP(products!D1353,categories[#All],2,TRUE)</f>
        <v>#N/A</v>
      </c>
    </row>
    <row r="1354" spans="1:9" x14ac:dyDescent="0.3">
      <c r="A1354">
        <v>1353</v>
      </c>
      <c r="B1354">
        <v>1</v>
      </c>
      <c r="C1354">
        <v>107</v>
      </c>
      <c r="D1354">
        <v>2</v>
      </c>
      <c r="E1354">
        <v>416.99</v>
      </c>
      <c r="F1354">
        <v>0.05</v>
      </c>
      <c r="G1354">
        <f t="shared" si="21"/>
        <v>833.93000000000006</v>
      </c>
      <c r="H1354" t="str">
        <f>_xlfn.XLOOKUP(C1354,products[Product_ID],products[Product_Name],"not found",0)</f>
        <v>Sun Bicycles Cruz 7 - 2017</v>
      </c>
      <c r="I1354" t="e">
        <f>VLOOKUP(products!D1354,categories[#All],2,TRUE)</f>
        <v>#N/A</v>
      </c>
    </row>
    <row r="1355" spans="1:9" x14ac:dyDescent="0.3">
      <c r="A1355">
        <v>1354</v>
      </c>
      <c r="B1355">
        <v>1</v>
      </c>
      <c r="C1355">
        <v>166</v>
      </c>
      <c r="D1355">
        <v>2</v>
      </c>
      <c r="E1355">
        <v>749.99</v>
      </c>
      <c r="F1355">
        <v>7.0000000000000007E-2</v>
      </c>
      <c r="G1355">
        <f t="shared" si="21"/>
        <v>1499.91</v>
      </c>
      <c r="H1355" t="str">
        <f>_xlfn.XLOOKUP(C1355,products[Product_ID],products[Product_Name],"not found",0)</f>
        <v>Trek Domane AL 2 Women's - 2018</v>
      </c>
      <c r="I1355" t="e">
        <f>VLOOKUP(products!D1355,categories[#All],2,TRUE)</f>
        <v>#N/A</v>
      </c>
    </row>
    <row r="1356" spans="1:9" x14ac:dyDescent="0.3">
      <c r="A1356">
        <v>1355</v>
      </c>
      <c r="B1356">
        <v>1</v>
      </c>
      <c r="C1356">
        <v>297</v>
      </c>
      <c r="D1356">
        <v>1</v>
      </c>
      <c r="E1356">
        <v>279.99</v>
      </c>
      <c r="F1356">
        <v>0.1</v>
      </c>
      <c r="G1356">
        <f t="shared" si="21"/>
        <v>279.89</v>
      </c>
      <c r="H1356" t="str">
        <f>_xlfn.XLOOKUP(C1356,products[Product_ID],products[Product_Name],"not found",0)</f>
        <v>Electra Under-The-Sea 1 16" - 2018</v>
      </c>
      <c r="I1356" t="e">
        <f>VLOOKUP(products!D1356,categories[#All],2,TRUE)</f>
        <v>#N/A</v>
      </c>
    </row>
    <row r="1357" spans="1:9" x14ac:dyDescent="0.3">
      <c r="A1357">
        <v>1356</v>
      </c>
      <c r="B1357">
        <v>1</v>
      </c>
      <c r="C1357">
        <v>192</v>
      </c>
      <c r="D1357">
        <v>1</v>
      </c>
      <c r="E1357">
        <v>2599.9899999999998</v>
      </c>
      <c r="F1357">
        <v>0.05</v>
      </c>
      <c r="G1357">
        <f t="shared" si="21"/>
        <v>2599.9399999999996</v>
      </c>
      <c r="H1357" t="str">
        <f>_xlfn.XLOOKUP(C1357,products[Product_ID],products[Product_Name],"not found",0)</f>
        <v>Electra Townie Go! 8i - 2017/2018</v>
      </c>
      <c r="I1357" t="e">
        <f>VLOOKUP(products!D1357,categories[#All],2,TRUE)</f>
        <v>#N/A</v>
      </c>
    </row>
    <row r="1358" spans="1:9" x14ac:dyDescent="0.3">
      <c r="A1358">
        <v>1357</v>
      </c>
      <c r="B1358">
        <v>1</v>
      </c>
      <c r="C1358">
        <v>145</v>
      </c>
      <c r="D1358">
        <v>2</v>
      </c>
      <c r="E1358">
        <v>1799.99</v>
      </c>
      <c r="F1358">
        <v>0.2</v>
      </c>
      <c r="G1358">
        <f t="shared" si="21"/>
        <v>3599.78</v>
      </c>
      <c r="H1358" t="str">
        <f>_xlfn.XLOOKUP(C1358,products[Product_ID],products[Product_Name],"not found",0)</f>
        <v>Trek Domane ALR 5 Disc - 2018</v>
      </c>
      <c r="I1358" t="e">
        <f>VLOOKUP(products!D1358,categories[#All],2,TRUE)</f>
        <v>#N/A</v>
      </c>
    </row>
    <row r="1359" spans="1:9" x14ac:dyDescent="0.3">
      <c r="A1359">
        <v>1358</v>
      </c>
      <c r="B1359">
        <v>1</v>
      </c>
      <c r="C1359">
        <v>257</v>
      </c>
      <c r="D1359">
        <v>2</v>
      </c>
      <c r="E1359">
        <v>899.99</v>
      </c>
      <c r="F1359">
        <v>0.2</v>
      </c>
      <c r="G1359">
        <f t="shared" si="21"/>
        <v>1799.78</v>
      </c>
      <c r="H1359" t="str">
        <f>_xlfn.XLOOKUP(C1359,products[Product_ID],products[Product_Name],"not found",0)</f>
        <v>Electra Amsterdam Fashion 3i Ladies' - 2017/2018</v>
      </c>
      <c r="I1359" t="e">
        <f>VLOOKUP(products!D1359,categories[#All],2,TRUE)</f>
        <v>#N/A</v>
      </c>
    </row>
    <row r="1360" spans="1:9" x14ac:dyDescent="0.3">
      <c r="A1360">
        <v>1359</v>
      </c>
      <c r="B1360">
        <v>1</v>
      </c>
      <c r="C1360">
        <v>282</v>
      </c>
      <c r="D1360">
        <v>1</v>
      </c>
      <c r="E1360">
        <v>279.99</v>
      </c>
      <c r="F1360">
        <v>0.05</v>
      </c>
      <c r="G1360">
        <f t="shared" si="21"/>
        <v>279.94</v>
      </c>
      <c r="H1360" t="str">
        <f>_xlfn.XLOOKUP(C1360,products[Product_ID],products[Product_Name],"not found",0)</f>
        <v>Electra Cyclosaurus 1 (16-inch) - Boy's - 2018</v>
      </c>
      <c r="I1360" t="e">
        <f>VLOOKUP(products!D1360,categories[#All],2,TRUE)</f>
        <v>#N/A</v>
      </c>
    </row>
    <row r="1361" spans="1:9" x14ac:dyDescent="0.3">
      <c r="A1361">
        <v>1360</v>
      </c>
      <c r="B1361">
        <v>1</v>
      </c>
      <c r="C1361">
        <v>31</v>
      </c>
      <c r="D1361">
        <v>1</v>
      </c>
      <c r="E1361">
        <v>1632.99</v>
      </c>
      <c r="F1361">
        <v>0.05</v>
      </c>
      <c r="G1361">
        <f t="shared" si="21"/>
        <v>1632.94</v>
      </c>
      <c r="H1361" t="str">
        <f>_xlfn.XLOOKUP(C1361,products[Product_ID],products[Product_Name],"not found",0)</f>
        <v>Surly Wednesday - 2017</v>
      </c>
      <c r="I1361" t="e">
        <f>VLOOKUP(products!D1361,categories[#All],2,TRUE)</f>
        <v>#N/A</v>
      </c>
    </row>
    <row r="1362" spans="1:9" x14ac:dyDescent="0.3">
      <c r="A1362">
        <v>1361</v>
      </c>
      <c r="B1362">
        <v>1</v>
      </c>
      <c r="C1362">
        <v>307</v>
      </c>
      <c r="D1362">
        <v>2</v>
      </c>
      <c r="E1362">
        <v>749.99</v>
      </c>
      <c r="F1362">
        <v>7.0000000000000007E-2</v>
      </c>
      <c r="G1362">
        <f t="shared" si="21"/>
        <v>1499.91</v>
      </c>
      <c r="H1362" t="str">
        <f>_xlfn.XLOOKUP(C1362,products[Product_ID],products[Product_Name],"not found",0)</f>
        <v>Electra Townie Balloon 8D EQ - 2016/2017/2018</v>
      </c>
      <c r="I1362" t="e">
        <f>VLOOKUP(products!D1362,categories[#All],2,TRUE)</f>
        <v>#N/A</v>
      </c>
    </row>
    <row r="1363" spans="1:9" x14ac:dyDescent="0.3">
      <c r="A1363">
        <v>1362</v>
      </c>
      <c r="B1363">
        <v>1</v>
      </c>
      <c r="C1363">
        <v>27</v>
      </c>
      <c r="D1363">
        <v>2</v>
      </c>
      <c r="E1363">
        <v>999.99</v>
      </c>
      <c r="F1363">
        <v>0.2</v>
      </c>
      <c r="G1363">
        <f t="shared" si="21"/>
        <v>1999.78</v>
      </c>
      <c r="H1363" t="str">
        <f>_xlfn.XLOOKUP(C1363,products[Product_ID],products[Product_Name],"not found",0)</f>
        <v>Surly Big Dummy Frameset - 2017</v>
      </c>
      <c r="I1363" t="e">
        <f>VLOOKUP(products!D1363,categories[#All],2,TRUE)</f>
        <v>#N/A</v>
      </c>
    </row>
    <row r="1364" spans="1:9" x14ac:dyDescent="0.3">
      <c r="A1364">
        <v>1363</v>
      </c>
      <c r="B1364">
        <v>1</v>
      </c>
      <c r="C1364">
        <v>66</v>
      </c>
      <c r="D1364">
        <v>2</v>
      </c>
      <c r="E1364">
        <v>250.99</v>
      </c>
      <c r="F1364">
        <v>0.1</v>
      </c>
      <c r="G1364">
        <f t="shared" si="21"/>
        <v>501.88</v>
      </c>
      <c r="H1364" t="str">
        <f>_xlfn.XLOOKUP(C1364,products[Product_ID],products[Product_Name],"not found",0)</f>
        <v>Sun Bicycles Revolutions 24 - 2017</v>
      </c>
      <c r="I1364" t="e">
        <f>VLOOKUP(products!D1364,categories[#All],2,TRUE)</f>
        <v>#N/A</v>
      </c>
    </row>
    <row r="1365" spans="1:9" x14ac:dyDescent="0.3">
      <c r="A1365">
        <v>1364</v>
      </c>
      <c r="B1365">
        <v>1</v>
      </c>
      <c r="C1365">
        <v>78</v>
      </c>
      <c r="D1365">
        <v>1</v>
      </c>
      <c r="E1365">
        <v>647.99</v>
      </c>
      <c r="F1365">
        <v>7.0000000000000007E-2</v>
      </c>
      <c r="G1365">
        <f t="shared" si="21"/>
        <v>647.91999999999996</v>
      </c>
      <c r="H1365" t="str">
        <f>_xlfn.XLOOKUP(C1365,products[Product_ID],products[Product_Name],"not found",0)</f>
        <v>Sun Bicycles Biscayne Tandem CB - 2017</v>
      </c>
      <c r="I1365" t="e">
        <f>VLOOKUP(products!D1365,categories[#All],2,TRUE)</f>
        <v>#N/A</v>
      </c>
    </row>
    <row r="1366" spans="1:9" x14ac:dyDescent="0.3">
      <c r="A1366">
        <v>1365</v>
      </c>
      <c r="B1366">
        <v>1</v>
      </c>
      <c r="C1366">
        <v>144</v>
      </c>
      <c r="D1366">
        <v>1</v>
      </c>
      <c r="E1366">
        <v>1549.99</v>
      </c>
      <c r="F1366">
        <v>7.0000000000000007E-2</v>
      </c>
      <c r="G1366">
        <f t="shared" si="21"/>
        <v>1549.92</v>
      </c>
      <c r="H1366" t="str">
        <f>_xlfn.XLOOKUP(C1366,products[Product_ID],products[Product_Name],"not found",0)</f>
        <v>Trek Domane ALR 4 Disc - 2018</v>
      </c>
      <c r="I1366" t="e">
        <f>VLOOKUP(products!D1366,categories[#All],2,TRUE)</f>
        <v>#N/A</v>
      </c>
    </row>
    <row r="1367" spans="1:9" x14ac:dyDescent="0.3">
      <c r="A1367">
        <v>1366</v>
      </c>
      <c r="B1367">
        <v>1</v>
      </c>
      <c r="C1367">
        <v>115</v>
      </c>
      <c r="D1367">
        <v>1</v>
      </c>
      <c r="E1367">
        <v>3199.99</v>
      </c>
      <c r="F1367">
        <v>0.1</v>
      </c>
      <c r="G1367">
        <f t="shared" si="21"/>
        <v>3199.89</v>
      </c>
      <c r="H1367" t="str">
        <f>_xlfn.XLOOKUP(C1367,products[Product_ID],products[Product_Name],"not found",0)</f>
        <v>Trek Fuel EX 8 29 - 2018</v>
      </c>
      <c r="I1367" t="e">
        <f>VLOOKUP(products!D1367,categories[#All],2,TRUE)</f>
        <v>#N/A</v>
      </c>
    </row>
    <row r="1368" spans="1:9" x14ac:dyDescent="0.3">
      <c r="A1368">
        <v>1367</v>
      </c>
      <c r="B1368">
        <v>1</v>
      </c>
      <c r="C1368">
        <v>132</v>
      </c>
      <c r="D1368">
        <v>1</v>
      </c>
      <c r="E1368">
        <v>1499.99</v>
      </c>
      <c r="F1368">
        <v>0.1</v>
      </c>
      <c r="G1368">
        <f t="shared" si="21"/>
        <v>1499.89</v>
      </c>
      <c r="H1368" t="str">
        <f>_xlfn.XLOOKUP(C1368,products[Product_ID],products[Product_Name],"not found",0)</f>
        <v>Trek Procal AL Frameset - 2018</v>
      </c>
      <c r="I1368" t="e">
        <f>VLOOKUP(products!D1368,categories[#All],2,TRUE)</f>
        <v>#N/A</v>
      </c>
    </row>
    <row r="1369" spans="1:9" x14ac:dyDescent="0.3">
      <c r="A1369">
        <v>1368</v>
      </c>
      <c r="B1369">
        <v>1</v>
      </c>
      <c r="C1369">
        <v>66</v>
      </c>
      <c r="D1369">
        <v>1</v>
      </c>
      <c r="E1369">
        <v>250.99</v>
      </c>
      <c r="F1369">
        <v>0.1</v>
      </c>
      <c r="G1369">
        <f t="shared" si="21"/>
        <v>250.89000000000001</v>
      </c>
      <c r="H1369" t="str">
        <f>_xlfn.XLOOKUP(C1369,products[Product_ID],products[Product_Name],"not found",0)</f>
        <v>Sun Bicycles Revolutions 24 - 2017</v>
      </c>
      <c r="I1369" t="e">
        <f>VLOOKUP(products!D1369,categories[#All],2,TRUE)</f>
        <v>#N/A</v>
      </c>
    </row>
    <row r="1370" spans="1:9" x14ac:dyDescent="0.3">
      <c r="A1370">
        <v>1369</v>
      </c>
      <c r="B1370">
        <v>1</v>
      </c>
      <c r="C1370">
        <v>213</v>
      </c>
      <c r="D1370">
        <v>2</v>
      </c>
      <c r="E1370">
        <v>269.99</v>
      </c>
      <c r="F1370">
        <v>0.05</v>
      </c>
      <c r="G1370">
        <f t="shared" si="21"/>
        <v>539.93000000000006</v>
      </c>
      <c r="H1370" t="str">
        <f>_xlfn.XLOOKUP(C1370,products[Product_ID],products[Product_Name],"not found",0)</f>
        <v>Electra Cruiser 1 - 2016/2017/2018</v>
      </c>
      <c r="I1370" t="e">
        <f>VLOOKUP(products!D1370,categories[#All],2,TRUE)</f>
        <v>#N/A</v>
      </c>
    </row>
    <row r="1371" spans="1:9" x14ac:dyDescent="0.3">
      <c r="A1371">
        <v>1370</v>
      </c>
      <c r="B1371">
        <v>1</v>
      </c>
      <c r="C1371">
        <v>7</v>
      </c>
      <c r="D1371">
        <v>1</v>
      </c>
      <c r="E1371">
        <v>3999.99</v>
      </c>
      <c r="F1371">
        <v>7.0000000000000007E-2</v>
      </c>
      <c r="G1371">
        <f t="shared" si="21"/>
        <v>3999.9199999999996</v>
      </c>
      <c r="H1371" t="str">
        <f>_xlfn.XLOOKUP(C1371,products[Product_ID],products[Product_Name],"not found",0)</f>
        <v>Trek Slash 8 27.5 - 2016</v>
      </c>
      <c r="I1371" t="e">
        <f>VLOOKUP(products!D1371,categories[#All],2,TRUE)</f>
        <v>#N/A</v>
      </c>
    </row>
    <row r="1372" spans="1:9" x14ac:dyDescent="0.3">
      <c r="A1372">
        <v>1371</v>
      </c>
      <c r="B1372">
        <v>1</v>
      </c>
      <c r="C1372">
        <v>223</v>
      </c>
      <c r="D1372">
        <v>2</v>
      </c>
      <c r="E1372">
        <v>529.99</v>
      </c>
      <c r="F1372">
        <v>7.0000000000000007E-2</v>
      </c>
      <c r="G1372">
        <f t="shared" si="21"/>
        <v>1059.9100000000001</v>
      </c>
      <c r="H1372" t="str">
        <f>_xlfn.XLOOKUP(C1372,products[Product_ID],products[Product_Name],"not found",0)</f>
        <v>Electra Cruiser Lux 3i - 2018</v>
      </c>
      <c r="I1372" t="e">
        <f>VLOOKUP(products!D1372,categories[#All],2,TRUE)</f>
        <v>#N/A</v>
      </c>
    </row>
    <row r="1373" spans="1:9" x14ac:dyDescent="0.3">
      <c r="A1373">
        <v>1372</v>
      </c>
      <c r="B1373">
        <v>1</v>
      </c>
      <c r="C1373">
        <v>307</v>
      </c>
      <c r="D1373">
        <v>1</v>
      </c>
      <c r="E1373">
        <v>749.99</v>
      </c>
      <c r="F1373">
        <v>7.0000000000000007E-2</v>
      </c>
      <c r="G1373">
        <f t="shared" si="21"/>
        <v>749.92</v>
      </c>
      <c r="H1373" t="str">
        <f>_xlfn.XLOOKUP(C1373,products[Product_ID],products[Product_Name],"not found",0)</f>
        <v>Electra Townie Balloon 8D EQ - 2016/2017/2018</v>
      </c>
      <c r="I1373" t="e">
        <f>VLOOKUP(products!D1373,categories[#All],2,TRUE)</f>
        <v>#N/A</v>
      </c>
    </row>
    <row r="1374" spans="1:9" x14ac:dyDescent="0.3">
      <c r="A1374">
        <v>1373</v>
      </c>
      <c r="B1374">
        <v>1</v>
      </c>
      <c r="C1374">
        <v>63</v>
      </c>
      <c r="D1374">
        <v>1</v>
      </c>
      <c r="E1374">
        <v>3499.99</v>
      </c>
      <c r="F1374">
        <v>0.1</v>
      </c>
      <c r="G1374">
        <f t="shared" si="21"/>
        <v>3499.89</v>
      </c>
      <c r="H1374" t="str">
        <f>_xlfn.XLOOKUP(C1374,products[Product_ID],products[Product_Name],"not found",0)</f>
        <v>Trek Boone Race Shop Limited - 2017</v>
      </c>
      <c r="I1374" t="e">
        <f>VLOOKUP(products!D1374,categories[#All],2,TRUE)</f>
        <v>#N/A</v>
      </c>
    </row>
    <row r="1375" spans="1:9" x14ac:dyDescent="0.3">
      <c r="A1375">
        <v>1374</v>
      </c>
      <c r="B1375">
        <v>1</v>
      </c>
      <c r="C1375">
        <v>181</v>
      </c>
      <c r="D1375">
        <v>2</v>
      </c>
      <c r="E1375">
        <v>2199.9899999999998</v>
      </c>
      <c r="F1375">
        <v>0.05</v>
      </c>
      <c r="G1375">
        <f t="shared" si="21"/>
        <v>4399.9299999999994</v>
      </c>
      <c r="H1375" t="str">
        <f>_xlfn.XLOOKUP(C1375,products[Product_ID],products[Product_Name],"not found",0)</f>
        <v>Trek Domane SL 5 - 2018</v>
      </c>
      <c r="I1375" t="e">
        <f>VLOOKUP(products!D1375,categories[#All],2,TRUE)</f>
        <v>#N/A</v>
      </c>
    </row>
    <row r="1376" spans="1:9" x14ac:dyDescent="0.3">
      <c r="A1376">
        <v>1375</v>
      </c>
      <c r="B1376">
        <v>1</v>
      </c>
      <c r="C1376">
        <v>147</v>
      </c>
      <c r="D1376">
        <v>2</v>
      </c>
      <c r="E1376">
        <v>1799.99</v>
      </c>
      <c r="F1376">
        <v>0.05</v>
      </c>
      <c r="G1376">
        <f t="shared" si="21"/>
        <v>3599.93</v>
      </c>
      <c r="H1376" t="str">
        <f>_xlfn.XLOOKUP(C1376,products[Product_ID],products[Product_Name],"not found",0)</f>
        <v>Trek Domane ALR 5 Gravel - 2018</v>
      </c>
      <c r="I1376" t="e">
        <f>VLOOKUP(products!D1376,categories[#All],2,TRUE)</f>
        <v>#N/A</v>
      </c>
    </row>
    <row r="1377" spans="1:9" x14ac:dyDescent="0.3">
      <c r="A1377">
        <v>1376</v>
      </c>
      <c r="B1377">
        <v>1</v>
      </c>
      <c r="C1377">
        <v>5</v>
      </c>
      <c r="D1377">
        <v>1</v>
      </c>
      <c r="E1377">
        <v>1320.99</v>
      </c>
      <c r="F1377">
        <v>7.0000000000000007E-2</v>
      </c>
      <c r="G1377">
        <f t="shared" si="21"/>
        <v>1320.92</v>
      </c>
      <c r="H1377" t="str">
        <f>_xlfn.XLOOKUP(C1377,products[Product_ID],products[Product_Name],"not found",0)</f>
        <v>Heller Shagamaw Frame - 2016</v>
      </c>
      <c r="I1377" t="e">
        <f>VLOOKUP(products!D1377,categories[#All],2,TRUE)</f>
        <v>#N/A</v>
      </c>
    </row>
    <row r="1378" spans="1:9" x14ac:dyDescent="0.3">
      <c r="A1378">
        <v>1377</v>
      </c>
      <c r="B1378">
        <v>1</v>
      </c>
      <c r="C1378">
        <v>153</v>
      </c>
      <c r="D1378">
        <v>2</v>
      </c>
      <c r="E1378">
        <v>4999.99</v>
      </c>
      <c r="F1378">
        <v>0.05</v>
      </c>
      <c r="G1378">
        <f t="shared" si="21"/>
        <v>9999.93</v>
      </c>
      <c r="H1378" t="str">
        <f>_xlfn.XLOOKUP(C1378,products[Product_ID],products[Product_Name],"not found",0)</f>
        <v>Trek Domane SL 7 Women's - 2018</v>
      </c>
      <c r="I1378" t="e">
        <f>VLOOKUP(products!D1378,categories[#All],2,TRUE)</f>
        <v>#N/A</v>
      </c>
    </row>
    <row r="1379" spans="1:9" x14ac:dyDescent="0.3">
      <c r="A1379">
        <v>1378</v>
      </c>
      <c r="B1379">
        <v>1</v>
      </c>
      <c r="C1379">
        <v>96</v>
      </c>
      <c r="D1379">
        <v>2</v>
      </c>
      <c r="E1379">
        <v>349.99</v>
      </c>
      <c r="F1379">
        <v>7.0000000000000007E-2</v>
      </c>
      <c r="G1379">
        <f t="shared" si="21"/>
        <v>699.91</v>
      </c>
      <c r="H1379" t="str">
        <f>_xlfn.XLOOKUP(C1379,products[Product_ID],products[Product_Name],"not found",0)</f>
        <v>Electra Moto 3i (20-inch) - Boy's - 2017</v>
      </c>
      <c r="I1379" t="e">
        <f>VLOOKUP(products!D1379,categories[#All],2,TRUE)</f>
        <v>#N/A</v>
      </c>
    </row>
    <row r="1380" spans="1:9" x14ac:dyDescent="0.3">
      <c r="A1380">
        <v>1379</v>
      </c>
      <c r="B1380">
        <v>1</v>
      </c>
      <c r="C1380">
        <v>15</v>
      </c>
      <c r="D1380">
        <v>1</v>
      </c>
      <c r="E1380">
        <v>529.99</v>
      </c>
      <c r="F1380">
        <v>0.1</v>
      </c>
      <c r="G1380">
        <f t="shared" si="21"/>
        <v>529.89</v>
      </c>
      <c r="H1380" t="str">
        <f>_xlfn.XLOOKUP(C1380,products[Product_ID],products[Product_Name],"not found",0)</f>
        <v>Electra Moto 1 - 2016</v>
      </c>
      <c r="I1380" t="e">
        <f>VLOOKUP(products!D1380,categories[#All],2,TRUE)</f>
        <v>#N/A</v>
      </c>
    </row>
    <row r="1381" spans="1:9" x14ac:dyDescent="0.3">
      <c r="A1381">
        <v>1380</v>
      </c>
      <c r="B1381">
        <v>1</v>
      </c>
      <c r="C1381">
        <v>255</v>
      </c>
      <c r="D1381">
        <v>2</v>
      </c>
      <c r="E1381">
        <v>899.99</v>
      </c>
      <c r="F1381">
        <v>0.1</v>
      </c>
      <c r="G1381">
        <f t="shared" si="21"/>
        <v>1799.88</v>
      </c>
      <c r="H1381" t="str">
        <f>_xlfn.XLOOKUP(C1381,products[Product_ID],products[Product_Name],"not found",0)</f>
        <v>Electra Townie Balloon 7i EQ Ladies' - 2017/2018</v>
      </c>
      <c r="I1381" t="e">
        <f>VLOOKUP(products!D1381,categories[#All],2,TRUE)</f>
        <v>#N/A</v>
      </c>
    </row>
    <row r="1382" spans="1:9" x14ac:dyDescent="0.3">
      <c r="A1382">
        <v>1381</v>
      </c>
      <c r="B1382">
        <v>1</v>
      </c>
      <c r="C1382">
        <v>274</v>
      </c>
      <c r="D1382">
        <v>2</v>
      </c>
      <c r="E1382">
        <v>229.99</v>
      </c>
      <c r="F1382">
        <v>0.2</v>
      </c>
      <c r="G1382">
        <f t="shared" si="21"/>
        <v>459.78000000000003</v>
      </c>
      <c r="H1382" t="str">
        <f>_xlfn.XLOOKUP(C1382,products[Product_ID],products[Product_Name],"not found",0)</f>
        <v>Trek Precaliber 20 Boy's - 2018</v>
      </c>
      <c r="I1382" t="e">
        <f>VLOOKUP(products!D1382,categories[#All],2,TRUE)</f>
        <v>#N/A</v>
      </c>
    </row>
    <row r="1383" spans="1:9" x14ac:dyDescent="0.3">
      <c r="A1383">
        <v>1382</v>
      </c>
      <c r="B1383">
        <v>1</v>
      </c>
      <c r="C1383">
        <v>232</v>
      </c>
      <c r="D1383">
        <v>1</v>
      </c>
      <c r="E1383">
        <v>479.99</v>
      </c>
      <c r="F1383">
        <v>0.2</v>
      </c>
      <c r="G1383">
        <f t="shared" si="21"/>
        <v>479.79</v>
      </c>
      <c r="H1383" t="str">
        <f>_xlfn.XLOOKUP(C1383,products[Product_ID],products[Product_Name],"not found",0)</f>
        <v>Electra Cruiser Lux 7D Ladies' - 2018</v>
      </c>
      <c r="I1383" t="e">
        <f>VLOOKUP(products!D1383,categories[#All],2,TRUE)</f>
        <v>#N/A</v>
      </c>
    </row>
    <row r="1384" spans="1:9" x14ac:dyDescent="0.3">
      <c r="A1384">
        <v>1383</v>
      </c>
      <c r="B1384">
        <v>1</v>
      </c>
      <c r="C1384">
        <v>188</v>
      </c>
      <c r="D1384">
        <v>2</v>
      </c>
      <c r="E1384">
        <v>3499.99</v>
      </c>
      <c r="F1384">
        <v>0.2</v>
      </c>
      <c r="G1384">
        <f t="shared" si="21"/>
        <v>6999.78</v>
      </c>
      <c r="H1384" t="str">
        <f>_xlfn.XLOOKUP(C1384,products[Product_ID],products[Product_Name],"not found",0)</f>
        <v>Trek XM700+ Lowstep - 2018</v>
      </c>
      <c r="I1384" t="e">
        <f>VLOOKUP(products!D1384,categories[#All],2,TRUE)</f>
        <v>#N/A</v>
      </c>
    </row>
    <row r="1385" spans="1:9" x14ac:dyDescent="0.3">
      <c r="A1385">
        <v>1384</v>
      </c>
      <c r="B1385">
        <v>1</v>
      </c>
      <c r="C1385">
        <v>32</v>
      </c>
      <c r="D1385">
        <v>1</v>
      </c>
      <c r="E1385">
        <v>469.99</v>
      </c>
      <c r="F1385">
        <v>7.0000000000000007E-2</v>
      </c>
      <c r="G1385">
        <f t="shared" si="21"/>
        <v>469.92</v>
      </c>
      <c r="H1385" t="str">
        <f>_xlfn.XLOOKUP(C1385,products[Product_ID],products[Product_Name],"not found",0)</f>
        <v>Trek Farley Alloy Frameset - 2017</v>
      </c>
      <c r="I1385" t="e">
        <f>VLOOKUP(products!D1385,categories[#All],2,TRUE)</f>
        <v>#N/A</v>
      </c>
    </row>
    <row r="1386" spans="1:9" x14ac:dyDescent="0.3">
      <c r="A1386">
        <v>1385</v>
      </c>
      <c r="B1386">
        <v>1</v>
      </c>
      <c r="C1386">
        <v>24</v>
      </c>
      <c r="D1386">
        <v>2</v>
      </c>
      <c r="E1386">
        <v>549.99</v>
      </c>
      <c r="F1386">
        <v>0.05</v>
      </c>
      <c r="G1386">
        <f t="shared" si="21"/>
        <v>1099.93</v>
      </c>
      <c r="H1386" t="str">
        <f>_xlfn.XLOOKUP(C1386,products[Product_ID],products[Product_Name],"not found",0)</f>
        <v>Electra Townie Original 21D - 2016</v>
      </c>
      <c r="I1386" t="e">
        <f>VLOOKUP(products!D1386,categories[#All],2,TRUE)</f>
        <v>#N/A</v>
      </c>
    </row>
    <row r="1387" spans="1:9" x14ac:dyDescent="0.3">
      <c r="A1387">
        <v>1386</v>
      </c>
      <c r="B1387">
        <v>1</v>
      </c>
      <c r="C1387">
        <v>292</v>
      </c>
      <c r="D1387">
        <v>1</v>
      </c>
      <c r="E1387">
        <v>369.99</v>
      </c>
      <c r="F1387">
        <v>0.2</v>
      </c>
      <c r="G1387">
        <f t="shared" si="21"/>
        <v>369.79</v>
      </c>
      <c r="H1387" t="str">
        <f>_xlfn.XLOOKUP(C1387,products[Product_ID],products[Product_Name],"not found",0)</f>
        <v>Electra Sweet Ride 3i (20-inch) - Girls' - 2018</v>
      </c>
      <c r="I1387" t="e">
        <f>VLOOKUP(products!D1387,categories[#All],2,TRUE)</f>
        <v>#N/A</v>
      </c>
    </row>
    <row r="1388" spans="1:9" x14ac:dyDescent="0.3">
      <c r="A1388">
        <v>1387</v>
      </c>
      <c r="B1388">
        <v>1</v>
      </c>
      <c r="C1388">
        <v>106</v>
      </c>
      <c r="D1388">
        <v>1</v>
      </c>
      <c r="E1388">
        <v>449.99</v>
      </c>
      <c r="F1388">
        <v>0.1</v>
      </c>
      <c r="G1388">
        <f t="shared" si="21"/>
        <v>449.89</v>
      </c>
      <c r="H1388" t="str">
        <f>_xlfn.XLOOKUP(C1388,products[Product_ID],products[Product_Name],"not found",0)</f>
        <v>Sun Bicycles Cruz 3 - 2017</v>
      </c>
      <c r="I1388" t="e">
        <f>VLOOKUP(products!D1388,categories[#All],2,TRUE)</f>
        <v>#N/A</v>
      </c>
    </row>
    <row r="1389" spans="1:9" x14ac:dyDescent="0.3">
      <c r="A1389">
        <v>1388</v>
      </c>
      <c r="B1389">
        <v>1</v>
      </c>
      <c r="C1389">
        <v>251</v>
      </c>
      <c r="D1389">
        <v>1</v>
      </c>
      <c r="E1389">
        <v>2999.99</v>
      </c>
      <c r="F1389">
        <v>0.1</v>
      </c>
      <c r="G1389">
        <f t="shared" si="21"/>
        <v>2999.89</v>
      </c>
      <c r="H1389" t="str">
        <f>_xlfn.XLOOKUP(C1389,products[Product_ID],products[Product_Name],"not found",0)</f>
        <v>Electra Townie Commute Go! - 2018</v>
      </c>
      <c r="I1389" t="e">
        <f>VLOOKUP(products!D1389,categories[#All],2,TRUE)</f>
        <v>#N/A</v>
      </c>
    </row>
    <row r="1390" spans="1:9" x14ac:dyDescent="0.3">
      <c r="A1390">
        <v>1389</v>
      </c>
      <c r="B1390">
        <v>1</v>
      </c>
      <c r="C1390">
        <v>85</v>
      </c>
      <c r="D1390">
        <v>2</v>
      </c>
      <c r="E1390">
        <v>329.99</v>
      </c>
      <c r="F1390">
        <v>0.1</v>
      </c>
      <c r="G1390">
        <f t="shared" si="21"/>
        <v>659.88</v>
      </c>
      <c r="H1390" t="str">
        <f>_xlfn.XLOOKUP(C1390,products[Product_ID],products[Product_Name],"not found",0)</f>
        <v>Haro Downtown 16 - 2017</v>
      </c>
      <c r="I1390" t="e">
        <f>VLOOKUP(products!D1390,categories[#All],2,TRUE)</f>
        <v>#N/A</v>
      </c>
    </row>
    <row r="1391" spans="1:9" x14ac:dyDescent="0.3">
      <c r="A1391">
        <v>1390</v>
      </c>
      <c r="B1391">
        <v>1</v>
      </c>
      <c r="C1391">
        <v>41</v>
      </c>
      <c r="D1391">
        <v>2</v>
      </c>
      <c r="E1391">
        <v>1469.99</v>
      </c>
      <c r="F1391">
        <v>0.05</v>
      </c>
      <c r="G1391">
        <f t="shared" si="21"/>
        <v>2939.93</v>
      </c>
      <c r="H1391" t="str">
        <f>_xlfn.XLOOKUP(C1391,products[Product_ID],products[Product_Name],"not found",0)</f>
        <v>Haro Shift R3 - 2017</v>
      </c>
      <c r="I1391" t="e">
        <f>VLOOKUP(products!D1391,categories[#All],2,TRUE)</f>
        <v>#N/A</v>
      </c>
    </row>
    <row r="1392" spans="1:9" x14ac:dyDescent="0.3">
      <c r="A1392">
        <v>1391</v>
      </c>
      <c r="B1392">
        <v>1</v>
      </c>
      <c r="C1392">
        <v>223</v>
      </c>
      <c r="D1392">
        <v>2</v>
      </c>
      <c r="E1392">
        <v>529.99</v>
      </c>
      <c r="F1392">
        <v>7.0000000000000007E-2</v>
      </c>
      <c r="G1392">
        <f t="shared" si="21"/>
        <v>1059.9100000000001</v>
      </c>
      <c r="H1392" t="str">
        <f>_xlfn.XLOOKUP(C1392,products[Product_ID],products[Product_Name],"not found",0)</f>
        <v>Electra Cruiser Lux 3i - 2018</v>
      </c>
      <c r="I1392" t="e">
        <f>VLOOKUP(products!D1392,categories[#All],2,TRUE)</f>
        <v>#N/A</v>
      </c>
    </row>
    <row r="1393" spans="1:9" x14ac:dyDescent="0.3">
      <c r="A1393">
        <v>1392</v>
      </c>
      <c r="B1393">
        <v>1</v>
      </c>
      <c r="C1393">
        <v>87</v>
      </c>
      <c r="D1393">
        <v>2</v>
      </c>
      <c r="E1393">
        <v>189.99</v>
      </c>
      <c r="F1393">
        <v>0.2</v>
      </c>
      <c r="G1393">
        <f t="shared" si="21"/>
        <v>379.78000000000003</v>
      </c>
      <c r="H1393" t="str">
        <f>_xlfn.XLOOKUP(C1393,products[Product_ID],products[Product_Name],"not found",0)</f>
        <v>Trek Precaliber 12 Boys - 2017</v>
      </c>
      <c r="I1393" t="e">
        <f>VLOOKUP(products!D1393,categories[#All],2,TRUE)</f>
        <v>#N/A</v>
      </c>
    </row>
    <row r="1394" spans="1:9" x14ac:dyDescent="0.3">
      <c r="A1394">
        <v>1393</v>
      </c>
      <c r="B1394">
        <v>1</v>
      </c>
      <c r="C1394">
        <v>92</v>
      </c>
      <c r="D1394">
        <v>1</v>
      </c>
      <c r="E1394">
        <v>209.99</v>
      </c>
      <c r="F1394">
        <v>7.0000000000000007E-2</v>
      </c>
      <c r="G1394">
        <f t="shared" si="21"/>
        <v>209.92000000000002</v>
      </c>
      <c r="H1394" t="str">
        <f>_xlfn.XLOOKUP(C1394,products[Product_ID],products[Product_Name],"not found",0)</f>
        <v>Haro Shredder 20 - 2017</v>
      </c>
      <c r="I1394" t="e">
        <f>VLOOKUP(products!D1394,categories[#All],2,TRUE)</f>
        <v>#N/A</v>
      </c>
    </row>
    <row r="1395" spans="1:9" x14ac:dyDescent="0.3">
      <c r="A1395">
        <v>1394</v>
      </c>
      <c r="B1395">
        <v>1</v>
      </c>
      <c r="C1395">
        <v>165</v>
      </c>
      <c r="D1395">
        <v>2</v>
      </c>
      <c r="E1395">
        <v>2499.9899999999998</v>
      </c>
      <c r="F1395">
        <v>0.05</v>
      </c>
      <c r="G1395">
        <f t="shared" si="21"/>
        <v>4999.9299999999994</v>
      </c>
      <c r="H1395" t="str">
        <f>_xlfn.XLOOKUP(C1395,products[Product_ID],products[Product_Name],"not found",0)</f>
        <v>Trek 1120 - 2018</v>
      </c>
      <c r="I1395" t="e">
        <f>VLOOKUP(products!D1395,categories[#All],2,TRUE)</f>
        <v>#N/A</v>
      </c>
    </row>
    <row r="1396" spans="1:9" x14ac:dyDescent="0.3">
      <c r="A1396">
        <v>1395</v>
      </c>
      <c r="B1396">
        <v>1</v>
      </c>
      <c r="C1396">
        <v>204</v>
      </c>
      <c r="D1396">
        <v>1</v>
      </c>
      <c r="E1396">
        <v>3599.99</v>
      </c>
      <c r="F1396">
        <v>0.2</v>
      </c>
      <c r="G1396">
        <f t="shared" si="21"/>
        <v>3599.79</v>
      </c>
      <c r="H1396" t="str">
        <f>_xlfn.XLOOKUP(C1396,products[Product_ID],products[Product_Name],"not found",0)</f>
        <v>Trek Super Commuter+ 7 - 2018</v>
      </c>
      <c r="I1396" t="e">
        <f>VLOOKUP(products!D1396,categories[#All],2,TRUE)</f>
        <v>#N/A</v>
      </c>
    </row>
    <row r="1397" spans="1:9" x14ac:dyDescent="0.3">
      <c r="A1397">
        <v>1396</v>
      </c>
      <c r="B1397">
        <v>1</v>
      </c>
      <c r="C1397">
        <v>57</v>
      </c>
      <c r="D1397">
        <v>1</v>
      </c>
      <c r="E1397">
        <v>1999.99</v>
      </c>
      <c r="F1397">
        <v>0.05</v>
      </c>
      <c r="G1397">
        <f t="shared" si="21"/>
        <v>1999.94</v>
      </c>
      <c r="H1397" t="str">
        <f>_xlfn.XLOOKUP(C1397,products[Product_ID],products[Product_Name],"not found",0)</f>
        <v>Trek Emonda S 5 - 2017</v>
      </c>
      <c r="I1397" t="e">
        <f>VLOOKUP(products!D1397,categories[#All],2,TRUE)</f>
        <v>#N/A</v>
      </c>
    </row>
    <row r="1398" spans="1:9" x14ac:dyDescent="0.3">
      <c r="A1398">
        <v>1397</v>
      </c>
      <c r="B1398">
        <v>1</v>
      </c>
      <c r="C1398">
        <v>127</v>
      </c>
      <c r="D1398">
        <v>2</v>
      </c>
      <c r="E1398">
        <v>469.99</v>
      </c>
      <c r="F1398">
        <v>0.1</v>
      </c>
      <c r="G1398">
        <f t="shared" si="21"/>
        <v>939.88</v>
      </c>
      <c r="H1398" t="str">
        <f>_xlfn.XLOOKUP(C1398,products[Product_ID],products[Product_Name],"not found",0)</f>
        <v>Surly Pack Rat Frameset - 2018</v>
      </c>
      <c r="I1398" t="e">
        <f>VLOOKUP(products!D1398,categories[#All],2,TRUE)</f>
        <v>#N/A</v>
      </c>
    </row>
    <row r="1399" spans="1:9" x14ac:dyDescent="0.3">
      <c r="A1399">
        <v>1398</v>
      </c>
      <c r="B1399">
        <v>1</v>
      </c>
      <c r="C1399">
        <v>69</v>
      </c>
      <c r="D1399">
        <v>2</v>
      </c>
      <c r="E1399">
        <v>416.99</v>
      </c>
      <c r="F1399">
        <v>0.05</v>
      </c>
      <c r="G1399">
        <f t="shared" si="21"/>
        <v>833.93000000000006</v>
      </c>
      <c r="H1399" t="str">
        <f>_xlfn.XLOOKUP(C1399,products[Product_ID],products[Product_Name],"not found",0)</f>
        <v>Sun Bicycles Cruz 7 - 2017</v>
      </c>
      <c r="I1399" t="e">
        <f>VLOOKUP(products!D1399,categories[#All],2,TRUE)</f>
        <v>#N/A</v>
      </c>
    </row>
    <row r="1400" spans="1:9" x14ac:dyDescent="0.3">
      <c r="A1400">
        <v>1399</v>
      </c>
      <c r="B1400">
        <v>1</v>
      </c>
      <c r="C1400">
        <v>210</v>
      </c>
      <c r="D1400">
        <v>2</v>
      </c>
      <c r="E1400">
        <v>1549</v>
      </c>
      <c r="F1400">
        <v>0.2</v>
      </c>
      <c r="G1400">
        <f t="shared" si="21"/>
        <v>3097.8</v>
      </c>
      <c r="H1400" t="str">
        <f>_xlfn.XLOOKUP(C1400,products[Product_ID],products[Product_Name],"not found",0)</f>
        <v>Surly Straggler - 2018</v>
      </c>
      <c r="I1400" t="e">
        <f>VLOOKUP(products!D1400,categories[#All],2,TRUE)</f>
        <v>#N/A</v>
      </c>
    </row>
    <row r="1401" spans="1:9" x14ac:dyDescent="0.3">
      <c r="A1401">
        <v>1400</v>
      </c>
      <c r="B1401">
        <v>1</v>
      </c>
      <c r="C1401">
        <v>24</v>
      </c>
      <c r="D1401">
        <v>2</v>
      </c>
      <c r="E1401">
        <v>549.99</v>
      </c>
      <c r="F1401">
        <v>0.2</v>
      </c>
      <c r="G1401">
        <f t="shared" si="21"/>
        <v>1099.78</v>
      </c>
      <c r="H1401" t="str">
        <f>_xlfn.XLOOKUP(C1401,products[Product_ID],products[Product_Name],"not found",0)</f>
        <v>Electra Townie Original 21D - 2016</v>
      </c>
      <c r="I1401" t="e">
        <f>VLOOKUP(products!D1401,categories[#All],2,TRUE)</f>
        <v>#N/A</v>
      </c>
    </row>
    <row r="1402" spans="1:9" x14ac:dyDescent="0.3">
      <c r="A1402">
        <v>1401</v>
      </c>
      <c r="B1402">
        <v>1</v>
      </c>
      <c r="C1402">
        <v>112</v>
      </c>
      <c r="D1402">
        <v>1</v>
      </c>
      <c r="E1402">
        <v>379.99</v>
      </c>
      <c r="F1402">
        <v>7.0000000000000007E-2</v>
      </c>
      <c r="G1402">
        <f t="shared" si="21"/>
        <v>379.92</v>
      </c>
      <c r="H1402" t="str">
        <f>_xlfn.XLOOKUP(C1402,products[Product_ID],products[Product_Name],"not found",0)</f>
        <v>Trek 820 - 2018</v>
      </c>
      <c r="I1402" t="e">
        <f>VLOOKUP(products!D1402,categories[#All],2,TRUE)</f>
        <v>#N/A</v>
      </c>
    </row>
    <row r="1403" spans="1:9" x14ac:dyDescent="0.3">
      <c r="A1403">
        <v>1402</v>
      </c>
      <c r="B1403">
        <v>1</v>
      </c>
      <c r="C1403">
        <v>189</v>
      </c>
      <c r="D1403">
        <v>2</v>
      </c>
      <c r="E1403">
        <v>2799.99</v>
      </c>
      <c r="F1403">
        <v>0.2</v>
      </c>
      <c r="G1403">
        <f t="shared" si="21"/>
        <v>5599.78</v>
      </c>
      <c r="H1403" t="str">
        <f>_xlfn.XLOOKUP(C1403,products[Product_ID],products[Product_Name],"not found",0)</f>
        <v>Trek Lift+ Lowstep - 2018</v>
      </c>
      <c r="I1403" t="e">
        <f>VLOOKUP(products!D1403,categories[#All],2,TRUE)</f>
        <v>#N/A</v>
      </c>
    </row>
    <row r="1404" spans="1:9" x14ac:dyDescent="0.3">
      <c r="A1404">
        <v>1403</v>
      </c>
      <c r="B1404">
        <v>1</v>
      </c>
      <c r="C1404">
        <v>93</v>
      </c>
      <c r="D1404">
        <v>2</v>
      </c>
      <c r="E1404">
        <v>209.99</v>
      </c>
      <c r="F1404">
        <v>0.1</v>
      </c>
      <c r="G1404">
        <f t="shared" si="21"/>
        <v>419.88</v>
      </c>
      <c r="H1404" t="str">
        <f>_xlfn.XLOOKUP(C1404,products[Product_ID],products[Product_Name],"not found",0)</f>
        <v>Haro Shredder 20 Girls - 2017</v>
      </c>
      <c r="I1404" t="e">
        <f>VLOOKUP(products!D1404,categories[#All],2,TRUE)</f>
        <v>#N/A</v>
      </c>
    </row>
    <row r="1405" spans="1:9" x14ac:dyDescent="0.3">
      <c r="A1405">
        <v>1404</v>
      </c>
      <c r="B1405">
        <v>1</v>
      </c>
      <c r="C1405">
        <v>112</v>
      </c>
      <c r="D1405">
        <v>2</v>
      </c>
      <c r="E1405">
        <v>379.99</v>
      </c>
      <c r="F1405">
        <v>0.05</v>
      </c>
      <c r="G1405">
        <f t="shared" si="21"/>
        <v>759.93000000000006</v>
      </c>
      <c r="H1405" t="str">
        <f>_xlfn.XLOOKUP(C1405,products[Product_ID],products[Product_Name],"not found",0)</f>
        <v>Trek 820 - 2018</v>
      </c>
      <c r="I1405" t="e">
        <f>VLOOKUP(products!D1405,categories[#All],2,TRUE)</f>
        <v>#N/A</v>
      </c>
    </row>
    <row r="1406" spans="1:9" x14ac:dyDescent="0.3">
      <c r="A1406">
        <v>1405</v>
      </c>
      <c r="B1406">
        <v>1</v>
      </c>
      <c r="C1406">
        <v>162</v>
      </c>
      <c r="D1406">
        <v>2</v>
      </c>
      <c r="E1406">
        <v>2999.99</v>
      </c>
      <c r="F1406">
        <v>0.1</v>
      </c>
      <c r="G1406">
        <f t="shared" si="21"/>
        <v>5999.8799999999992</v>
      </c>
      <c r="H1406" t="str">
        <f>_xlfn.XLOOKUP(C1406,products[Product_ID],products[Product_Name],"not found",0)</f>
        <v>Trek Emonda SL 6 Disc - 2018</v>
      </c>
      <c r="I1406" t="e">
        <f>VLOOKUP(products!D1406,categories[#All],2,TRUE)</f>
        <v>#N/A</v>
      </c>
    </row>
    <row r="1407" spans="1:9" x14ac:dyDescent="0.3">
      <c r="A1407">
        <v>1406</v>
      </c>
      <c r="B1407">
        <v>1</v>
      </c>
      <c r="C1407">
        <v>230</v>
      </c>
      <c r="D1407">
        <v>2</v>
      </c>
      <c r="E1407">
        <v>429.99</v>
      </c>
      <c r="F1407">
        <v>0.05</v>
      </c>
      <c r="G1407">
        <f t="shared" si="21"/>
        <v>859.93000000000006</v>
      </c>
      <c r="H1407" t="str">
        <f>_xlfn.XLOOKUP(C1407,products[Product_ID],products[Product_Name],"not found",0)</f>
        <v>Electra Cruiser Lux 1 Ladies' - 2018</v>
      </c>
      <c r="I1407" t="e">
        <f>VLOOKUP(products!D1407,categories[#All],2,TRUE)</f>
        <v>#N/A</v>
      </c>
    </row>
    <row r="1408" spans="1:9" x14ac:dyDescent="0.3">
      <c r="A1408">
        <v>1407</v>
      </c>
      <c r="B1408">
        <v>1</v>
      </c>
      <c r="C1408">
        <v>300</v>
      </c>
      <c r="D1408">
        <v>1</v>
      </c>
      <c r="E1408">
        <v>799.99</v>
      </c>
      <c r="F1408">
        <v>0.05</v>
      </c>
      <c r="G1408">
        <f t="shared" si="21"/>
        <v>799.94</v>
      </c>
      <c r="H1408" t="str">
        <f>_xlfn.XLOOKUP(C1408,products[Product_ID],products[Product_Name],"not found",0)</f>
        <v>Electra Townie Balloon 3i EQ Ladies' - 2018</v>
      </c>
      <c r="I1408" t="e">
        <f>VLOOKUP(products!D1408,categories[#All],2,TRUE)</f>
        <v>#N/A</v>
      </c>
    </row>
    <row r="1409" spans="1:9" x14ac:dyDescent="0.3">
      <c r="A1409">
        <v>1408</v>
      </c>
      <c r="B1409">
        <v>1</v>
      </c>
      <c r="C1409">
        <v>23</v>
      </c>
      <c r="D1409">
        <v>2</v>
      </c>
      <c r="E1409">
        <v>299.99</v>
      </c>
      <c r="F1409">
        <v>0.2</v>
      </c>
      <c r="G1409">
        <f t="shared" si="21"/>
        <v>599.78</v>
      </c>
      <c r="H1409" t="str">
        <f>_xlfn.XLOOKUP(C1409,products[Product_ID],products[Product_Name],"not found",0)</f>
        <v>Electra Girl's Hawaii 1 (20-inch) - 2015/2016</v>
      </c>
      <c r="I1409" t="e">
        <f>VLOOKUP(products!D1409,categories[#All],2,TRUE)</f>
        <v>#N/A</v>
      </c>
    </row>
    <row r="1410" spans="1:9" x14ac:dyDescent="0.3">
      <c r="A1410">
        <v>1409</v>
      </c>
      <c r="B1410">
        <v>1</v>
      </c>
      <c r="C1410">
        <v>301</v>
      </c>
      <c r="D1410">
        <v>2</v>
      </c>
      <c r="E1410">
        <v>899.99</v>
      </c>
      <c r="F1410">
        <v>7.0000000000000007E-2</v>
      </c>
      <c r="G1410">
        <f t="shared" ref="G1410:G1473" si="22">(E1410*D1410)-F1410</f>
        <v>1799.91</v>
      </c>
      <c r="H1410" t="str">
        <f>_xlfn.XLOOKUP(C1410,products[Product_ID],products[Product_Name],"not found",0)</f>
        <v>Electra Townie Balloon 7i EQ - 2018</v>
      </c>
      <c r="I1410" t="e">
        <f>VLOOKUP(products!D1410,categories[#All],2,TRUE)</f>
        <v>#N/A</v>
      </c>
    </row>
    <row r="1411" spans="1:9" x14ac:dyDescent="0.3">
      <c r="A1411">
        <v>1410</v>
      </c>
      <c r="B1411">
        <v>1</v>
      </c>
      <c r="C1411">
        <v>205</v>
      </c>
      <c r="D1411">
        <v>2</v>
      </c>
      <c r="E1411">
        <v>4999.99</v>
      </c>
      <c r="F1411">
        <v>0.1</v>
      </c>
      <c r="G1411">
        <f t="shared" si="22"/>
        <v>9999.8799999999992</v>
      </c>
      <c r="H1411" t="str">
        <f>_xlfn.XLOOKUP(C1411,products[Product_ID],products[Product_Name],"not found",0)</f>
        <v>Trek Super Commuter+ 8S - 2018</v>
      </c>
      <c r="I1411" t="e">
        <f>VLOOKUP(products!D1411,categories[#All],2,TRUE)</f>
        <v>#N/A</v>
      </c>
    </row>
    <row r="1412" spans="1:9" x14ac:dyDescent="0.3">
      <c r="A1412">
        <v>1411</v>
      </c>
      <c r="B1412">
        <v>1</v>
      </c>
      <c r="C1412">
        <v>9</v>
      </c>
      <c r="D1412">
        <v>1</v>
      </c>
      <c r="E1412">
        <v>2999.99</v>
      </c>
      <c r="F1412">
        <v>0.1</v>
      </c>
      <c r="G1412">
        <f t="shared" si="22"/>
        <v>2999.89</v>
      </c>
      <c r="H1412" t="str">
        <f>_xlfn.XLOOKUP(C1412,products[Product_ID],products[Product_Name],"not found",0)</f>
        <v>Trek Conduit+ - 2016</v>
      </c>
      <c r="I1412" t="e">
        <f>VLOOKUP(products!D1412,categories[#All],2,TRUE)</f>
        <v>#N/A</v>
      </c>
    </row>
    <row r="1413" spans="1:9" x14ac:dyDescent="0.3">
      <c r="A1413">
        <v>1412</v>
      </c>
      <c r="B1413">
        <v>1</v>
      </c>
      <c r="C1413">
        <v>180</v>
      </c>
      <c r="D1413">
        <v>2</v>
      </c>
      <c r="E1413">
        <v>919.99</v>
      </c>
      <c r="F1413">
        <v>7.0000000000000007E-2</v>
      </c>
      <c r="G1413">
        <f t="shared" si="22"/>
        <v>1839.91</v>
      </c>
      <c r="H1413" t="str">
        <f>_xlfn.XLOOKUP(C1413,products[Product_ID],products[Product_Name],"not found",0)</f>
        <v>Trek Domane AL 3 Women's - 2018</v>
      </c>
      <c r="I1413" t="e">
        <f>VLOOKUP(products!D1413,categories[#All],2,TRUE)</f>
        <v>#N/A</v>
      </c>
    </row>
    <row r="1414" spans="1:9" x14ac:dyDescent="0.3">
      <c r="A1414">
        <v>1413</v>
      </c>
      <c r="B1414">
        <v>1</v>
      </c>
      <c r="C1414">
        <v>297</v>
      </c>
      <c r="D1414">
        <v>2</v>
      </c>
      <c r="E1414">
        <v>279.99</v>
      </c>
      <c r="F1414">
        <v>0.05</v>
      </c>
      <c r="G1414">
        <f t="shared" si="22"/>
        <v>559.93000000000006</v>
      </c>
      <c r="H1414" t="str">
        <f>_xlfn.XLOOKUP(C1414,products[Product_ID],products[Product_Name],"not found",0)</f>
        <v>Electra Under-The-Sea 1 16" - 2018</v>
      </c>
      <c r="I1414" t="e">
        <f>VLOOKUP(products!D1414,categories[#All],2,TRUE)</f>
        <v>#N/A</v>
      </c>
    </row>
    <row r="1415" spans="1:9" x14ac:dyDescent="0.3">
      <c r="A1415">
        <v>1414</v>
      </c>
      <c r="B1415">
        <v>1</v>
      </c>
      <c r="C1415">
        <v>162</v>
      </c>
      <c r="D1415">
        <v>2</v>
      </c>
      <c r="E1415">
        <v>2999.99</v>
      </c>
      <c r="F1415">
        <v>0.1</v>
      </c>
      <c r="G1415">
        <f t="shared" si="22"/>
        <v>5999.8799999999992</v>
      </c>
      <c r="H1415" t="str">
        <f>_xlfn.XLOOKUP(C1415,products[Product_ID],products[Product_Name],"not found",0)</f>
        <v>Trek Emonda SL 6 Disc - 2018</v>
      </c>
      <c r="I1415" t="e">
        <f>VLOOKUP(products!D1415,categories[#All],2,TRUE)</f>
        <v>#N/A</v>
      </c>
    </row>
    <row r="1416" spans="1:9" x14ac:dyDescent="0.3">
      <c r="A1416">
        <v>1415</v>
      </c>
      <c r="B1416">
        <v>1</v>
      </c>
      <c r="C1416">
        <v>31</v>
      </c>
      <c r="D1416">
        <v>2</v>
      </c>
      <c r="E1416">
        <v>1632.99</v>
      </c>
      <c r="F1416">
        <v>7.0000000000000007E-2</v>
      </c>
      <c r="G1416">
        <f t="shared" si="22"/>
        <v>3265.91</v>
      </c>
      <c r="H1416" t="str">
        <f>_xlfn.XLOOKUP(C1416,products[Product_ID],products[Product_Name],"not found",0)</f>
        <v>Surly Wednesday - 2017</v>
      </c>
      <c r="I1416" t="e">
        <f>VLOOKUP(products!D1416,categories[#All],2,TRUE)</f>
        <v>#N/A</v>
      </c>
    </row>
    <row r="1417" spans="1:9" x14ac:dyDescent="0.3">
      <c r="A1417">
        <v>1416</v>
      </c>
      <c r="B1417">
        <v>1</v>
      </c>
      <c r="C1417">
        <v>194</v>
      </c>
      <c r="D1417">
        <v>1</v>
      </c>
      <c r="E1417">
        <v>3499.99</v>
      </c>
      <c r="F1417">
        <v>0.2</v>
      </c>
      <c r="G1417">
        <f t="shared" si="22"/>
        <v>3499.79</v>
      </c>
      <c r="H1417" t="str">
        <f>_xlfn.XLOOKUP(C1417,products[Product_ID],products[Product_Name],"not found",0)</f>
        <v>Trek XM700+ - 2018</v>
      </c>
      <c r="I1417" t="e">
        <f>VLOOKUP(products!D1417,categories[#All],2,TRUE)</f>
        <v>#N/A</v>
      </c>
    </row>
    <row r="1418" spans="1:9" x14ac:dyDescent="0.3">
      <c r="A1418">
        <v>1417</v>
      </c>
      <c r="B1418">
        <v>1</v>
      </c>
      <c r="C1418">
        <v>219</v>
      </c>
      <c r="D1418">
        <v>2</v>
      </c>
      <c r="E1418">
        <v>639.99</v>
      </c>
      <c r="F1418">
        <v>0.2</v>
      </c>
      <c r="G1418">
        <f t="shared" si="22"/>
        <v>1279.78</v>
      </c>
      <c r="H1418" t="str">
        <f>_xlfn.XLOOKUP(C1418,products[Product_ID],products[Product_Name],"not found",0)</f>
        <v>Electra Moto 3i - 2018</v>
      </c>
      <c r="I1418" t="e">
        <f>VLOOKUP(products!D1418,categories[#All],2,TRUE)</f>
        <v>#N/A</v>
      </c>
    </row>
    <row r="1419" spans="1:9" x14ac:dyDescent="0.3">
      <c r="A1419">
        <v>1418</v>
      </c>
      <c r="B1419">
        <v>1</v>
      </c>
      <c r="C1419">
        <v>120</v>
      </c>
      <c r="D1419">
        <v>2</v>
      </c>
      <c r="E1419">
        <v>2499.9899999999998</v>
      </c>
      <c r="F1419">
        <v>0.2</v>
      </c>
      <c r="G1419">
        <f t="shared" si="22"/>
        <v>4999.78</v>
      </c>
      <c r="H1419" t="str">
        <f>_xlfn.XLOOKUP(C1419,products[Product_ID],products[Product_Name],"not found",0)</f>
        <v>Trek Fuel EX 7 29 - 2018</v>
      </c>
      <c r="I1419" t="e">
        <f>VLOOKUP(products!D1419,categories[#All],2,TRUE)</f>
        <v>#N/A</v>
      </c>
    </row>
    <row r="1420" spans="1:9" x14ac:dyDescent="0.3">
      <c r="A1420">
        <v>1419</v>
      </c>
      <c r="B1420">
        <v>1</v>
      </c>
      <c r="C1420">
        <v>124</v>
      </c>
      <c r="D1420">
        <v>1</v>
      </c>
      <c r="E1420">
        <v>1499</v>
      </c>
      <c r="F1420">
        <v>7.0000000000000007E-2</v>
      </c>
      <c r="G1420">
        <f t="shared" si="22"/>
        <v>1498.93</v>
      </c>
      <c r="H1420" t="str">
        <f>_xlfn.XLOOKUP(C1420,products[Product_ID],products[Product_Name],"not found",0)</f>
        <v>Surly Krampus - 2018</v>
      </c>
      <c r="I1420" t="e">
        <f>VLOOKUP(products!D1420,categories[#All],2,TRUE)</f>
        <v>#N/A</v>
      </c>
    </row>
    <row r="1421" spans="1:9" x14ac:dyDescent="0.3">
      <c r="A1421">
        <v>1420</v>
      </c>
      <c r="B1421">
        <v>1</v>
      </c>
      <c r="C1421">
        <v>197</v>
      </c>
      <c r="D1421">
        <v>1</v>
      </c>
      <c r="E1421">
        <v>2299.9899999999998</v>
      </c>
      <c r="F1421">
        <v>0.2</v>
      </c>
      <c r="G1421">
        <f t="shared" si="22"/>
        <v>2299.79</v>
      </c>
      <c r="H1421" t="str">
        <f>_xlfn.XLOOKUP(C1421,products[Product_ID],products[Product_Name],"not found",0)</f>
        <v>Trek Verve+ Lowstep - 2018</v>
      </c>
      <c r="I1421" t="e">
        <f>VLOOKUP(products!D1421,categories[#All],2,TRUE)</f>
        <v>#N/A</v>
      </c>
    </row>
    <row r="1422" spans="1:9" x14ac:dyDescent="0.3">
      <c r="A1422">
        <v>1421</v>
      </c>
      <c r="B1422">
        <v>1</v>
      </c>
      <c r="C1422">
        <v>298</v>
      </c>
      <c r="D1422">
        <v>2</v>
      </c>
      <c r="E1422">
        <v>279.99</v>
      </c>
      <c r="F1422">
        <v>0.05</v>
      </c>
      <c r="G1422">
        <f t="shared" si="22"/>
        <v>559.93000000000006</v>
      </c>
      <c r="H1422" t="str">
        <f>_xlfn.XLOOKUP(C1422,products[Product_ID],products[Product_Name],"not found",0)</f>
        <v>Electra Water Lily 1 (16-inch) - Girl's - 2018</v>
      </c>
      <c r="I1422" t="e">
        <f>VLOOKUP(products!D1422,categories[#All],2,TRUE)</f>
        <v>#N/A</v>
      </c>
    </row>
    <row r="1423" spans="1:9" x14ac:dyDescent="0.3">
      <c r="A1423">
        <v>1422</v>
      </c>
      <c r="B1423">
        <v>1</v>
      </c>
      <c r="C1423">
        <v>80</v>
      </c>
      <c r="D1423">
        <v>2</v>
      </c>
      <c r="E1423">
        <v>761.99</v>
      </c>
      <c r="F1423">
        <v>7.0000000000000007E-2</v>
      </c>
      <c r="G1423">
        <f t="shared" si="22"/>
        <v>1523.91</v>
      </c>
      <c r="H1423" t="str">
        <f>_xlfn.XLOOKUP(C1423,products[Product_ID],products[Product_Name],"not found",0)</f>
        <v>Sun Bicycles Brickell Tandem CB - 2017</v>
      </c>
      <c r="I1423" t="e">
        <f>VLOOKUP(products!D1423,categories[#All],2,TRUE)</f>
        <v>#N/A</v>
      </c>
    </row>
    <row r="1424" spans="1:9" x14ac:dyDescent="0.3">
      <c r="A1424">
        <v>1423</v>
      </c>
      <c r="B1424">
        <v>1</v>
      </c>
      <c r="C1424">
        <v>249</v>
      </c>
      <c r="D1424">
        <v>1</v>
      </c>
      <c r="E1424">
        <v>749.99</v>
      </c>
      <c r="F1424">
        <v>0.2</v>
      </c>
      <c r="G1424">
        <f t="shared" si="22"/>
        <v>749.79</v>
      </c>
      <c r="H1424" t="str">
        <f>_xlfn.XLOOKUP(C1424,products[Product_ID],products[Product_Name],"not found",0)</f>
        <v>Electra White Water 3i - 2018</v>
      </c>
      <c r="I1424" t="e">
        <f>VLOOKUP(products!D1424,categories[#All],2,TRUE)</f>
        <v>#N/A</v>
      </c>
    </row>
    <row r="1425" spans="1:9" x14ac:dyDescent="0.3">
      <c r="A1425">
        <v>1424</v>
      </c>
      <c r="B1425">
        <v>1</v>
      </c>
      <c r="C1425">
        <v>140</v>
      </c>
      <c r="D1425">
        <v>2</v>
      </c>
      <c r="E1425">
        <v>4999.99</v>
      </c>
      <c r="F1425">
        <v>0.2</v>
      </c>
      <c r="G1425">
        <f t="shared" si="22"/>
        <v>9999.7799999999988</v>
      </c>
      <c r="H1425" t="str">
        <f>_xlfn.XLOOKUP(C1425,products[Product_ID],products[Product_Name],"not found",0)</f>
        <v>Trek Remedy 9.8 27.5 - 2018</v>
      </c>
      <c r="I1425" t="e">
        <f>VLOOKUP(products!D1425,categories[#All],2,TRUE)</f>
        <v>#N/A</v>
      </c>
    </row>
    <row r="1426" spans="1:9" x14ac:dyDescent="0.3">
      <c r="A1426">
        <v>1425</v>
      </c>
      <c r="B1426">
        <v>1</v>
      </c>
      <c r="C1426">
        <v>227</v>
      </c>
      <c r="D1426">
        <v>2</v>
      </c>
      <c r="E1426">
        <v>319.99</v>
      </c>
      <c r="F1426">
        <v>0.05</v>
      </c>
      <c r="G1426">
        <f t="shared" si="22"/>
        <v>639.93000000000006</v>
      </c>
      <c r="H1426" t="str">
        <f>_xlfn.XLOOKUP(C1426,products[Product_ID],products[Product_Name],"not found",0)</f>
        <v>Electra Cruiser 7D (24-Inch) Ladies' - 2016/2018</v>
      </c>
      <c r="I1426" t="e">
        <f>VLOOKUP(products!D1426,categories[#All],2,TRUE)</f>
        <v>#N/A</v>
      </c>
    </row>
    <row r="1427" spans="1:9" x14ac:dyDescent="0.3">
      <c r="A1427">
        <v>1426</v>
      </c>
      <c r="B1427">
        <v>1</v>
      </c>
      <c r="C1427">
        <v>215</v>
      </c>
      <c r="D1427">
        <v>1</v>
      </c>
      <c r="E1427">
        <v>749.99</v>
      </c>
      <c r="F1427">
        <v>7.0000000000000007E-2</v>
      </c>
      <c r="G1427">
        <f t="shared" si="22"/>
        <v>749.92</v>
      </c>
      <c r="H1427" t="str">
        <f>_xlfn.XLOOKUP(C1427,products[Product_ID],products[Product_Name],"not found",0)</f>
        <v>Electra Queen of Hearts 3i - 2018</v>
      </c>
      <c r="I1427" t="e">
        <f>VLOOKUP(products!D1427,categories[#All],2,TRUE)</f>
        <v>#N/A</v>
      </c>
    </row>
    <row r="1428" spans="1:9" x14ac:dyDescent="0.3">
      <c r="A1428">
        <v>1427</v>
      </c>
      <c r="B1428">
        <v>1</v>
      </c>
      <c r="C1428">
        <v>230</v>
      </c>
      <c r="D1428">
        <v>2</v>
      </c>
      <c r="E1428">
        <v>429.99</v>
      </c>
      <c r="F1428">
        <v>7.0000000000000007E-2</v>
      </c>
      <c r="G1428">
        <f t="shared" si="22"/>
        <v>859.91</v>
      </c>
      <c r="H1428" t="str">
        <f>_xlfn.XLOOKUP(C1428,products[Product_ID],products[Product_Name],"not found",0)</f>
        <v>Electra Cruiser Lux 1 Ladies' - 2018</v>
      </c>
      <c r="I1428" t="e">
        <f>VLOOKUP(products!D1428,categories[#All],2,TRUE)</f>
        <v>#N/A</v>
      </c>
    </row>
    <row r="1429" spans="1:9" x14ac:dyDescent="0.3">
      <c r="A1429">
        <v>1428</v>
      </c>
      <c r="B1429">
        <v>1</v>
      </c>
      <c r="C1429">
        <v>216</v>
      </c>
      <c r="D1429">
        <v>2</v>
      </c>
      <c r="E1429">
        <v>899.99</v>
      </c>
      <c r="F1429">
        <v>0.2</v>
      </c>
      <c r="G1429">
        <f t="shared" si="22"/>
        <v>1799.78</v>
      </c>
      <c r="H1429" t="str">
        <f>_xlfn.XLOOKUP(C1429,products[Product_ID],products[Product_Name],"not found",0)</f>
        <v>Electra Super Moto 8i - 2018</v>
      </c>
      <c r="I1429" t="e">
        <f>VLOOKUP(products!D1429,categories[#All],2,TRUE)</f>
        <v>#N/A</v>
      </c>
    </row>
    <row r="1430" spans="1:9" x14ac:dyDescent="0.3">
      <c r="A1430">
        <v>1429</v>
      </c>
      <c r="B1430">
        <v>1</v>
      </c>
      <c r="C1430">
        <v>70</v>
      </c>
      <c r="D1430">
        <v>2</v>
      </c>
      <c r="E1430">
        <v>659.99</v>
      </c>
      <c r="F1430">
        <v>0.2</v>
      </c>
      <c r="G1430">
        <f t="shared" si="22"/>
        <v>1319.78</v>
      </c>
      <c r="H1430" t="str">
        <f>_xlfn.XLOOKUP(C1430,products[Product_ID],products[Product_Name],"not found",0)</f>
        <v>Electra Amsterdam Original 3i - 2015/2017</v>
      </c>
      <c r="I1430" t="e">
        <f>VLOOKUP(products!D1430,categories[#All],2,TRUE)</f>
        <v>#N/A</v>
      </c>
    </row>
    <row r="1431" spans="1:9" x14ac:dyDescent="0.3">
      <c r="A1431">
        <v>1430</v>
      </c>
      <c r="B1431">
        <v>1</v>
      </c>
      <c r="C1431">
        <v>221</v>
      </c>
      <c r="D1431">
        <v>1</v>
      </c>
      <c r="E1431">
        <v>319.99</v>
      </c>
      <c r="F1431">
        <v>0.05</v>
      </c>
      <c r="G1431">
        <f t="shared" si="22"/>
        <v>319.94</v>
      </c>
      <c r="H1431" t="str">
        <f>_xlfn.XLOOKUP(C1431,products[Product_ID],products[Product_Name],"not found",0)</f>
        <v>Electra Cruiser 7D Ladies' - 2016/2018</v>
      </c>
      <c r="I1431" t="e">
        <f>VLOOKUP(products!D1431,categories[#All],2,TRUE)</f>
        <v>#N/A</v>
      </c>
    </row>
    <row r="1432" spans="1:9" x14ac:dyDescent="0.3">
      <c r="A1432">
        <v>1431</v>
      </c>
      <c r="B1432">
        <v>1</v>
      </c>
      <c r="C1432">
        <v>207</v>
      </c>
      <c r="D1432">
        <v>1</v>
      </c>
      <c r="E1432">
        <v>3999.99</v>
      </c>
      <c r="F1432">
        <v>0.1</v>
      </c>
      <c r="G1432">
        <f t="shared" si="22"/>
        <v>3999.89</v>
      </c>
      <c r="H1432" t="str">
        <f>_xlfn.XLOOKUP(C1432,products[Product_ID],products[Product_Name],"not found",0)</f>
        <v>Trek Boone 7 Disc - 2018</v>
      </c>
      <c r="I1432" t="e">
        <f>VLOOKUP(products!D1432,categories[#All],2,TRUE)</f>
        <v>#N/A</v>
      </c>
    </row>
    <row r="1433" spans="1:9" x14ac:dyDescent="0.3">
      <c r="A1433">
        <v>1432</v>
      </c>
      <c r="B1433">
        <v>1</v>
      </c>
      <c r="C1433">
        <v>161</v>
      </c>
      <c r="D1433">
        <v>1</v>
      </c>
      <c r="E1433">
        <v>1899</v>
      </c>
      <c r="F1433">
        <v>0.2</v>
      </c>
      <c r="G1433">
        <f t="shared" si="22"/>
        <v>1898.8</v>
      </c>
      <c r="H1433" t="str">
        <f>_xlfn.XLOOKUP(C1433,products[Product_ID],products[Product_Name],"not found",0)</f>
        <v>Surly ECR - 2018</v>
      </c>
      <c r="I1433" t="e">
        <f>VLOOKUP(products!D1433,categories[#All],2,TRUE)</f>
        <v>#N/A</v>
      </c>
    </row>
    <row r="1434" spans="1:9" x14ac:dyDescent="0.3">
      <c r="A1434">
        <v>1433</v>
      </c>
      <c r="B1434">
        <v>1</v>
      </c>
      <c r="C1434">
        <v>264</v>
      </c>
      <c r="D1434">
        <v>1</v>
      </c>
      <c r="E1434">
        <v>249.99</v>
      </c>
      <c r="F1434">
        <v>7.0000000000000007E-2</v>
      </c>
      <c r="G1434">
        <f t="shared" si="22"/>
        <v>249.92000000000002</v>
      </c>
      <c r="H1434" t="str">
        <f>_xlfn.XLOOKUP(C1434,products[Product_ID],products[Product_Name],"not found",0)</f>
        <v>Strider Sport 16 - 2018</v>
      </c>
      <c r="I1434" t="e">
        <f>VLOOKUP(products!D1434,categories[#All],2,TRUE)</f>
        <v>#N/A</v>
      </c>
    </row>
    <row r="1435" spans="1:9" x14ac:dyDescent="0.3">
      <c r="A1435">
        <v>1434</v>
      </c>
      <c r="B1435">
        <v>1</v>
      </c>
      <c r="C1435">
        <v>229</v>
      </c>
      <c r="D1435">
        <v>2</v>
      </c>
      <c r="E1435">
        <v>429.99</v>
      </c>
      <c r="F1435">
        <v>0.2</v>
      </c>
      <c r="G1435">
        <f t="shared" si="22"/>
        <v>859.78</v>
      </c>
      <c r="H1435" t="str">
        <f>_xlfn.XLOOKUP(C1435,products[Product_ID],products[Product_Name],"not found",0)</f>
        <v>Electra Cruiser Lux 1 - 2016/2018</v>
      </c>
      <c r="I1435" t="e">
        <f>VLOOKUP(products!D1435,categories[#All],2,TRUE)</f>
        <v>#N/A</v>
      </c>
    </row>
    <row r="1436" spans="1:9" x14ac:dyDescent="0.3">
      <c r="A1436">
        <v>1435</v>
      </c>
      <c r="B1436">
        <v>1</v>
      </c>
      <c r="C1436">
        <v>141</v>
      </c>
      <c r="D1436">
        <v>2</v>
      </c>
      <c r="E1436">
        <v>1599.99</v>
      </c>
      <c r="F1436">
        <v>7.0000000000000007E-2</v>
      </c>
      <c r="G1436">
        <f t="shared" si="22"/>
        <v>3199.91</v>
      </c>
      <c r="H1436" t="str">
        <f>_xlfn.XLOOKUP(C1436,products[Product_ID],products[Product_Name],"not found",0)</f>
        <v>Trek Stache 5 - 2018</v>
      </c>
      <c r="I1436" t="e">
        <f>VLOOKUP(products!D1436,categories[#All],2,TRUE)</f>
        <v>#N/A</v>
      </c>
    </row>
    <row r="1437" spans="1:9" x14ac:dyDescent="0.3">
      <c r="A1437">
        <v>1436</v>
      </c>
      <c r="B1437">
        <v>1</v>
      </c>
      <c r="C1437">
        <v>244</v>
      </c>
      <c r="D1437">
        <v>2</v>
      </c>
      <c r="E1437">
        <v>559.99</v>
      </c>
      <c r="F1437">
        <v>7.0000000000000007E-2</v>
      </c>
      <c r="G1437">
        <f t="shared" si="22"/>
        <v>1119.9100000000001</v>
      </c>
      <c r="H1437" t="str">
        <f>_xlfn.XLOOKUP(C1437,products[Product_ID],products[Product_Name],"not found",0)</f>
        <v>Electra Townie Original 21D Ladies' - 2018</v>
      </c>
      <c r="I1437" t="e">
        <f>VLOOKUP(products!D1437,categories[#All],2,TRUE)</f>
        <v>#N/A</v>
      </c>
    </row>
    <row r="1438" spans="1:9" x14ac:dyDescent="0.3">
      <c r="A1438">
        <v>1437</v>
      </c>
      <c r="B1438">
        <v>1</v>
      </c>
      <c r="C1438">
        <v>141</v>
      </c>
      <c r="D1438">
        <v>2</v>
      </c>
      <c r="E1438">
        <v>1599.99</v>
      </c>
      <c r="F1438">
        <v>0.05</v>
      </c>
      <c r="G1438">
        <f t="shared" si="22"/>
        <v>3199.93</v>
      </c>
      <c r="H1438" t="str">
        <f>_xlfn.XLOOKUP(C1438,products[Product_ID],products[Product_Name],"not found",0)</f>
        <v>Trek Stache 5 - 2018</v>
      </c>
      <c r="I1438" t="e">
        <f>VLOOKUP(products!D1438,categories[#All],2,TRUE)</f>
        <v>#N/A</v>
      </c>
    </row>
    <row r="1439" spans="1:9" x14ac:dyDescent="0.3">
      <c r="A1439">
        <v>1438</v>
      </c>
      <c r="B1439">
        <v>1</v>
      </c>
      <c r="C1439">
        <v>225</v>
      </c>
      <c r="D1439">
        <v>1</v>
      </c>
      <c r="E1439">
        <v>959.99</v>
      </c>
      <c r="F1439">
        <v>0.2</v>
      </c>
      <c r="G1439">
        <f t="shared" si="22"/>
        <v>959.79</v>
      </c>
      <c r="H1439" t="str">
        <f>_xlfn.XLOOKUP(C1439,products[Product_ID],products[Product_Name],"not found",0)</f>
        <v>Electra Delivery 3i - 2016/2017/2018</v>
      </c>
      <c r="I1439" t="e">
        <f>VLOOKUP(products!D1439,categories[#All],2,TRUE)</f>
        <v>#N/A</v>
      </c>
    </row>
    <row r="1440" spans="1:9" x14ac:dyDescent="0.3">
      <c r="A1440">
        <v>1439</v>
      </c>
      <c r="B1440">
        <v>1</v>
      </c>
      <c r="C1440">
        <v>42</v>
      </c>
      <c r="D1440">
        <v>1</v>
      </c>
      <c r="E1440">
        <v>2299.9899999999998</v>
      </c>
      <c r="F1440">
        <v>7.0000000000000007E-2</v>
      </c>
      <c r="G1440">
        <f t="shared" si="22"/>
        <v>2299.9199999999996</v>
      </c>
      <c r="H1440" t="str">
        <f>_xlfn.XLOOKUP(C1440,products[Product_ID],products[Product_Name],"not found",0)</f>
        <v>Trek Fuel EX 5 27.5 Plus - 2017</v>
      </c>
      <c r="I1440" t="e">
        <f>VLOOKUP(products!D1440,categories[#All],2,TRUE)</f>
        <v>#N/A</v>
      </c>
    </row>
    <row r="1441" spans="1:9" x14ac:dyDescent="0.3">
      <c r="A1441">
        <v>1440</v>
      </c>
      <c r="B1441">
        <v>1</v>
      </c>
      <c r="C1441">
        <v>116</v>
      </c>
      <c r="D1441">
        <v>2</v>
      </c>
      <c r="E1441">
        <v>749.99</v>
      </c>
      <c r="F1441">
        <v>7.0000000000000007E-2</v>
      </c>
      <c r="G1441">
        <f t="shared" si="22"/>
        <v>1499.91</v>
      </c>
      <c r="H1441" t="str">
        <f>_xlfn.XLOOKUP(C1441,products[Product_ID],products[Product_Name],"not found",0)</f>
        <v>Trek Marlin 7 - 2017/2018</v>
      </c>
      <c r="I1441" t="e">
        <f>VLOOKUP(products!D1441,categories[#All],2,TRUE)</f>
        <v>#N/A</v>
      </c>
    </row>
    <row r="1442" spans="1:9" x14ac:dyDescent="0.3">
      <c r="A1442">
        <v>1441</v>
      </c>
      <c r="B1442">
        <v>1</v>
      </c>
      <c r="C1442">
        <v>6</v>
      </c>
      <c r="D1442">
        <v>1</v>
      </c>
      <c r="E1442">
        <v>469.99</v>
      </c>
      <c r="F1442">
        <v>0.05</v>
      </c>
      <c r="G1442">
        <f t="shared" si="22"/>
        <v>469.94</v>
      </c>
      <c r="H1442" t="str">
        <f>_xlfn.XLOOKUP(C1442,products[Product_ID],products[Product_Name],"not found",0)</f>
        <v>Surly Ice Cream Truck Frameset - 2016</v>
      </c>
      <c r="I1442" t="e">
        <f>VLOOKUP(products!D1442,categories[#All],2,TRUE)</f>
        <v>#N/A</v>
      </c>
    </row>
    <row r="1443" spans="1:9" x14ac:dyDescent="0.3">
      <c r="A1443">
        <v>1442</v>
      </c>
      <c r="B1443">
        <v>1</v>
      </c>
      <c r="C1443">
        <v>160</v>
      </c>
      <c r="D1443">
        <v>1</v>
      </c>
      <c r="E1443">
        <v>4499.99</v>
      </c>
      <c r="F1443">
        <v>0.1</v>
      </c>
      <c r="G1443">
        <f t="shared" si="22"/>
        <v>4499.8899999999994</v>
      </c>
      <c r="H1443" t="str">
        <f>_xlfn.XLOOKUP(C1443,products[Product_ID],products[Product_Name],"not found",0)</f>
        <v>Trek Emonda SLR 6 - 2018</v>
      </c>
      <c r="I1443" t="e">
        <f>VLOOKUP(products!D1443,categories[#All],2,TRUE)</f>
        <v>#N/A</v>
      </c>
    </row>
    <row r="1444" spans="1:9" x14ac:dyDescent="0.3">
      <c r="A1444">
        <v>1443</v>
      </c>
      <c r="B1444">
        <v>1</v>
      </c>
      <c r="C1444">
        <v>160</v>
      </c>
      <c r="D1444">
        <v>1</v>
      </c>
      <c r="E1444">
        <v>4499.99</v>
      </c>
      <c r="F1444">
        <v>7.0000000000000007E-2</v>
      </c>
      <c r="G1444">
        <f t="shared" si="22"/>
        <v>4499.92</v>
      </c>
      <c r="H1444" t="str">
        <f>_xlfn.XLOOKUP(C1444,products[Product_ID],products[Product_Name],"not found",0)</f>
        <v>Trek Emonda SLR 6 - 2018</v>
      </c>
      <c r="I1444" t="e">
        <f>VLOOKUP(products!D1444,categories[#All],2,TRUE)</f>
        <v>#N/A</v>
      </c>
    </row>
    <row r="1445" spans="1:9" x14ac:dyDescent="0.3">
      <c r="A1445">
        <v>1444</v>
      </c>
      <c r="B1445">
        <v>1</v>
      </c>
      <c r="C1445">
        <v>90</v>
      </c>
      <c r="D1445">
        <v>1</v>
      </c>
      <c r="E1445">
        <v>209.99</v>
      </c>
      <c r="F1445">
        <v>0.1</v>
      </c>
      <c r="G1445">
        <f t="shared" si="22"/>
        <v>209.89000000000001</v>
      </c>
      <c r="H1445" t="str">
        <f>_xlfn.XLOOKUP(C1445,products[Product_ID],products[Product_Name],"not found",0)</f>
        <v>Trek Precaliber 16 Girls - 2017</v>
      </c>
      <c r="I1445" t="e">
        <f>VLOOKUP(products!D1445,categories[#All],2,TRUE)</f>
        <v>#N/A</v>
      </c>
    </row>
    <row r="1446" spans="1:9" x14ac:dyDescent="0.3">
      <c r="A1446">
        <v>1445</v>
      </c>
      <c r="B1446">
        <v>1</v>
      </c>
      <c r="C1446">
        <v>219</v>
      </c>
      <c r="D1446">
        <v>2</v>
      </c>
      <c r="E1446">
        <v>639.99</v>
      </c>
      <c r="F1446">
        <v>0.1</v>
      </c>
      <c r="G1446">
        <f t="shared" si="22"/>
        <v>1279.8800000000001</v>
      </c>
      <c r="H1446" t="str">
        <f>_xlfn.XLOOKUP(C1446,products[Product_ID],products[Product_Name],"not found",0)</f>
        <v>Electra Moto 3i - 2018</v>
      </c>
      <c r="I1446" t="e">
        <f>VLOOKUP(products!D1446,categories[#All],2,TRUE)</f>
        <v>#N/A</v>
      </c>
    </row>
    <row r="1447" spans="1:9" x14ac:dyDescent="0.3">
      <c r="A1447">
        <v>1446</v>
      </c>
      <c r="B1447">
        <v>1</v>
      </c>
      <c r="C1447">
        <v>227</v>
      </c>
      <c r="D1447">
        <v>1</v>
      </c>
      <c r="E1447">
        <v>319.99</v>
      </c>
      <c r="F1447">
        <v>0.05</v>
      </c>
      <c r="G1447">
        <f t="shared" si="22"/>
        <v>319.94</v>
      </c>
      <c r="H1447" t="str">
        <f>_xlfn.XLOOKUP(C1447,products[Product_ID],products[Product_Name],"not found",0)</f>
        <v>Electra Cruiser 7D (24-Inch) Ladies' - 2016/2018</v>
      </c>
      <c r="I1447" t="e">
        <f>VLOOKUP(products!D1447,categories[#All],2,TRUE)</f>
        <v>#N/A</v>
      </c>
    </row>
    <row r="1448" spans="1:9" x14ac:dyDescent="0.3">
      <c r="A1448">
        <v>1447</v>
      </c>
      <c r="B1448">
        <v>1</v>
      </c>
      <c r="C1448">
        <v>148</v>
      </c>
      <c r="D1448">
        <v>1</v>
      </c>
      <c r="E1448">
        <v>5499.99</v>
      </c>
      <c r="F1448">
        <v>0.2</v>
      </c>
      <c r="G1448">
        <f t="shared" si="22"/>
        <v>5499.79</v>
      </c>
      <c r="H1448" t="str">
        <f>_xlfn.XLOOKUP(C1448,products[Product_ID],products[Product_Name],"not found",0)</f>
        <v>Trek Domane SL 8 Disc - 2018</v>
      </c>
      <c r="I1448" t="e">
        <f>VLOOKUP(products!D1448,categories[#All],2,TRUE)</f>
        <v>#N/A</v>
      </c>
    </row>
    <row r="1449" spans="1:9" x14ac:dyDescent="0.3">
      <c r="A1449">
        <v>1448</v>
      </c>
      <c r="B1449">
        <v>1</v>
      </c>
      <c r="C1449">
        <v>239</v>
      </c>
      <c r="D1449">
        <v>1</v>
      </c>
      <c r="E1449">
        <v>749.99</v>
      </c>
      <c r="F1449">
        <v>0.1</v>
      </c>
      <c r="G1449">
        <f t="shared" si="22"/>
        <v>749.89</v>
      </c>
      <c r="H1449" t="str">
        <f>_xlfn.XLOOKUP(C1449,products[Product_ID],products[Product_Name],"not found",0)</f>
        <v>Electra Townie Balloon 8D EQ Ladies' - 2016/2017/2018</v>
      </c>
      <c r="I1449" t="e">
        <f>VLOOKUP(products!D1449,categories[#All],2,TRUE)</f>
        <v>#N/A</v>
      </c>
    </row>
    <row r="1450" spans="1:9" x14ac:dyDescent="0.3">
      <c r="A1450">
        <v>1449</v>
      </c>
      <c r="B1450">
        <v>1</v>
      </c>
      <c r="C1450">
        <v>159</v>
      </c>
      <c r="D1450">
        <v>1</v>
      </c>
      <c r="E1450">
        <v>2299.9899999999998</v>
      </c>
      <c r="F1450">
        <v>7.0000000000000007E-2</v>
      </c>
      <c r="G1450">
        <f t="shared" si="22"/>
        <v>2299.9199999999996</v>
      </c>
      <c r="H1450" t="str">
        <f>_xlfn.XLOOKUP(C1450,products[Product_ID],products[Product_Name],"not found",0)</f>
        <v>Trek Emonda ALR 6 - 2018</v>
      </c>
      <c r="I1450" t="e">
        <f>VLOOKUP(products!D1450,categories[#All],2,TRUE)</f>
        <v>#N/A</v>
      </c>
    </row>
    <row r="1451" spans="1:9" x14ac:dyDescent="0.3">
      <c r="A1451">
        <v>1450</v>
      </c>
      <c r="B1451">
        <v>1</v>
      </c>
      <c r="C1451">
        <v>98</v>
      </c>
      <c r="D1451">
        <v>1</v>
      </c>
      <c r="E1451">
        <v>489.99</v>
      </c>
      <c r="F1451">
        <v>7.0000000000000007E-2</v>
      </c>
      <c r="G1451">
        <f t="shared" si="22"/>
        <v>489.92</v>
      </c>
      <c r="H1451" t="str">
        <f>_xlfn.XLOOKUP(C1451,products[Product_ID],products[Product_Name],"not found",0)</f>
        <v>Electra Straight 8 3i (20-inch) - Boy's - 2017</v>
      </c>
      <c r="I1451" t="e">
        <f>VLOOKUP(products!D1451,categories[#All],2,TRUE)</f>
        <v>#N/A</v>
      </c>
    </row>
    <row r="1452" spans="1:9" x14ac:dyDescent="0.3">
      <c r="A1452">
        <v>1451</v>
      </c>
      <c r="B1452">
        <v>1</v>
      </c>
      <c r="C1452">
        <v>117</v>
      </c>
      <c r="D1452">
        <v>1</v>
      </c>
      <c r="E1452">
        <v>1469.99</v>
      </c>
      <c r="F1452">
        <v>0.05</v>
      </c>
      <c r="G1452">
        <f t="shared" si="22"/>
        <v>1469.94</v>
      </c>
      <c r="H1452" t="str">
        <f>_xlfn.XLOOKUP(C1452,products[Product_ID],products[Product_Name],"not found",0)</f>
        <v>Trek Ticket S Frame - 2018</v>
      </c>
      <c r="I1452" t="e">
        <f>VLOOKUP(products!D1452,categories[#All],2,TRUE)</f>
        <v>#N/A</v>
      </c>
    </row>
    <row r="1453" spans="1:9" x14ac:dyDescent="0.3">
      <c r="A1453">
        <v>1452</v>
      </c>
      <c r="B1453">
        <v>1</v>
      </c>
      <c r="C1453">
        <v>99</v>
      </c>
      <c r="D1453">
        <v>2</v>
      </c>
      <c r="E1453">
        <v>299.99</v>
      </c>
      <c r="F1453">
        <v>0.1</v>
      </c>
      <c r="G1453">
        <f t="shared" si="22"/>
        <v>599.88</v>
      </c>
      <c r="H1453" t="str">
        <f>_xlfn.XLOOKUP(C1453,products[Product_ID],products[Product_Name],"not found",0)</f>
        <v>Electra Sugar Skulls 1 (20-inch) - Girl's - 2017</v>
      </c>
      <c r="I1453" t="e">
        <f>VLOOKUP(products!D1453,categories[#All],2,TRUE)</f>
        <v>#N/A</v>
      </c>
    </row>
    <row r="1454" spans="1:9" x14ac:dyDescent="0.3">
      <c r="A1454">
        <v>1453</v>
      </c>
      <c r="B1454">
        <v>1</v>
      </c>
      <c r="C1454">
        <v>89</v>
      </c>
      <c r="D1454">
        <v>2</v>
      </c>
      <c r="E1454">
        <v>209.99</v>
      </c>
      <c r="F1454">
        <v>0.1</v>
      </c>
      <c r="G1454">
        <f t="shared" si="22"/>
        <v>419.88</v>
      </c>
      <c r="H1454" t="str">
        <f>_xlfn.XLOOKUP(C1454,products[Product_ID],products[Product_Name],"not found",0)</f>
        <v>Trek Precaliber 16 Boys - 2017</v>
      </c>
      <c r="I1454" t="e">
        <f>VLOOKUP(products!D1454,categories[#All],2,TRUE)</f>
        <v>#N/A</v>
      </c>
    </row>
    <row r="1455" spans="1:9" x14ac:dyDescent="0.3">
      <c r="A1455">
        <v>1454</v>
      </c>
      <c r="B1455">
        <v>1</v>
      </c>
      <c r="C1455">
        <v>283</v>
      </c>
      <c r="D1455">
        <v>1</v>
      </c>
      <c r="E1455">
        <v>319.99</v>
      </c>
      <c r="F1455">
        <v>7.0000000000000007E-2</v>
      </c>
      <c r="G1455">
        <f t="shared" si="22"/>
        <v>319.92</v>
      </c>
      <c r="H1455" t="str">
        <f>_xlfn.XLOOKUP(C1455,products[Product_ID],products[Product_Name],"not found",0)</f>
        <v>Electra Heartchya 1 (20-inch) - Girl's - 2018</v>
      </c>
      <c r="I1455" t="e">
        <f>VLOOKUP(products!D1455,categories[#All],2,TRUE)</f>
        <v>#N/A</v>
      </c>
    </row>
    <row r="1456" spans="1:9" x14ac:dyDescent="0.3">
      <c r="A1456">
        <v>1455</v>
      </c>
      <c r="B1456">
        <v>1</v>
      </c>
      <c r="C1456">
        <v>101</v>
      </c>
      <c r="D1456">
        <v>2</v>
      </c>
      <c r="E1456">
        <v>339.99</v>
      </c>
      <c r="F1456">
        <v>0.05</v>
      </c>
      <c r="G1456">
        <f t="shared" si="22"/>
        <v>679.93000000000006</v>
      </c>
      <c r="H1456" t="str">
        <f>_xlfn.XLOOKUP(C1456,products[Product_ID],products[Product_Name],"not found",0)</f>
        <v>Electra Townie 7D (20-inch) - Boys' - 2017</v>
      </c>
      <c r="I1456" t="e">
        <f>VLOOKUP(products!D1456,categories[#All],2,TRUE)</f>
        <v>#N/A</v>
      </c>
    </row>
    <row r="1457" spans="1:9" x14ac:dyDescent="0.3">
      <c r="A1457">
        <v>1456</v>
      </c>
      <c r="B1457">
        <v>1</v>
      </c>
      <c r="C1457">
        <v>193</v>
      </c>
      <c r="D1457">
        <v>2</v>
      </c>
      <c r="E1457">
        <v>2799.99</v>
      </c>
      <c r="F1457">
        <v>0.05</v>
      </c>
      <c r="G1457">
        <f t="shared" si="22"/>
        <v>5599.9299999999994</v>
      </c>
      <c r="H1457" t="str">
        <f>_xlfn.XLOOKUP(C1457,products[Product_ID],products[Product_Name],"not found",0)</f>
        <v>Trek Lift+ - 2018</v>
      </c>
      <c r="I1457" t="e">
        <f>VLOOKUP(products!D1457,categories[#All],2,TRUE)</f>
        <v>#N/A</v>
      </c>
    </row>
    <row r="1458" spans="1:9" x14ac:dyDescent="0.3">
      <c r="A1458">
        <v>1457</v>
      </c>
      <c r="B1458">
        <v>1</v>
      </c>
      <c r="C1458">
        <v>113</v>
      </c>
      <c r="D1458">
        <v>1</v>
      </c>
      <c r="E1458">
        <v>489.99</v>
      </c>
      <c r="F1458">
        <v>7.0000000000000007E-2</v>
      </c>
      <c r="G1458">
        <f t="shared" si="22"/>
        <v>489.92</v>
      </c>
      <c r="H1458" t="str">
        <f>_xlfn.XLOOKUP(C1458,products[Product_ID],products[Product_Name],"not found",0)</f>
        <v>Trek Marlin 5 - 2018</v>
      </c>
      <c r="I1458" t="e">
        <f>VLOOKUP(products!D1458,categories[#All],2,TRUE)</f>
        <v>#N/A</v>
      </c>
    </row>
    <row r="1459" spans="1:9" x14ac:dyDescent="0.3">
      <c r="A1459">
        <v>1458</v>
      </c>
      <c r="B1459">
        <v>1</v>
      </c>
      <c r="C1459">
        <v>295</v>
      </c>
      <c r="D1459">
        <v>2</v>
      </c>
      <c r="E1459">
        <v>319.99</v>
      </c>
      <c r="F1459">
        <v>0.05</v>
      </c>
      <c r="G1459">
        <f t="shared" si="22"/>
        <v>639.93000000000006</v>
      </c>
      <c r="H1459" t="str">
        <f>_xlfn.XLOOKUP(C1459,products[Product_ID],products[Product_Name],"not found",0)</f>
        <v>Electra Treasure 1 20" - 2018</v>
      </c>
      <c r="I1459" t="e">
        <f>VLOOKUP(products!D1459,categories[#All],2,TRUE)</f>
        <v>#N/A</v>
      </c>
    </row>
    <row r="1460" spans="1:9" x14ac:dyDescent="0.3">
      <c r="A1460">
        <v>1459</v>
      </c>
      <c r="B1460">
        <v>1</v>
      </c>
      <c r="C1460">
        <v>258</v>
      </c>
      <c r="D1460">
        <v>1</v>
      </c>
      <c r="E1460">
        <v>1259.9000000000001</v>
      </c>
      <c r="F1460">
        <v>0.1</v>
      </c>
      <c r="G1460">
        <f t="shared" si="22"/>
        <v>1259.8000000000002</v>
      </c>
      <c r="H1460" t="str">
        <f>_xlfn.XLOOKUP(C1460,products[Product_ID],products[Product_Name],"not found",0)</f>
        <v>Electra Amsterdam Royal 8i - 2017/2018</v>
      </c>
      <c r="I1460" t="e">
        <f>VLOOKUP(products!D1460,categories[#All],2,TRUE)</f>
        <v>#N/A</v>
      </c>
    </row>
    <row r="1461" spans="1:9" x14ac:dyDescent="0.3">
      <c r="A1461">
        <v>1460</v>
      </c>
      <c r="B1461">
        <v>1</v>
      </c>
      <c r="C1461">
        <v>201</v>
      </c>
      <c r="D1461">
        <v>1</v>
      </c>
      <c r="E1461">
        <v>4499.99</v>
      </c>
      <c r="F1461">
        <v>0.05</v>
      </c>
      <c r="G1461">
        <f t="shared" si="22"/>
        <v>4499.9399999999996</v>
      </c>
      <c r="H1461" t="str">
        <f>_xlfn.XLOOKUP(C1461,products[Product_ID],products[Product_Name],"not found",0)</f>
        <v>Trek Powerfly 5 FS - 2018</v>
      </c>
      <c r="I1461" t="e">
        <f>VLOOKUP(products!D1461,categories[#All],2,TRUE)</f>
        <v>#N/A</v>
      </c>
    </row>
    <row r="1462" spans="1:9" x14ac:dyDescent="0.3">
      <c r="A1462">
        <v>1461</v>
      </c>
      <c r="B1462">
        <v>1</v>
      </c>
      <c r="C1462">
        <v>48</v>
      </c>
      <c r="D1462">
        <v>1</v>
      </c>
      <c r="E1462">
        <v>1499.99</v>
      </c>
      <c r="F1462">
        <v>0.2</v>
      </c>
      <c r="G1462">
        <f t="shared" si="22"/>
        <v>1499.79</v>
      </c>
      <c r="H1462" t="str">
        <f>_xlfn.XLOOKUP(C1462,products[Product_ID],products[Product_Name],"not found",0)</f>
        <v>Trek Emonda S 4 - 2017</v>
      </c>
      <c r="I1462" t="e">
        <f>VLOOKUP(products!D1462,categories[#All],2,TRUE)</f>
        <v>#N/A</v>
      </c>
    </row>
    <row r="1463" spans="1:9" x14ac:dyDescent="0.3">
      <c r="A1463">
        <v>1462</v>
      </c>
      <c r="B1463">
        <v>1</v>
      </c>
      <c r="C1463">
        <v>263</v>
      </c>
      <c r="D1463">
        <v>1</v>
      </c>
      <c r="E1463">
        <v>89.99</v>
      </c>
      <c r="F1463">
        <v>0.2</v>
      </c>
      <c r="G1463">
        <f t="shared" si="22"/>
        <v>89.789999999999992</v>
      </c>
      <c r="H1463" t="str">
        <f>_xlfn.XLOOKUP(C1463,products[Product_ID],products[Product_Name],"not found",0)</f>
        <v>Strider Classic 12 Balance Bike - 2018</v>
      </c>
      <c r="I1463" t="e">
        <f>VLOOKUP(products!D1463,categories[#All],2,TRUE)</f>
        <v>#N/A</v>
      </c>
    </row>
    <row r="1464" spans="1:9" x14ac:dyDescent="0.3">
      <c r="A1464">
        <v>1463</v>
      </c>
      <c r="B1464">
        <v>1</v>
      </c>
      <c r="C1464">
        <v>51</v>
      </c>
      <c r="D1464">
        <v>2</v>
      </c>
      <c r="E1464">
        <v>6499.99</v>
      </c>
      <c r="F1464">
        <v>0.05</v>
      </c>
      <c r="G1464">
        <f t="shared" si="22"/>
        <v>12999.93</v>
      </c>
      <c r="H1464" t="str">
        <f>_xlfn.XLOOKUP(C1464,products[Product_ID],products[Product_Name],"not found",0)</f>
        <v>Trek Silque SLR 8 Women's - 2017</v>
      </c>
      <c r="I1464" t="e">
        <f>VLOOKUP(products!D1464,categories[#All],2,TRUE)</f>
        <v>#N/A</v>
      </c>
    </row>
    <row r="1465" spans="1:9" x14ac:dyDescent="0.3">
      <c r="A1465">
        <v>1464</v>
      </c>
      <c r="B1465">
        <v>1</v>
      </c>
      <c r="C1465">
        <v>109</v>
      </c>
      <c r="D1465">
        <v>2</v>
      </c>
      <c r="E1465">
        <v>416.99</v>
      </c>
      <c r="F1465">
        <v>0.05</v>
      </c>
      <c r="G1465">
        <f t="shared" si="22"/>
        <v>833.93000000000006</v>
      </c>
      <c r="H1465" t="str">
        <f>_xlfn.XLOOKUP(C1465,products[Product_ID],products[Product_Name],"not found",0)</f>
        <v>Sun Bicycles Cruz 7 - Women's - 2017</v>
      </c>
      <c r="I1465" t="e">
        <f>VLOOKUP(products!D1465,categories[#All],2,TRUE)</f>
        <v>#N/A</v>
      </c>
    </row>
    <row r="1466" spans="1:9" x14ac:dyDescent="0.3">
      <c r="A1466">
        <v>1465</v>
      </c>
      <c r="B1466">
        <v>1</v>
      </c>
      <c r="C1466">
        <v>70</v>
      </c>
      <c r="D1466">
        <v>2</v>
      </c>
      <c r="E1466">
        <v>659.99</v>
      </c>
      <c r="F1466">
        <v>0.05</v>
      </c>
      <c r="G1466">
        <f t="shared" si="22"/>
        <v>1319.93</v>
      </c>
      <c r="H1466" t="str">
        <f>_xlfn.XLOOKUP(C1466,products[Product_ID],products[Product_Name],"not found",0)</f>
        <v>Electra Amsterdam Original 3i - 2015/2017</v>
      </c>
      <c r="I1466" t="e">
        <f>VLOOKUP(products!D1466,categories[#All],2,TRUE)</f>
        <v>#N/A</v>
      </c>
    </row>
    <row r="1467" spans="1:9" x14ac:dyDescent="0.3">
      <c r="A1467">
        <v>1466</v>
      </c>
      <c r="B1467">
        <v>1</v>
      </c>
      <c r="C1467">
        <v>310</v>
      </c>
      <c r="D1467">
        <v>2</v>
      </c>
      <c r="E1467">
        <v>899.99</v>
      </c>
      <c r="F1467">
        <v>7.0000000000000007E-2</v>
      </c>
      <c r="G1467">
        <f t="shared" si="22"/>
        <v>1799.91</v>
      </c>
      <c r="H1467" t="str">
        <f>_xlfn.XLOOKUP(C1467,products[Product_ID],products[Product_Name],"not found",0)</f>
        <v>Electra Townie Commute 27D Ladies - 2018</v>
      </c>
      <c r="I1467" t="e">
        <f>VLOOKUP(products!D1467,categories[#All],2,TRUE)</f>
        <v>#N/A</v>
      </c>
    </row>
    <row r="1468" spans="1:9" x14ac:dyDescent="0.3">
      <c r="A1468">
        <v>1467</v>
      </c>
      <c r="B1468">
        <v>1</v>
      </c>
      <c r="C1468">
        <v>18</v>
      </c>
      <c r="D1468">
        <v>1</v>
      </c>
      <c r="E1468">
        <v>449</v>
      </c>
      <c r="F1468">
        <v>7.0000000000000007E-2</v>
      </c>
      <c r="G1468">
        <f t="shared" si="22"/>
        <v>448.93</v>
      </c>
      <c r="H1468" t="str">
        <f>_xlfn.XLOOKUP(C1468,products[Product_ID],products[Product_Name],"not found",0)</f>
        <v>Pure Cycles Western 3-Speed - Women's - 2015/2016</v>
      </c>
      <c r="I1468" t="e">
        <f>VLOOKUP(products!D1468,categories[#All],2,TRUE)</f>
        <v>#N/A</v>
      </c>
    </row>
    <row r="1469" spans="1:9" x14ac:dyDescent="0.3">
      <c r="A1469">
        <v>1468</v>
      </c>
      <c r="B1469">
        <v>1</v>
      </c>
      <c r="C1469">
        <v>269</v>
      </c>
      <c r="D1469">
        <v>1</v>
      </c>
      <c r="E1469">
        <v>199.99</v>
      </c>
      <c r="F1469">
        <v>0.05</v>
      </c>
      <c r="G1469">
        <f t="shared" si="22"/>
        <v>199.94</v>
      </c>
      <c r="H1469" t="str">
        <f>_xlfn.XLOOKUP(C1469,products[Product_ID],products[Product_Name],"not found",0)</f>
        <v>Trek Precaliber 12 Boy's - 2018</v>
      </c>
      <c r="I1469" t="e">
        <f>VLOOKUP(products!D1469,categories[#All],2,TRUE)</f>
        <v>#N/A</v>
      </c>
    </row>
    <row r="1470" spans="1:9" x14ac:dyDescent="0.3">
      <c r="A1470">
        <v>1469</v>
      </c>
      <c r="B1470">
        <v>1</v>
      </c>
      <c r="C1470">
        <v>77</v>
      </c>
      <c r="D1470">
        <v>2</v>
      </c>
      <c r="E1470">
        <v>799.99</v>
      </c>
      <c r="F1470">
        <v>0.2</v>
      </c>
      <c r="G1470">
        <f t="shared" si="22"/>
        <v>1599.78</v>
      </c>
      <c r="H1470" t="str">
        <f>_xlfn.XLOOKUP(C1470,products[Product_ID],products[Product_Name],"not found",0)</f>
        <v>Electra Glam Punk 3i Ladies' - 2017</v>
      </c>
      <c r="I1470" t="e">
        <f>VLOOKUP(products!D1470,categories[#All],2,TRUE)</f>
        <v>#N/A</v>
      </c>
    </row>
    <row r="1471" spans="1:9" x14ac:dyDescent="0.3">
      <c r="A1471">
        <v>1470</v>
      </c>
      <c r="B1471">
        <v>1</v>
      </c>
      <c r="C1471">
        <v>110</v>
      </c>
      <c r="D1471">
        <v>2</v>
      </c>
      <c r="E1471">
        <v>470.99</v>
      </c>
      <c r="F1471">
        <v>0.1</v>
      </c>
      <c r="G1471">
        <f t="shared" si="22"/>
        <v>941.88</v>
      </c>
      <c r="H1471" t="str">
        <f>_xlfn.XLOOKUP(C1471,products[Product_ID],products[Product_Name],"not found",0)</f>
        <v>Sun Bicycles Drifter 7 - 2017</v>
      </c>
      <c r="I1471" t="e">
        <f>VLOOKUP(products!D1471,categories[#All],2,TRUE)</f>
        <v>#N/A</v>
      </c>
    </row>
    <row r="1472" spans="1:9" x14ac:dyDescent="0.3">
      <c r="A1472">
        <v>1471</v>
      </c>
      <c r="B1472">
        <v>1</v>
      </c>
      <c r="C1472">
        <v>59</v>
      </c>
      <c r="D1472">
        <v>2</v>
      </c>
      <c r="E1472">
        <v>2599.9899999999998</v>
      </c>
      <c r="F1472">
        <v>0.2</v>
      </c>
      <c r="G1472">
        <f t="shared" si="22"/>
        <v>5199.78</v>
      </c>
      <c r="H1472" t="str">
        <f>_xlfn.XLOOKUP(C1472,products[Product_ID],products[Product_Name],"not found",0)</f>
        <v>Trek Domane S 5 Disc - 2017</v>
      </c>
      <c r="I1472" t="e">
        <f>VLOOKUP(products!D1472,categories[#All],2,TRUE)</f>
        <v>#N/A</v>
      </c>
    </row>
    <row r="1473" spans="1:9" x14ac:dyDescent="0.3">
      <c r="A1473">
        <v>1472</v>
      </c>
      <c r="B1473">
        <v>1</v>
      </c>
      <c r="C1473">
        <v>84</v>
      </c>
      <c r="D1473">
        <v>1</v>
      </c>
      <c r="E1473">
        <v>109.99</v>
      </c>
      <c r="F1473">
        <v>0.2</v>
      </c>
      <c r="G1473">
        <f t="shared" si="22"/>
        <v>109.78999999999999</v>
      </c>
      <c r="H1473" t="str">
        <f>_xlfn.XLOOKUP(C1473,products[Product_ID],products[Product_Name],"not found",0)</f>
        <v>Sun Bicycles Lil Kitt'n - 2017</v>
      </c>
      <c r="I1473" t="e">
        <f>VLOOKUP(products!D1473,categories[#All],2,TRUE)</f>
        <v>#N/A</v>
      </c>
    </row>
    <row r="1474" spans="1:9" x14ac:dyDescent="0.3">
      <c r="A1474">
        <v>1473</v>
      </c>
      <c r="B1474">
        <v>1</v>
      </c>
      <c r="C1474">
        <v>84</v>
      </c>
      <c r="D1474">
        <v>2</v>
      </c>
      <c r="E1474">
        <v>109.99</v>
      </c>
      <c r="F1474">
        <v>0.2</v>
      </c>
      <c r="G1474">
        <f t="shared" ref="G1474:G1537" si="23">(E1474*D1474)-F1474</f>
        <v>219.78</v>
      </c>
      <c r="H1474" t="str">
        <f>_xlfn.XLOOKUP(C1474,products[Product_ID],products[Product_Name],"not found",0)</f>
        <v>Sun Bicycles Lil Kitt'n - 2017</v>
      </c>
      <c r="I1474" t="e">
        <f>VLOOKUP(products!D1474,categories[#All],2,TRUE)</f>
        <v>#N/A</v>
      </c>
    </row>
    <row r="1475" spans="1:9" x14ac:dyDescent="0.3">
      <c r="A1475">
        <v>1474</v>
      </c>
      <c r="B1475">
        <v>1</v>
      </c>
      <c r="C1475">
        <v>301</v>
      </c>
      <c r="D1475">
        <v>1</v>
      </c>
      <c r="E1475">
        <v>899.99</v>
      </c>
      <c r="F1475">
        <v>0.2</v>
      </c>
      <c r="G1475">
        <f t="shared" si="23"/>
        <v>899.79</v>
      </c>
      <c r="H1475" t="str">
        <f>_xlfn.XLOOKUP(C1475,products[Product_ID],products[Product_Name],"not found",0)</f>
        <v>Electra Townie Balloon 7i EQ - 2018</v>
      </c>
      <c r="I1475" t="e">
        <f>VLOOKUP(products!D1475,categories[#All],2,TRUE)</f>
        <v>#N/A</v>
      </c>
    </row>
    <row r="1476" spans="1:9" x14ac:dyDescent="0.3">
      <c r="A1476">
        <v>1475</v>
      </c>
      <c r="B1476">
        <v>1</v>
      </c>
      <c r="C1476">
        <v>306</v>
      </c>
      <c r="D1476">
        <v>2</v>
      </c>
      <c r="E1476">
        <v>899.99</v>
      </c>
      <c r="F1476">
        <v>0.05</v>
      </c>
      <c r="G1476">
        <f t="shared" si="23"/>
        <v>1799.93</v>
      </c>
      <c r="H1476" t="str">
        <f>_xlfn.XLOOKUP(C1476,products[Product_ID],products[Product_Name],"not found",0)</f>
        <v>Electra Townie Balloon 7i EQ Ladies' - 2017/2018</v>
      </c>
      <c r="I1476" t="e">
        <f>VLOOKUP(products!D1476,categories[#All],2,TRUE)</f>
        <v>#N/A</v>
      </c>
    </row>
    <row r="1477" spans="1:9" x14ac:dyDescent="0.3">
      <c r="A1477">
        <v>1476</v>
      </c>
      <c r="B1477">
        <v>1</v>
      </c>
      <c r="C1477">
        <v>142</v>
      </c>
      <c r="D1477">
        <v>2</v>
      </c>
      <c r="E1477">
        <v>3199.99</v>
      </c>
      <c r="F1477">
        <v>7.0000000000000007E-2</v>
      </c>
      <c r="G1477">
        <f t="shared" si="23"/>
        <v>6399.91</v>
      </c>
      <c r="H1477" t="str">
        <f>_xlfn.XLOOKUP(C1477,products[Product_ID],products[Product_Name],"not found",0)</f>
        <v>Trek Fuel EX 8 29 XT - 2018</v>
      </c>
      <c r="I1477" t="e">
        <f>VLOOKUP(products!D1477,categories[#All],2,TRUE)</f>
        <v>#N/A</v>
      </c>
    </row>
    <row r="1478" spans="1:9" x14ac:dyDescent="0.3">
      <c r="A1478">
        <v>1477</v>
      </c>
      <c r="B1478">
        <v>1</v>
      </c>
      <c r="C1478">
        <v>210</v>
      </c>
      <c r="D1478">
        <v>2</v>
      </c>
      <c r="E1478">
        <v>1549</v>
      </c>
      <c r="F1478">
        <v>0.2</v>
      </c>
      <c r="G1478">
        <f t="shared" si="23"/>
        <v>3097.8</v>
      </c>
      <c r="H1478" t="str">
        <f>_xlfn.XLOOKUP(C1478,products[Product_ID],products[Product_Name],"not found",0)</f>
        <v>Surly Straggler - 2018</v>
      </c>
      <c r="I1478" t="e">
        <f>VLOOKUP(products!D1478,categories[#All],2,TRUE)</f>
        <v>#N/A</v>
      </c>
    </row>
    <row r="1479" spans="1:9" x14ac:dyDescent="0.3">
      <c r="A1479">
        <v>1478</v>
      </c>
      <c r="B1479">
        <v>1</v>
      </c>
      <c r="C1479">
        <v>100</v>
      </c>
      <c r="D1479">
        <v>2</v>
      </c>
      <c r="E1479">
        <v>489.99</v>
      </c>
      <c r="F1479">
        <v>0.1</v>
      </c>
      <c r="G1479">
        <f t="shared" si="23"/>
        <v>979.88</v>
      </c>
      <c r="H1479" t="str">
        <f>_xlfn.XLOOKUP(C1479,products[Product_ID],products[Product_Name],"not found",0)</f>
        <v>Electra Townie 3i EQ (20-inch) - Boys' - 2017</v>
      </c>
      <c r="I1479" t="e">
        <f>VLOOKUP(products!D1479,categories[#All],2,TRUE)</f>
        <v>#N/A</v>
      </c>
    </row>
    <row r="1480" spans="1:9" x14ac:dyDescent="0.3">
      <c r="A1480">
        <v>1479</v>
      </c>
      <c r="B1480">
        <v>1</v>
      </c>
      <c r="C1480">
        <v>252</v>
      </c>
      <c r="D1480">
        <v>1</v>
      </c>
      <c r="E1480">
        <v>2999.99</v>
      </c>
      <c r="F1480">
        <v>0.05</v>
      </c>
      <c r="G1480">
        <f t="shared" si="23"/>
        <v>2999.9399999999996</v>
      </c>
      <c r="H1480" t="str">
        <f>_xlfn.XLOOKUP(C1480,products[Product_ID],products[Product_Name],"not found",0)</f>
        <v>Electra Townie Commute Go! Ladies' - 2018</v>
      </c>
      <c r="I1480" t="e">
        <f>VLOOKUP(products!D1480,categories[#All],2,TRUE)</f>
        <v>#N/A</v>
      </c>
    </row>
    <row r="1481" spans="1:9" x14ac:dyDescent="0.3">
      <c r="A1481">
        <v>1480</v>
      </c>
      <c r="B1481">
        <v>1</v>
      </c>
      <c r="C1481">
        <v>308</v>
      </c>
      <c r="D1481">
        <v>2</v>
      </c>
      <c r="E1481">
        <v>749.99</v>
      </c>
      <c r="F1481">
        <v>0.1</v>
      </c>
      <c r="G1481">
        <f t="shared" si="23"/>
        <v>1499.88</v>
      </c>
      <c r="H1481" t="str">
        <f>_xlfn.XLOOKUP(C1481,products[Product_ID],products[Product_Name],"not found",0)</f>
        <v>Electra Townie Balloon 8D EQ Ladies' - 2016/2017/2018</v>
      </c>
      <c r="I1481" t="e">
        <f>VLOOKUP(products!D1481,categories[#All],2,TRUE)</f>
        <v>#N/A</v>
      </c>
    </row>
    <row r="1482" spans="1:9" x14ac:dyDescent="0.3">
      <c r="A1482">
        <v>1481</v>
      </c>
      <c r="B1482">
        <v>1</v>
      </c>
      <c r="C1482">
        <v>53</v>
      </c>
      <c r="D1482">
        <v>2</v>
      </c>
      <c r="E1482">
        <v>749.99</v>
      </c>
      <c r="F1482">
        <v>7.0000000000000007E-2</v>
      </c>
      <c r="G1482">
        <f t="shared" si="23"/>
        <v>1499.91</v>
      </c>
      <c r="H1482" t="str">
        <f>_xlfn.XLOOKUP(C1482,products[Product_ID],products[Product_Name],"not found",0)</f>
        <v>Surly Ogre Frameset - 2017</v>
      </c>
      <c r="I1482" t="e">
        <f>VLOOKUP(products!D1482,categories[#All],2,TRUE)</f>
        <v>#N/A</v>
      </c>
    </row>
    <row r="1483" spans="1:9" x14ac:dyDescent="0.3">
      <c r="A1483">
        <v>1482</v>
      </c>
      <c r="B1483">
        <v>1</v>
      </c>
      <c r="C1483">
        <v>48</v>
      </c>
      <c r="D1483">
        <v>1</v>
      </c>
      <c r="E1483">
        <v>1499.99</v>
      </c>
      <c r="F1483">
        <v>0.1</v>
      </c>
      <c r="G1483">
        <f t="shared" si="23"/>
        <v>1499.89</v>
      </c>
      <c r="H1483" t="str">
        <f>_xlfn.XLOOKUP(C1483,products[Product_ID],products[Product_Name],"not found",0)</f>
        <v>Trek Emonda S 4 - 2017</v>
      </c>
      <c r="I1483" t="e">
        <f>VLOOKUP(products!D1483,categories[#All],2,TRUE)</f>
        <v>#N/A</v>
      </c>
    </row>
    <row r="1484" spans="1:9" x14ac:dyDescent="0.3">
      <c r="A1484">
        <v>1483</v>
      </c>
      <c r="B1484">
        <v>1</v>
      </c>
      <c r="C1484">
        <v>280</v>
      </c>
      <c r="D1484">
        <v>1</v>
      </c>
      <c r="E1484">
        <v>489.99</v>
      </c>
      <c r="F1484">
        <v>0.05</v>
      </c>
      <c r="G1484">
        <f t="shared" si="23"/>
        <v>489.94</v>
      </c>
      <c r="H1484" t="str">
        <f>_xlfn.XLOOKUP(C1484,products[Product_ID],products[Product_Name],"not found",0)</f>
        <v>Trek Superfly 24 - 2017/2018</v>
      </c>
      <c r="I1484" t="e">
        <f>VLOOKUP(products!D1484,categories[#All],2,TRUE)</f>
        <v>#N/A</v>
      </c>
    </row>
    <row r="1485" spans="1:9" x14ac:dyDescent="0.3">
      <c r="A1485">
        <v>1484</v>
      </c>
      <c r="B1485">
        <v>1</v>
      </c>
      <c r="C1485">
        <v>295</v>
      </c>
      <c r="D1485">
        <v>2</v>
      </c>
      <c r="E1485">
        <v>319.99</v>
      </c>
      <c r="F1485">
        <v>7.0000000000000007E-2</v>
      </c>
      <c r="G1485">
        <f t="shared" si="23"/>
        <v>639.91</v>
      </c>
      <c r="H1485" t="str">
        <f>_xlfn.XLOOKUP(C1485,products[Product_ID],products[Product_Name],"not found",0)</f>
        <v>Electra Treasure 1 20" - 2018</v>
      </c>
      <c r="I1485" t="e">
        <f>VLOOKUP(products!D1485,categories[#All],2,TRUE)</f>
        <v>#N/A</v>
      </c>
    </row>
    <row r="1486" spans="1:9" x14ac:dyDescent="0.3">
      <c r="A1486">
        <v>1485</v>
      </c>
      <c r="B1486">
        <v>1</v>
      </c>
      <c r="C1486">
        <v>122</v>
      </c>
      <c r="D1486">
        <v>2</v>
      </c>
      <c r="E1486">
        <v>2499.9899999999998</v>
      </c>
      <c r="F1486">
        <v>0.2</v>
      </c>
      <c r="G1486">
        <f t="shared" si="23"/>
        <v>4999.78</v>
      </c>
      <c r="H1486" t="str">
        <f>_xlfn.XLOOKUP(C1486,products[Product_ID],products[Product_Name],"not found",0)</f>
        <v>Surly Troll Frameset - 2018</v>
      </c>
      <c r="I1486" t="e">
        <f>VLOOKUP(products!D1486,categories[#All],2,TRUE)</f>
        <v>#N/A</v>
      </c>
    </row>
    <row r="1487" spans="1:9" x14ac:dyDescent="0.3">
      <c r="A1487">
        <v>1486</v>
      </c>
      <c r="B1487">
        <v>1</v>
      </c>
      <c r="C1487">
        <v>60</v>
      </c>
      <c r="D1487">
        <v>2</v>
      </c>
      <c r="E1487">
        <v>1559.99</v>
      </c>
      <c r="F1487">
        <v>0.05</v>
      </c>
      <c r="G1487">
        <f t="shared" si="23"/>
        <v>3119.93</v>
      </c>
      <c r="H1487" t="str">
        <f>_xlfn.XLOOKUP(C1487,products[Product_ID],products[Product_Name],"not found",0)</f>
        <v>Sun Bicycles ElectroLite - 2017</v>
      </c>
      <c r="I1487" t="e">
        <f>VLOOKUP(products!D1487,categories[#All],2,TRUE)</f>
        <v>#N/A</v>
      </c>
    </row>
    <row r="1488" spans="1:9" x14ac:dyDescent="0.3">
      <c r="A1488">
        <v>1487</v>
      </c>
      <c r="B1488">
        <v>1</v>
      </c>
      <c r="C1488">
        <v>160</v>
      </c>
      <c r="D1488">
        <v>1</v>
      </c>
      <c r="E1488">
        <v>4499.99</v>
      </c>
      <c r="F1488">
        <v>7.0000000000000007E-2</v>
      </c>
      <c r="G1488">
        <f t="shared" si="23"/>
        <v>4499.92</v>
      </c>
      <c r="H1488" t="str">
        <f>_xlfn.XLOOKUP(C1488,products[Product_ID],products[Product_Name],"not found",0)</f>
        <v>Trek Emonda SLR 6 - 2018</v>
      </c>
      <c r="I1488" t="e">
        <f>VLOOKUP(products!D1488,categories[#All],2,TRUE)</f>
        <v>#N/A</v>
      </c>
    </row>
    <row r="1489" spans="1:9" x14ac:dyDescent="0.3">
      <c r="A1489">
        <v>1488</v>
      </c>
      <c r="B1489">
        <v>1</v>
      </c>
      <c r="C1489">
        <v>42</v>
      </c>
      <c r="D1489">
        <v>1</v>
      </c>
      <c r="E1489">
        <v>2299.9899999999998</v>
      </c>
      <c r="F1489">
        <v>7.0000000000000007E-2</v>
      </c>
      <c r="G1489">
        <f t="shared" si="23"/>
        <v>2299.9199999999996</v>
      </c>
      <c r="H1489" t="str">
        <f>_xlfn.XLOOKUP(C1489,products[Product_ID],products[Product_Name],"not found",0)</f>
        <v>Trek Fuel EX 5 27.5 Plus - 2017</v>
      </c>
      <c r="I1489" t="e">
        <f>VLOOKUP(products!D1489,categories[#All],2,TRUE)</f>
        <v>#N/A</v>
      </c>
    </row>
    <row r="1490" spans="1:9" x14ac:dyDescent="0.3">
      <c r="A1490">
        <v>1489</v>
      </c>
      <c r="B1490">
        <v>1</v>
      </c>
      <c r="C1490">
        <v>198</v>
      </c>
      <c r="D1490">
        <v>1</v>
      </c>
      <c r="E1490">
        <v>2999.99</v>
      </c>
      <c r="F1490">
        <v>0.2</v>
      </c>
      <c r="G1490">
        <f t="shared" si="23"/>
        <v>2999.79</v>
      </c>
      <c r="H1490" t="str">
        <f>_xlfn.XLOOKUP(C1490,products[Product_ID],products[Product_Name],"not found",0)</f>
        <v>Electra Townie Commute Go! - 2018</v>
      </c>
      <c r="I1490" t="e">
        <f>VLOOKUP(products!D1490,categories[#All],2,TRUE)</f>
        <v>#N/A</v>
      </c>
    </row>
    <row r="1491" spans="1:9" x14ac:dyDescent="0.3">
      <c r="A1491">
        <v>1490</v>
      </c>
      <c r="B1491">
        <v>1</v>
      </c>
      <c r="C1491">
        <v>99</v>
      </c>
      <c r="D1491">
        <v>1</v>
      </c>
      <c r="E1491">
        <v>299.99</v>
      </c>
      <c r="F1491">
        <v>0.1</v>
      </c>
      <c r="G1491">
        <f t="shared" si="23"/>
        <v>299.89</v>
      </c>
      <c r="H1491" t="str">
        <f>_xlfn.XLOOKUP(C1491,products[Product_ID],products[Product_Name],"not found",0)</f>
        <v>Electra Sugar Skulls 1 (20-inch) - Girl's - 2017</v>
      </c>
      <c r="I1491" t="e">
        <f>VLOOKUP(products!D1491,categories[#All],2,TRUE)</f>
        <v>#N/A</v>
      </c>
    </row>
    <row r="1492" spans="1:9" x14ac:dyDescent="0.3">
      <c r="A1492">
        <v>1491</v>
      </c>
      <c r="B1492">
        <v>1</v>
      </c>
      <c r="C1492">
        <v>95</v>
      </c>
      <c r="D1492">
        <v>2</v>
      </c>
      <c r="E1492">
        <v>299.99</v>
      </c>
      <c r="F1492">
        <v>0.2</v>
      </c>
      <c r="G1492">
        <f t="shared" si="23"/>
        <v>599.78</v>
      </c>
      <c r="H1492" t="str">
        <f>_xlfn.XLOOKUP(C1492,products[Product_ID],products[Product_Name],"not found",0)</f>
        <v>Electra Girl's Hawaii 1 16" - 2017</v>
      </c>
      <c r="I1492" t="e">
        <f>VLOOKUP(products!D1492,categories[#All],2,TRUE)</f>
        <v>#N/A</v>
      </c>
    </row>
    <row r="1493" spans="1:9" x14ac:dyDescent="0.3">
      <c r="A1493">
        <v>1492</v>
      </c>
      <c r="B1493">
        <v>1</v>
      </c>
      <c r="C1493">
        <v>37</v>
      </c>
      <c r="D1493">
        <v>2</v>
      </c>
      <c r="E1493">
        <v>379.99</v>
      </c>
      <c r="F1493">
        <v>0.1</v>
      </c>
      <c r="G1493">
        <f t="shared" si="23"/>
        <v>759.88</v>
      </c>
      <c r="H1493" t="str">
        <f>_xlfn.XLOOKUP(C1493,products[Product_ID],products[Product_Name],"not found",0)</f>
        <v>Haro Flightline One ST - 2017</v>
      </c>
      <c r="I1493" t="e">
        <f>VLOOKUP(products!D1493,categories[#All],2,TRUE)</f>
        <v>#N/A</v>
      </c>
    </row>
    <row r="1494" spans="1:9" x14ac:dyDescent="0.3">
      <c r="A1494">
        <v>1493</v>
      </c>
      <c r="B1494">
        <v>1</v>
      </c>
      <c r="C1494">
        <v>230</v>
      </c>
      <c r="D1494">
        <v>1</v>
      </c>
      <c r="E1494">
        <v>429.99</v>
      </c>
      <c r="F1494">
        <v>0.1</v>
      </c>
      <c r="G1494">
        <f t="shared" si="23"/>
        <v>429.89</v>
      </c>
      <c r="H1494" t="str">
        <f>_xlfn.XLOOKUP(C1494,products[Product_ID],products[Product_Name],"not found",0)</f>
        <v>Electra Cruiser Lux 1 Ladies' - 2018</v>
      </c>
      <c r="I1494" t="e">
        <f>VLOOKUP(products!D1494,categories[#All],2,TRUE)</f>
        <v>#N/A</v>
      </c>
    </row>
    <row r="1495" spans="1:9" x14ac:dyDescent="0.3">
      <c r="A1495">
        <v>1494</v>
      </c>
      <c r="B1495">
        <v>1</v>
      </c>
      <c r="C1495">
        <v>230</v>
      </c>
      <c r="D1495">
        <v>2</v>
      </c>
      <c r="E1495">
        <v>429.99</v>
      </c>
      <c r="F1495">
        <v>0.1</v>
      </c>
      <c r="G1495">
        <f t="shared" si="23"/>
        <v>859.88</v>
      </c>
      <c r="H1495" t="str">
        <f>_xlfn.XLOOKUP(C1495,products[Product_ID],products[Product_Name],"not found",0)</f>
        <v>Electra Cruiser Lux 1 Ladies' - 2018</v>
      </c>
      <c r="I1495" t="e">
        <f>VLOOKUP(products!D1495,categories[#All],2,TRUE)</f>
        <v>#N/A</v>
      </c>
    </row>
    <row r="1496" spans="1:9" x14ac:dyDescent="0.3">
      <c r="A1496">
        <v>1495</v>
      </c>
      <c r="B1496">
        <v>1</v>
      </c>
      <c r="C1496">
        <v>292</v>
      </c>
      <c r="D1496">
        <v>2</v>
      </c>
      <c r="E1496">
        <v>369.99</v>
      </c>
      <c r="F1496">
        <v>0.05</v>
      </c>
      <c r="G1496">
        <f t="shared" si="23"/>
        <v>739.93000000000006</v>
      </c>
      <c r="H1496" t="str">
        <f>_xlfn.XLOOKUP(C1496,products[Product_ID],products[Product_Name],"not found",0)</f>
        <v>Electra Sweet Ride 3i (20-inch) - Girls' - 2018</v>
      </c>
      <c r="I1496" t="e">
        <f>VLOOKUP(products!D1496,categories[#All],2,TRUE)</f>
        <v>#N/A</v>
      </c>
    </row>
    <row r="1497" spans="1:9" x14ac:dyDescent="0.3">
      <c r="A1497">
        <v>1496</v>
      </c>
      <c r="B1497">
        <v>1</v>
      </c>
      <c r="C1497">
        <v>248</v>
      </c>
      <c r="D1497">
        <v>1</v>
      </c>
      <c r="E1497">
        <v>599.99</v>
      </c>
      <c r="F1497">
        <v>7.0000000000000007E-2</v>
      </c>
      <c r="G1497">
        <f t="shared" si="23"/>
        <v>599.91999999999996</v>
      </c>
      <c r="H1497" t="str">
        <f>_xlfn.XLOOKUP(C1497,products[Product_ID],products[Product_Name],"not found",0)</f>
        <v>Electra Townie Original 7D EQ Ladies' - 2017/2018</v>
      </c>
      <c r="I1497" t="e">
        <f>VLOOKUP(products!D1497,categories[#All],2,TRUE)</f>
        <v>#N/A</v>
      </c>
    </row>
    <row r="1498" spans="1:9" x14ac:dyDescent="0.3">
      <c r="A1498">
        <v>1497</v>
      </c>
      <c r="B1498">
        <v>1</v>
      </c>
      <c r="C1498">
        <v>141</v>
      </c>
      <c r="D1498">
        <v>2</v>
      </c>
      <c r="E1498">
        <v>1599.99</v>
      </c>
      <c r="F1498">
        <v>0.2</v>
      </c>
      <c r="G1498">
        <f t="shared" si="23"/>
        <v>3199.78</v>
      </c>
      <c r="H1498" t="str">
        <f>_xlfn.XLOOKUP(C1498,products[Product_ID],products[Product_Name],"not found",0)</f>
        <v>Trek Stache 5 - 2018</v>
      </c>
      <c r="I1498" t="e">
        <f>VLOOKUP(products!D1498,categories[#All],2,TRUE)</f>
        <v>#N/A</v>
      </c>
    </row>
    <row r="1499" spans="1:9" x14ac:dyDescent="0.3">
      <c r="A1499">
        <v>1498</v>
      </c>
      <c r="B1499">
        <v>1</v>
      </c>
      <c r="C1499">
        <v>172</v>
      </c>
      <c r="D1499">
        <v>1</v>
      </c>
      <c r="E1499">
        <v>3199.99</v>
      </c>
      <c r="F1499">
        <v>0.05</v>
      </c>
      <c r="G1499">
        <f t="shared" si="23"/>
        <v>3199.9399999999996</v>
      </c>
      <c r="H1499" t="str">
        <f>_xlfn.XLOOKUP(C1499,products[Product_ID],products[Product_Name],"not found",0)</f>
        <v>Trek Domane ALR Disc Frameset - 2018</v>
      </c>
      <c r="I1499" t="e">
        <f>VLOOKUP(products!D1499,categories[#All],2,TRUE)</f>
        <v>#N/A</v>
      </c>
    </row>
    <row r="1500" spans="1:9" x14ac:dyDescent="0.3">
      <c r="A1500">
        <v>1499</v>
      </c>
      <c r="B1500">
        <v>1</v>
      </c>
      <c r="C1500">
        <v>110</v>
      </c>
      <c r="D1500">
        <v>1</v>
      </c>
      <c r="E1500">
        <v>470.99</v>
      </c>
      <c r="F1500">
        <v>0.05</v>
      </c>
      <c r="G1500">
        <f t="shared" si="23"/>
        <v>470.94</v>
      </c>
      <c r="H1500" t="str">
        <f>_xlfn.XLOOKUP(C1500,products[Product_ID],products[Product_Name],"not found",0)</f>
        <v>Sun Bicycles Drifter 7 - 2017</v>
      </c>
      <c r="I1500" t="e">
        <f>VLOOKUP(products!D1500,categories[#All],2,TRUE)</f>
        <v>#N/A</v>
      </c>
    </row>
    <row r="1501" spans="1:9" x14ac:dyDescent="0.3">
      <c r="A1501">
        <v>1500</v>
      </c>
      <c r="B1501">
        <v>1</v>
      </c>
      <c r="C1501">
        <v>41</v>
      </c>
      <c r="D1501">
        <v>2</v>
      </c>
      <c r="E1501">
        <v>1469.99</v>
      </c>
      <c r="F1501">
        <v>7.0000000000000007E-2</v>
      </c>
      <c r="G1501">
        <f t="shared" si="23"/>
        <v>2939.91</v>
      </c>
      <c r="H1501" t="str">
        <f>_xlfn.XLOOKUP(C1501,products[Product_ID],products[Product_Name],"not found",0)</f>
        <v>Haro Shift R3 - 2017</v>
      </c>
      <c r="I1501" t="e">
        <f>VLOOKUP(products!D1501,categories[#All],2,TRUE)</f>
        <v>#N/A</v>
      </c>
    </row>
    <row r="1502" spans="1:9" x14ac:dyDescent="0.3">
      <c r="A1502">
        <v>1501</v>
      </c>
      <c r="B1502">
        <v>1</v>
      </c>
      <c r="C1502">
        <v>248</v>
      </c>
      <c r="D1502">
        <v>1</v>
      </c>
      <c r="E1502">
        <v>599.99</v>
      </c>
      <c r="F1502">
        <v>0.05</v>
      </c>
      <c r="G1502">
        <f t="shared" si="23"/>
        <v>599.94000000000005</v>
      </c>
      <c r="H1502" t="str">
        <f>_xlfn.XLOOKUP(C1502,products[Product_ID],products[Product_Name],"not found",0)</f>
        <v>Electra Townie Original 7D EQ Ladies' - 2017/2018</v>
      </c>
      <c r="I1502" t="e">
        <f>VLOOKUP(products!D1502,categories[#All],2,TRUE)</f>
        <v>#N/A</v>
      </c>
    </row>
    <row r="1503" spans="1:9" x14ac:dyDescent="0.3">
      <c r="A1503">
        <v>1502</v>
      </c>
      <c r="B1503">
        <v>1</v>
      </c>
      <c r="C1503">
        <v>231</v>
      </c>
      <c r="D1503">
        <v>2</v>
      </c>
      <c r="E1503">
        <v>529.99</v>
      </c>
      <c r="F1503">
        <v>0.2</v>
      </c>
      <c r="G1503">
        <f t="shared" si="23"/>
        <v>1059.78</v>
      </c>
      <c r="H1503" t="str">
        <f>_xlfn.XLOOKUP(C1503,products[Product_ID],products[Product_Name],"not found",0)</f>
        <v>Electra Cruiser Lux 3i Ladies' - 2018</v>
      </c>
      <c r="I1503" t="e">
        <f>VLOOKUP(products!D1503,categories[#All],2,TRUE)</f>
        <v>#N/A</v>
      </c>
    </row>
    <row r="1504" spans="1:9" x14ac:dyDescent="0.3">
      <c r="A1504">
        <v>1503</v>
      </c>
      <c r="B1504">
        <v>1</v>
      </c>
      <c r="C1504">
        <v>217</v>
      </c>
      <c r="D1504">
        <v>1</v>
      </c>
      <c r="E1504">
        <v>909.99</v>
      </c>
      <c r="F1504">
        <v>0.1</v>
      </c>
      <c r="G1504">
        <f t="shared" si="23"/>
        <v>909.89</v>
      </c>
      <c r="H1504" t="str">
        <f>_xlfn.XLOOKUP(C1504,products[Product_ID],products[Product_Name],"not found",0)</f>
        <v>Electra Straight 8 3i - 2018</v>
      </c>
      <c r="I1504" t="e">
        <f>VLOOKUP(products!D1504,categories[#All],2,TRUE)</f>
        <v>#N/A</v>
      </c>
    </row>
    <row r="1505" spans="1:9" x14ac:dyDescent="0.3">
      <c r="A1505">
        <v>1504</v>
      </c>
      <c r="B1505">
        <v>1</v>
      </c>
      <c r="C1505">
        <v>276</v>
      </c>
      <c r="D1505">
        <v>1</v>
      </c>
      <c r="E1505">
        <v>319.99</v>
      </c>
      <c r="F1505">
        <v>7.0000000000000007E-2</v>
      </c>
      <c r="G1505">
        <f t="shared" si="23"/>
        <v>319.92</v>
      </c>
      <c r="H1505" t="str">
        <f>_xlfn.XLOOKUP(C1505,products[Product_ID],products[Product_Name],"not found",0)</f>
        <v>Trek Precaliber 24 (7-Speed) - Boys - 2018</v>
      </c>
      <c r="I1505" t="e">
        <f>VLOOKUP(products!D1505,categories[#All],2,TRUE)</f>
        <v>#N/A</v>
      </c>
    </row>
    <row r="1506" spans="1:9" x14ac:dyDescent="0.3">
      <c r="A1506">
        <v>1505</v>
      </c>
      <c r="B1506">
        <v>1</v>
      </c>
      <c r="C1506">
        <v>223</v>
      </c>
      <c r="D1506">
        <v>2</v>
      </c>
      <c r="E1506">
        <v>529.99</v>
      </c>
      <c r="F1506">
        <v>0.05</v>
      </c>
      <c r="G1506">
        <f t="shared" si="23"/>
        <v>1059.93</v>
      </c>
      <c r="H1506" t="str">
        <f>_xlfn.XLOOKUP(C1506,products[Product_ID],products[Product_Name],"not found",0)</f>
        <v>Electra Cruiser Lux 3i - 2018</v>
      </c>
      <c r="I1506" t="e">
        <f>VLOOKUP(products!D1506,categories[#All],2,TRUE)</f>
        <v>#N/A</v>
      </c>
    </row>
    <row r="1507" spans="1:9" x14ac:dyDescent="0.3">
      <c r="A1507">
        <v>1506</v>
      </c>
      <c r="B1507">
        <v>1</v>
      </c>
      <c r="C1507">
        <v>184</v>
      </c>
      <c r="D1507">
        <v>1</v>
      </c>
      <c r="E1507">
        <v>3499.99</v>
      </c>
      <c r="F1507">
        <v>0.05</v>
      </c>
      <c r="G1507">
        <f t="shared" si="23"/>
        <v>3499.9399999999996</v>
      </c>
      <c r="H1507" t="str">
        <f>_xlfn.XLOOKUP(C1507,products[Product_ID],products[Product_Name],"not found",0)</f>
        <v>Trek Domane SL 6 Disc - 2018</v>
      </c>
      <c r="I1507" t="e">
        <f>VLOOKUP(products!D1507,categories[#All],2,TRUE)</f>
        <v>#N/A</v>
      </c>
    </row>
    <row r="1508" spans="1:9" x14ac:dyDescent="0.3">
      <c r="A1508">
        <v>1507</v>
      </c>
      <c r="B1508">
        <v>1</v>
      </c>
      <c r="C1508">
        <v>39</v>
      </c>
      <c r="D1508">
        <v>2</v>
      </c>
      <c r="E1508">
        <v>1499.99</v>
      </c>
      <c r="F1508">
        <v>0.2</v>
      </c>
      <c r="G1508">
        <f t="shared" si="23"/>
        <v>2999.78</v>
      </c>
      <c r="H1508" t="str">
        <f>_xlfn.XLOOKUP(C1508,products[Product_ID],products[Product_Name],"not found",0)</f>
        <v>Trek Stache 5 - 2017</v>
      </c>
      <c r="I1508" t="e">
        <f>VLOOKUP(products!D1508,categories[#All],2,TRUE)</f>
        <v>#N/A</v>
      </c>
    </row>
    <row r="1509" spans="1:9" x14ac:dyDescent="0.3">
      <c r="A1509">
        <v>1508</v>
      </c>
      <c r="B1509">
        <v>1</v>
      </c>
      <c r="C1509">
        <v>37</v>
      </c>
      <c r="D1509">
        <v>1</v>
      </c>
      <c r="E1509">
        <v>379.99</v>
      </c>
      <c r="F1509">
        <v>0.2</v>
      </c>
      <c r="G1509">
        <f t="shared" si="23"/>
        <v>379.79</v>
      </c>
      <c r="H1509" t="str">
        <f>_xlfn.XLOOKUP(C1509,products[Product_ID],products[Product_Name],"not found",0)</f>
        <v>Haro Flightline One ST - 2017</v>
      </c>
      <c r="I1509" t="e">
        <f>VLOOKUP(products!D1509,categories[#All],2,TRUE)</f>
        <v>#N/A</v>
      </c>
    </row>
    <row r="1510" spans="1:9" x14ac:dyDescent="0.3">
      <c r="A1510">
        <v>1509</v>
      </c>
      <c r="B1510">
        <v>1</v>
      </c>
      <c r="C1510">
        <v>215</v>
      </c>
      <c r="D1510">
        <v>2</v>
      </c>
      <c r="E1510">
        <v>749.99</v>
      </c>
      <c r="F1510">
        <v>7.0000000000000007E-2</v>
      </c>
      <c r="G1510">
        <f t="shared" si="23"/>
        <v>1499.91</v>
      </c>
      <c r="H1510" t="str">
        <f>_xlfn.XLOOKUP(C1510,products[Product_ID],products[Product_Name],"not found",0)</f>
        <v>Electra Queen of Hearts 3i - 2018</v>
      </c>
      <c r="I1510" t="e">
        <f>VLOOKUP(products!D1510,categories[#All],2,TRUE)</f>
        <v>#N/A</v>
      </c>
    </row>
    <row r="1511" spans="1:9" x14ac:dyDescent="0.3">
      <c r="A1511">
        <v>1510</v>
      </c>
      <c r="B1511">
        <v>1</v>
      </c>
      <c r="C1511">
        <v>142</v>
      </c>
      <c r="D1511">
        <v>2</v>
      </c>
      <c r="E1511">
        <v>3199.99</v>
      </c>
      <c r="F1511">
        <v>0.05</v>
      </c>
      <c r="G1511">
        <f t="shared" si="23"/>
        <v>6399.9299999999994</v>
      </c>
      <c r="H1511" t="str">
        <f>_xlfn.XLOOKUP(C1511,products[Product_ID],products[Product_Name],"not found",0)</f>
        <v>Trek Fuel EX 8 29 XT - 2018</v>
      </c>
      <c r="I1511" t="e">
        <f>VLOOKUP(products!D1511,categories[#All],2,TRUE)</f>
        <v>#N/A</v>
      </c>
    </row>
    <row r="1512" spans="1:9" x14ac:dyDescent="0.3">
      <c r="A1512">
        <v>1511</v>
      </c>
      <c r="B1512">
        <v>1</v>
      </c>
      <c r="C1512">
        <v>144</v>
      </c>
      <c r="D1512">
        <v>2</v>
      </c>
      <c r="E1512">
        <v>1549.99</v>
      </c>
      <c r="F1512">
        <v>0.2</v>
      </c>
      <c r="G1512">
        <f t="shared" si="23"/>
        <v>3099.78</v>
      </c>
      <c r="H1512" t="str">
        <f>_xlfn.XLOOKUP(C1512,products[Product_ID],products[Product_Name],"not found",0)</f>
        <v>Trek Domane ALR 4 Disc - 2018</v>
      </c>
      <c r="I1512" t="e">
        <f>VLOOKUP(products!D1512,categories[#All],2,TRUE)</f>
        <v>#N/A</v>
      </c>
    </row>
    <row r="1513" spans="1:9" x14ac:dyDescent="0.3">
      <c r="A1513">
        <v>1512</v>
      </c>
      <c r="B1513">
        <v>1</v>
      </c>
      <c r="C1513">
        <v>217</v>
      </c>
      <c r="D1513">
        <v>1</v>
      </c>
      <c r="E1513">
        <v>909.99</v>
      </c>
      <c r="F1513">
        <v>7.0000000000000007E-2</v>
      </c>
      <c r="G1513">
        <f t="shared" si="23"/>
        <v>909.92</v>
      </c>
      <c r="H1513" t="str">
        <f>_xlfn.XLOOKUP(C1513,products[Product_ID],products[Product_Name],"not found",0)</f>
        <v>Electra Straight 8 3i - 2018</v>
      </c>
      <c r="I1513" t="e">
        <f>VLOOKUP(products!D1513,categories[#All],2,TRUE)</f>
        <v>#N/A</v>
      </c>
    </row>
    <row r="1514" spans="1:9" x14ac:dyDescent="0.3">
      <c r="A1514">
        <v>1513</v>
      </c>
      <c r="B1514">
        <v>1</v>
      </c>
      <c r="C1514">
        <v>166</v>
      </c>
      <c r="D1514">
        <v>1</v>
      </c>
      <c r="E1514">
        <v>749.99</v>
      </c>
      <c r="F1514">
        <v>0.1</v>
      </c>
      <c r="G1514">
        <f t="shared" si="23"/>
        <v>749.89</v>
      </c>
      <c r="H1514" t="str">
        <f>_xlfn.XLOOKUP(C1514,products[Product_ID],products[Product_Name],"not found",0)</f>
        <v>Trek Domane AL 2 Women's - 2018</v>
      </c>
      <c r="I1514" t="e">
        <f>VLOOKUP(products!D1514,categories[#All],2,TRUE)</f>
        <v>#N/A</v>
      </c>
    </row>
    <row r="1515" spans="1:9" x14ac:dyDescent="0.3">
      <c r="A1515">
        <v>1514</v>
      </c>
      <c r="B1515">
        <v>1</v>
      </c>
      <c r="C1515">
        <v>240</v>
      </c>
      <c r="D1515">
        <v>2</v>
      </c>
      <c r="E1515">
        <v>899.99</v>
      </c>
      <c r="F1515">
        <v>0.1</v>
      </c>
      <c r="G1515">
        <f t="shared" si="23"/>
        <v>1799.88</v>
      </c>
      <c r="H1515" t="str">
        <f>_xlfn.XLOOKUP(C1515,products[Product_ID],products[Product_Name],"not found",0)</f>
        <v>Electra Townie Commute 27D Ladies - 2018</v>
      </c>
      <c r="I1515" t="e">
        <f>VLOOKUP(products!D1515,categories[#All],2,TRUE)</f>
        <v>#N/A</v>
      </c>
    </row>
    <row r="1516" spans="1:9" x14ac:dyDescent="0.3">
      <c r="A1516">
        <v>1515</v>
      </c>
      <c r="B1516">
        <v>1</v>
      </c>
      <c r="C1516">
        <v>27</v>
      </c>
      <c r="D1516">
        <v>2</v>
      </c>
      <c r="E1516">
        <v>999.99</v>
      </c>
      <c r="F1516">
        <v>0.2</v>
      </c>
      <c r="G1516">
        <f t="shared" si="23"/>
        <v>1999.78</v>
      </c>
      <c r="H1516" t="str">
        <f>_xlfn.XLOOKUP(C1516,products[Product_ID],products[Product_Name],"not found",0)</f>
        <v>Surly Big Dummy Frameset - 2017</v>
      </c>
      <c r="I1516" t="e">
        <f>VLOOKUP(products!D1516,categories[#All],2,TRUE)</f>
        <v>#N/A</v>
      </c>
    </row>
    <row r="1517" spans="1:9" x14ac:dyDescent="0.3">
      <c r="A1517">
        <v>1516</v>
      </c>
      <c r="B1517">
        <v>1</v>
      </c>
      <c r="C1517">
        <v>172</v>
      </c>
      <c r="D1517">
        <v>2</v>
      </c>
      <c r="E1517">
        <v>3199.99</v>
      </c>
      <c r="F1517">
        <v>0.1</v>
      </c>
      <c r="G1517">
        <f t="shared" si="23"/>
        <v>6399.8799999999992</v>
      </c>
      <c r="H1517" t="str">
        <f>_xlfn.XLOOKUP(C1517,products[Product_ID],products[Product_Name],"not found",0)</f>
        <v>Trek Domane ALR Disc Frameset - 2018</v>
      </c>
      <c r="I1517" t="e">
        <f>VLOOKUP(products!D1517,categories[#All],2,TRUE)</f>
        <v>#N/A</v>
      </c>
    </row>
    <row r="1518" spans="1:9" x14ac:dyDescent="0.3">
      <c r="A1518">
        <v>1517</v>
      </c>
      <c r="B1518">
        <v>1</v>
      </c>
      <c r="C1518">
        <v>303</v>
      </c>
      <c r="D1518">
        <v>2</v>
      </c>
      <c r="E1518">
        <v>2599.9899999999998</v>
      </c>
      <c r="F1518">
        <v>7.0000000000000007E-2</v>
      </c>
      <c r="G1518">
        <f t="shared" si="23"/>
        <v>5199.91</v>
      </c>
      <c r="H1518" t="str">
        <f>_xlfn.XLOOKUP(C1518,products[Product_ID],products[Product_Name],"not found",0)</f>
        <v>Electra Townie Go! 8i - 2017/2018</v>
      </c>
      <c r="I1518" t="e">
        <f>VLOOKUP(products!D1518,categories[#All],2,TRUE)</f>
        <v>#N/A</v>
      </c>
    </row>
    <row r="1519" spans="1:9" x14ac:dyDescent="0.3">
      <c r="A1519">
        <v>1518</v>
      </c>
      <c r="B1519">
        <v>1</v>
      </c>
      <c r="C1519">
        <v>304</v>
      </c>
      <c r="D1519">
        <v>2</v>
      </c>
      <c r="E1519">
        <v>679.99</v>
      </c>
      <c r="F1519">
        <v>0.1</v>
      </c>
      <c r="G1519">
        <f t="shared" si="23"/>
        <v>1359.88</v>
      </c>
      <c r="H1519" t="str">
        <f>_xlfn.XLOOKUP(C1519,products[Product_ID],products[Product_Name],"not found",0)</f>
        <v>Electra Townie Original 21D EQ - 2017/2018</v>
      </c>
      <c r="I1519" t="e">
        <f>VLOOKUP(products!D1519,categories[#All],2,TRUE)</f>
        <v>#N/A</v>
      </c>
    </row>
    <row r="1520" spans="1:9" x14ac:dyDescent="0.3">
      <c r="A1520">
        <v>1519</v>
      </c>
      <c r="B1520">
        <v>1</v>
      </c>
      <c r="C1520">
        <v>150</v>
      </c>
      <c r="D1520">
        <v>1</v>
      </c>
      <c r="E1520">
        <v>4499.99</v>
      </c>
      <c r="F1520">
        <v>0.2</v>
      </c>
      <c r="G1520">
        <f t="shared" si="23"/>
        <v>4499.79</v>
      </c>
      <c r="H1520" t="str">
        <f>_xlfn.XLOOKUP(C1520,products[Product_ID],products[Product_Name],"not found",0)</f>
        <v>Trek Emonda SL 7 - 2018</v>
      </c>
      <c r="I1520" t="e">
        <f>VLOOKUP(products!D1520,categories[#All],2,TRUE)</f>
        <v>#N/A</v>
      </c>
    </row>
    <row r="1521" spans="1:9" x14ac:dyDescent="0.3">
      <c r="A1521">
        <v>1520</v>
      </c>
      <c r="B1521">
        <v>1</v>
      </c>
      <c r="C1521">
        <v>186</v>
      </c>
      <c r="D1521">
        <v>1</v>
      </c>
      <c r="E1521">
        <v>4499.99</v>
      </c>
      <c r="F1521">
        <v>0.05</v>
      </c>
      <c r="G1521">
        <f t="shared" si="23"/>
        <v>4499.9399999999996</v>
      </c>
      <c r="H1521" t="str">
        <f>_xlfn.XLOOKUP(C1521,products[Product_ID],products[Product_Name],"not found",0)</f>
        <v>Trek CrossRip+ - 2018</v>
      </c>
      <c r="I1521" t="e">
        <f>VLOOKUP(products!D1521,categories[#All],2,TRUE)</f>
        <v>#N/A</v>
      </c>
    </row>
    <row r="1522" spans="1:9" x14ac:dyDescent="0.3">
      <c r="A1522">
        <v>1521</v>
      </c>
      <c r="B1522">
        <v>1</v>
      </c>
      <c r="C1522">
        <v>100</v>
      </c>
      <c r="D1522">
        <v>1</v>
      </c>
      <c r="E1522">
        <v>489.99</v>
      </c>
      <c r="F1522">
        <v>0.2</v>
      </c>
      <c r="G1522">
        <f t="shared" si="23"/>
        <v>489.79</v>
      </c>
      <c r="H1522" t="str">
        <f>_xlfn.XLOOKUP(C1522,products[Product_ID],products[Product_Name],"not found",0)</f>
        <v>Electra Townie 3i EQ (20-inch) - Boys' - 2017</v>
      </c>
      <c r="I1522" t="e">
        <f>VLOOKUP(products!D1522,categories[#All],2,TRUE)</f>
        <v>#N/A</v>
      </c>
    </row>
    <row r="1523" spans="1:9" x14ac:dyDescent="0.3">
      <c r="A1523">
        <v>1522</v>
      </c>
      <c r="B1523">
        <v>1</v>
      </c>
      <c r="C1523">
        <v>95</v>
      </c>
      <c r="D1523">
        <v>1</v>
      </c>
      <c r="E1523">
        <v>299.99</v>
      </c>
      <c r="F1523">
        <v>0.1</v>
      </c>
      <c r="G1523">
        <f t="shared" si="23"/>
        <v>299.89</v>
      </c>
      <c r="H1523" t="str">
        <f>_xlfn.XLOOKUP(C1523,products[Product_ID],products[Product_Name],"not found",0)</f>
        <v>Electra Girl's Hawaii 1 16" - 2017</v>
      </c>
      <c r="I1523" t="e">
        <f>VLOOKUP(products!D1523,categories[#All],2,TRUE)</f>
        <v>#N/A</v>
      </c>
    </row>
    <row r="1524" spans="1:9" x14ac:dyDescent="0.3">
      <c r="A1524">
        <v>1523</v>
      </c>
      <c r="B1524">
        <v>1</v>
      </c>
      <c r="C1524">
        <v>311</v>
      </c>
      <c r="D1524">
        <v>2</v>
      </c>
      <c r="E1524">
        <v>749.99</v>
      </c>
      <c r="F1524">
        <v>0.2</v>
      </c>
      <c r="G1524">
        <f t="shared" si="23"/>
        <v>1499.78</v>
      </c>
      <c r="H1524" t="str">
        <f>_xlfn.XLOOKUP(C1524,products[Product_ID],products[Product_Name],"not found",0)</f>
        <v>Electra Townie Commute 8D - 2018</v>
      </c>
      <c r="I1524" t="e">
        <f>VLOOKUP(products!D1524,categories[#All],2,TRUE)</f>
        <v>#N/A</v>
      </c>
    </row>
    <row r="1525" spans="1:9" x14ac:dyDescent="0.3">
      <c r="A1525">
        <v>1524</v>
      </c>
      <c r="B1525">
        <v>1</v>
      </c>
      <c r="C1525">
        <v>168</v>
      </c>
      <c r="D1525">
        <v>1</v>
      </c>
      <c r="E1525">
        <v>1549</v>
      </c>
      <c r="F1525">
        <v>0.1</v>
      </c>
      <c r="G1525">
        <f t="shared" si="23"/>
        <v>1548.9</v>
      </c>
      <c r="H1525" t="str">
        <f>_xlfn.XLOOKUP(C1525,products[Product_ID],products[Product_Name],"not found",0)</f>
        <v>Surly Straggler - 2018</v>
      </c>
      <c r="I1525" t="e">
        <f>VLOOKUP(products!D1525,categories[#All],2,TRUE)</f>
        <v>#N/A</v>
      </c>
    </row>
    <row r="1526" spans="1:9" x14ac:dyDescent="0.3">
      <c r="A1526">
        <v>1525</v>
      </c>
      <c r="B1526">
        <v>1</v>
      </c>
      <c r="C1526">
        <v>156</v>
      </c>
      <c r="D1526">
        <v>1</v>
      </c>
      <c r="E1526">
        <v>6499.99</v>
      </c>
      <c r="F1526">
        <v>0.1</v>
      </c>
      <c r="G1526">
        <f t="shared" si="23"/>
        <v>6499.8899999999994</v>
      </c>
      <c r="H1526" t="str">
        <f>_xlfn.XLOOKUP(C1526,products[Product_ID],products[Product_Name],"not found",0)</f>
        <v>Trek Domane SL Frameset - 2018</v>
      </c>
      <c r="I1526" t="e">
        <f>VLOOKUP(products!D1526,categories[#All],2,TRUE)</f>
        <v>#N/A</v>
      </c>
    </row>
    <row r="1527" spans="1:9" x14ac:dyDescent="0.3">
      <c r="A1527">
        <v>1526</v>
      </c>
      <c r="B1527">
        <v>1</v>
      </c>
      <c r="C1527">
        <v>151</v>
      </c>
      <c r="D1527">
        <v>1</v>
      </c>
      <c r="E1527">
        <v>1549.99</v>
      </c>
      <c r="F1527">
        <v>7.0000000000000007E-2</v>
      </c>
      <c r="G1527">
        <f t="shared" si="23"/>
        <v>1549.92</v>
      </c>
      <c r="H1527" t="str">
        <f>_xlfn.XLOOKUP(C1527,products[Product_ID],products[Product_Name],"not found",0)</f>
        <v>Trek Domane ALR 4 Disc Women's - 2018</v>
      </c>
      <c r="I1527" t="e">
        <f>VLOOKUP(products!D1527,categories[#All],2,TRUE)</f>
        <v>#N/A</v>
      </c>
    </row>
    <row r="1528" spans="1:9" x14ac:dyDescent="0.3">
      <c r="A1528">
        <v>1527</v>
      </c>
      <c r="B1528">
        <v>1</v>
      </c>
      <c r="C1528">
        <v>33</v>
      </c>
      <c r="D1528">
        <v>1</v>
      </c>
      <c r="E1528">
        <v>469.99</v>
      </c>
      <c r="F1528">
        <v>0.1</v>
      </c>
      <c r="G1528">
        <f t="shared" si="23"/>
        <v>469.89</v>
      </c>
      <c r="H1528" t="str">
        <f>_xlfn.XLOOKUP(C1528,products[Product_ID],products[Product_Name],"not found",0)</f>
        <v>Surly Wednesday Frameset - 2017</v>
      </c>
      <c r="I1528" t="e">
        <f>VLOOKUP(products!D1528,categories[#All],2,TRUE)</f>
        <v>#N/A</v>
      </c>
    </row>
    <row r="1529" spans="1:9" x14ac:dyDescent="0.3">
      <c r="A1529">
        <v>1528</v>
      </c>
      <c r="B1529">
        <v>1</v>
      </c>
      <c r="C1529">
        <v>229</v>
      </c>
      <c r="D1529">
        <v>2</v>
      </c>
      <c r="E1529">
        <v>429.99</v>
      </c>
      <c r="F1529">
        <v>0.2</v>
      </c>
      <c r="G1529">
        <f t="shared" si="23"/>
        <v>859.78</v>
      </c>
      <c r="H1529" t="str">
        <f>_xlfn.XLOOKUP(C1529,products[Product_ID],products[Product_Name],"not found",0)</f>
        <v>Electra Cruiser Lux 1 - 2016/2018</v>
      </c>
      <c r="I1529" t="e">
        <f>VLOOKUP(products!D1529,categories[#All],2,TRUE)</f>
        <v>#N/A</v>
      </c>
    </row>
    <row r="1530" spans="1:9" x14ac:dyDescent="0.3">
      <c r="A1530">
        <v>1529</v>
      </c>
      <c r="B1530">
        <v>1</v>
      </c>
      <c r="C1530">
        <v>23</v>
      </c>
      <c r="D1530">
        <v>1</v>
      </c>
      <c r="E1530">
        <v>299.99</v>
      </c>
      <c r="F1530">
        <v>0.05</v>
      </c>
      <c r="G1530">
        <f t="shared" si="23"/>
        <v>299.94</v>
      </c>
      <c r="H1530" t="str">
        <f>_xlfn.XLOOKUP(C1530,products[Product_ID],products[Product_Name],"not found",0)</f>
        <v>Electra Girl's Hawaii 1 (20-inch) - 2015/2016</v>
      </c>
      <c r="I1530" t="e">
        <f>VLOOKUP(products!D1530,categories[#All],2,TRUE)</f>
        <v>#N/A</v>
      </c>
    </row>
    <row r="1531" spans="1:9" x14ac:dyDescent="0.3">
      <c r="A1531">
        <v>1530</v>
      </c>
      <c r="B1531">
        <v>1</v>
      </c>
      <c r="C1531">
        <v>213</v>
      </c>
      <c r="D1531">
        <v>2</v>
      </c>
      <c r="E1531">
        <v>269.99</v>
      </c>
      <c r="F1531">
        <v>0.1</v>
      </c>
      <c r="G1531">
        <f t="shared" si="23"/>
        <v>539.88</v>
      </c>
      <c r="H1531" t="str">
        <f>_xlfn.XLOOKUP(C1531,products[Product_ID],products[Product_Name],"not found",0)</f>
        <v>Electra Cruiser 1 - 2016/2017/2018</v>
      </c>
      <c r="I1531" t="e">
        <f>VLOOKUP(products!D1531,categories[#All],2,TRUE)</f>
        <v>#N/A</v>
      </c>
    </row>
    <row r="1532" spans="1:9" x14ac:dyDescent="0.3">
      <c r="A1532">
        <v>1531</v>
      </c>
      <c r="B1532">
        <v>1</v>
      </c>
      <c r="C1532">
        <v>128</v>
      </c>
      <c r="D1532">
        <v>1</v>
      </c>
      <c r="E1532">
        <v>1899</v>
      </c>
      <c r="F1532">
        <v>0.1</v>
      </c>
      <c r="G1532">
        <f t="shared" si="23"/>
        <v>1898.9</v>
      </c>
      <c r="H1532" t="str">
        <f>_xlfn.XLOOKUP(C1532,products[Product_ID],products[Product_Name],"not found",0)</f>
        <v>Surly ECR 27.5 - 2018</v>
      </c>
      <c r="I1532" t="e">
        <f>VLOOKUP(products!D1532,categories[#All],2,TRUE)</f>
        <v>#N/A</v>
      </c>
    </row>
    <row r="1533" spans="1:9" x14ac:dyDescent="0.3">
      <c r="A1533">
        <v>1532</v>
      </c>
      <c r="B1533">
        <v>1</v>
      </c>
      <c r="C1533">
        <v>209</v>
      </c>
      <c r="D1533">
        <v>2</v>
      </c>
      <c r="E1533">
        <v>2999.99</v>
      </c>
      <c r="F1533">
        <v>7.0000000000000007E-2</v>
      </c>
      <c r="G1533">
        <f t="shared" si="23"/>
        <v>5999.91</v>
      </c>
      <c r="H1533" t="str">
        <f>_xlfn.XLOOKUP(C1533,products[Product_ID],products[Product_Name],"not found",0)</f>
        <v>Trek Crockett 7 Disc - 2018</v>
      </c>
      <c r="I1533" t="e">
        <f>VLOOKUP(products!D1533,categories[#All],2,TRUE)</f>
        <v>#N/A</v>
      </c>
    </row>
    <row r="1534" spans="1:9" x14ac:dyDescent="0.3">
      <c r="A1534">
        <v>1533</v>
      </c>
      <c r="B1534">
        <v>1</v>
      </c>
      <c r="C1534">
        <v>274</v>
      </c>
      <c r="D1534">
        <v>2</v>
      </c>
      <c r="E1534">
        <v>229.99</v>
      </c>
      <c r="F1534">
        <v>0.1</v>
      </c>
      <c r="G1534">
        <f t="shared" si="23"/>
        <v>459.88</v>
      </c>
      <c r="H1534" t="str">
        <f>_xlfn.XLOOKUP(C1534,products[Product_ID],products[Product_Name],"not found",0)</f>
        <v>Trek Precaliber 20 Boy's - 2018</v>
      </c>
      <c r="I1534" t="e">
        <f>VLOOKUP(products!D1534,categories[#All],2,TRUE)</f>
        <v>#N/A</v>
      </c>
    </row>
    <row r="1535" spans="1:9" x14ac:dyDescent="0.3">
      <c r="A1535">
        <v>1534</v>
      </c>
      <c r="B1535">
        <v>1</v>
      </c>
      <c r="C1535">
        <v>194</v>
      </c>
      <c r="D1535">
        <v>1</v>
      </c>
      <c r="E1535">
        <v>3499.99</v>
      </c>
      <c r="F1535">
        <v>0.1</v>
      </c>
      <c r="G1535">
        <f t="shared" si="23"/>
        <v>3499.89</v>
      </c>
      <c r="H1535" t="str">
        <f>_xlfn.XLOOKUP(C1535,products[Product_ID],products[Product_Name],"not found",0)</f>
        <v>Trek XM700+ - 2018</v>
      </c>
      <c r="I1535" t="e">
        <f>VLOOKUP(products!D1535,categories[#All],2,TRUE)</f>
        <v>#N/A</v>
      </c>
    </row>
    <row r="1536" spans="1:9" x14ac:dyDescent="0.3">
      <c r="A1536">
        <v>1535</v>
      </c>
      <c r="B1536">
        <v>1</v>
      </c>
      <c r="C1536">
        <v>92</v>
      </c>
      <c r="D1536">
        <v>1</v>
      </c>
      <c r="E1536">
        <v>209.99</v>
      </c>
      <c r="F1536">
        <v>0.05</v>
      </c>
      <c r="G1536">
        <f t="shared" si="23"/>
        <v>209.94</v>
      </c>
      <c r="H1536" t="str">
        <f>_xlfn.XLOOKUP(C1536,products[Product_ID],products[Product_Name],"not found",0)</f>
        <v>Haro Shredder 20 - 2017</v>
      </c>
      <c r="I1536" t="e">
        <f>VLOOKUP(products!D1536,categories[#All],2,TRUE)</f>
        <v>#N/A</v>
      </c>
    </row>
    <row r="1537" spans="1:9" x14ac:dyDescent="0.3">
      <c r="A1537">
        <v>1536</v>
      </c>
      <c r="B1537">
        <v>1</v>
      </c>
      <c r="C1537">
        <v>183</v>
      </c>
      <c r="D1537">
        <v>1</v>
      </c>
      <c r="E1537">
        <v>2199.9899999999998</v>
      </c>
      <c r="F1537">
        <v>0.2</v>
      </c>
      <c r="G1537">
        <f t="shared" si="23"/>
        <v>2199.79</v>
      </c>
      <c r="H1537" t="str">
        <f>_xlfn.XLOOKUP(C1537,products[Product_ID],products[Product_Name],"not found",0)</f>
        <v>Trek Domane SL 5 Women's - 2018</v>
      </c>
      <c r="I1537" t="e">
        <f>VLOOKUP(products!D1537,categories[#All],2,TRUE)</f>
        <v>#N/A</v>
      </c>
    </row>
    <row r="1538" spans="1:9" x14ac:dyDescent="0.3">
      <c r="A1538">
        <v>1537</v>
      </c>
      <c r="B1538">
        <v>1</v>
      </c>
      <c r="C1538">
        <v>237</v>
      </c>
      <c r="D1538">
        <v>2</v>
      </c>
      <c r="E1538">
        <v>849.99</v>
      </c>
      <c r="F1538">
        <v>0.05</v>
      </c>
      <c r="G1538">
        <f t="shared" ref="G1538:G1601" si="24">(E1538*D1538)-F1538</f>
        <v>1699.93</v>
      </c>
      <c r="H1538" t="str">
        <f>_xlfn.XLOOKUP(C1538,products[Product_ID],products[Product_Name],"not found",0)</f>
        <v>Electra Relic 3i - 2018</v>
      </c>
      <c r="I1538" t="e">
        <f>VLOOKUP(products!D1538,categories[#All],2,TRUE)</f>
        <v>#N/A</v>
      </c>
    </row>
    <row r="1539" spans="1:9" x14ac:dyDescent="0.3">
      <c r="A1539">
        <v>1538</v>
      </c>
      <c r="B1539">
        <v>1</v>
      </c>
      <c r="C1539">
        <v>206</v>
      </c>
      <c r="D1539">
        <v>1</v>
      </c>
      <c r="E1539">
        <v>3299.99</v>
      </c>
      <c r="F1539">
        <v>7.0000000000000007E-2</v>
      </c>
      <c r="G1539">
        <f t="shared" si="24"/>
        <v>3299.9199999999996</v>
      </c>
      <c r="H1539" t="str">
        <f>_xlfn.XLOOKUP(C1539,products[Product_ID],products[Product_Name],"not found",0)</f>
        <v>Trek Boone 5 Disc - 2018</v>
      </c>
      <c r="I1539" t="e">
        <f>VLOOKUP(products!D1539,categories[#All],2,TRUE)</f>
        <v>#N/A</v>
      </c>
    </row>
    <row r="1540" spans="1:9" x14ac:dyDescent="0.3">
      <c r="A1540">
        <v>1539</v>
      </c>
      <c r="B1540">
        <v>1</v>
      </c>
      <c r="C1540">
        <v>6</v>
      </c>
      <c r="D1540">
        <v>2</v>
      </c>
      <c r="E1540">
        <v>469.99</v>
      </c>
      <c r="F1540">
        <v>0.05</v>
      </c>
      <c r="G1540">
        <f t="shared" si="24"/>
        <v>939.93000000000006</v>
      </c>
      <c r="H1540" t="str">
        <f>_xlfn.XLOOKUP(C1540,products[Product_ID],products[Product_Name],"not found",0)</f>
        <v>Surly Ice Cream Truck Frameset - 2016</v>
      </c>
      <c r="I1540" t="e">
        <f>VLOOKUP(products!D1540,categories[#All],2,TRUE)</f>
        <v>#N/A</v>
      </c>
    </row>
    <row r="1541" spans="1:9" x14ac:dyDescent="0.3">
      <c r="A1541">
        <v>1540</v>
      </c>
      <c r="B1541">
        <v>1</v>
      </c>
      <c r="C1541">
        <v>71</v>
      </c>
      <c r="D1541">
        <v>2</v>
      </c>
      <c r="E1541">
        <v>416.99</v>
      </c>
      <c r="F1541">
        <v>0.05</v>
      </c>
      <c r="G1541">
        <f t="shared" si="24"/>
        <v>833.93000000000006</v>
      </c>
      <c r="H1541" t="str">
        <f>_xlfn.XLOOKUP(C1541,products[Product_ID],products[Product_Name],"not found",0)</f>
        <v>Sun Bicycles Atlas X-Type - 2017</v>
      </c>
      <c r="I1541" t="e">
        <f>VLOOKUP(products!D1541,categories[#All],2,TRUE)</f>
        <v>#N/A</v>
      </c>
    </row>
    <row r="1542" spans="1:9" x14ac:dyDescent="0.3">
      <c r="A1542">
        <v>1541</v>
      </c>
      <c r="B1542">
        <v>1</v>
      </c>
      <c r="C1542">
        <v>155</v>
      </c>
      <c r="D1542">
        <v>2</v>
      </c>
      <c r="E1542">
        <v>11999.99</v>
      </c>
      <c r="F1542">
        <v>0.1</v>
      </c>
      <c r="G1542">
        <f t="shared" si="24"/>
        <v>23999.88</v>
      </c>
      <c r="H1542" t="str">
        <f>_xlfn.XLOOKUP(C1542,products[Product_ID],products[Product_Name],"not found",0)</f>
        <v>Trek Domane SLR 9 Disc - 2018</v>
      </c>
      <c r="I1542" t="e">
        <f>VLOOKUP(products!D1542,categories[#All],2,TRUE)</f>
        <v>#N/A</v>
      </c>
    </row>
    <row r="1543" spans="1:9" x14ac:dyDescent="0.3">
      <c r="A1543">
        <v>1542</v>
      </c>
      <c r="B1543">
        <v>1</v>
      </c>
      <c r="C1543">
        <v>79</v>
      </c>
      <c r="D1543">
        <v>1</v>
      </c>
      <c r="E1543">
        <v>402.99</v>
      </c>
      <c r="F1543">
        <v>0.2</v>
      </c>
      <c r="G1543">
        <f t="shared" si="24"/>
        <v>402.79</v>
      </c>
      <c r="H1543" t="str">
        <f>_xlfn.XLOOKUP(C1543,products[Product_ID],products[Product_Name],"not found",0)</f>
        <v>Sun Bicycles Boardwalk (24-inch Wheels) - 2017</v>
      </c>
      <c r="I1543" t="e">
        <f>VLOOKUP(products!D1543,categories[#All],2,TRUE)</f>
        <v>#N/A</v>
      </c>
    </row>
    <row r="1544" spans="1:9" x14ac:dyDescent="0.3">
      <c r="A1544">
        <v>1543</v>
      </c>
      <c r="B1544">
        <v>1</v>
      </c>
      <c r="C1544">
        <v>108</v>
      </c>
      <c r="D1544">
        <v>2</v>
      </c>
      <c r="E1544">
        <v>449.99</v>
      </c>
      <c r="F1544">
        <v>0.1</v>
      </c>
      <c r="G1544">
        <f t="shared" si="24"/>
        <v>899.88</v>
      </c>
      <c r="H1544" t="str">
        <f>_xlfn.XLOOKUP(C1544,products[Product_ID],products[Product_Name],"not found",0)</f>
        <v>Sun Bicycles Cruz 3 - Women's - 2017</v>
      </c>
      <c r="I1544" t="e">
        <f>VLOOKUP(products!D1544,categories[#All],2,TRUE)</f>
        <v>#N/A</v>
      </c>
    </row>
    <row r="1545" spans="1:9" x14ac:dyDescent="0.3">
      <c r="A1545">
        <v>1544</v>
      </c>
      <c r="B1545">
        <v>1</v>
      </c>
      <c r="C1545">
        <v>194</v>
      </c>
      <c r="D1545">
        <v>2</v>
      </c>
      <c r="E1545">
        <v>3499.99</v>
      </c>
      <c r="F1545">
        <v>0.1</v>
      </c>
      <c r="G1545">
        <f t="shared" si="24"/>
        <v>6999.8799999999992</v>
      </c>
      <c r="H1545" t="str">
        <f>_xlfn.XLOOKUP(C1545,products[Product_ID],products[Product_Name],"not found",0)</f>
        <v>Trek XM700+ - 2018</v>
      </c>
      <c r="I1545" t="e">
        <f>VLOOKUP(products!D1545,categories[#All],2,TRUE)</f>
        <v>#N/A</v>
      </c>
    </row>
    <row r="1546" spans="1:9" x14ac:dyDescent="0.3">
      <c r="A1546">
        <v>1545</v>
      </c>
      <c r="B1546">
        <v>1</v>
      </c>
      <c r="C1546">
        <v>45</v>
      </c>
      <c r="D1546">
        <v>1</v>
      </c>
      <c r="E1546">
        <v>869.99</v>
      </c>
      <c r="F1546">
        <v>0.1</v>
      </c>
      <c r="G1546">
        <f t="shared" si="24"/>
        <v>869.89</v>
      </c>
      <c r="H1546" t="str">
        <f>_xlfn.XLOOKUP(C1546,products[Product_ID],products[Product_Name],"not found",0)</f>
        <v>Haro SR 1.2 - 2017</v>
      </c>
      <c r="I1546" t="e">
        <f>VLOOKUP(products!D1546,categories[#All],2,TRUE)</f>
        <v>#N/A</v>
      </c>
    </row>
    <row r="1547" spans="1:9" x14ac:dyDescent="0.3">
      <c r="A1547">
        <v>1546</v>
      </c>
      <c r="B1547">
        <v>1</v>
      </c>
      <c r="C1547">
        <v>156</v>
      </c>
      <c r="D1547">
        <v>1</v>
      </c>
      <c r="E1547">
        <v>6499.99</v>
      </c>
      <c r="F1547">
        <v>0.1</v>
      </c>
      <c r="G1547">
        <f t="shared" si="24"/>
        <v>6499.8899999999994</v>
      </c>
      <c r="H1547" t="str">
        <f>_xlfn.XLOOKUP(C1547,products[Product_ID],products[Product_Name],"not found",0)</f>
        <v>Trek Domane SL Frameset - 2018</v>
      </c>
      <c r="I1547" t="e">
        <f>VLOOKUP(products!D1547,categories[#All],2,TRUE)</f>
        <v>#N/A</v>
      </c>
    </row>
    <row r="1548" spans="1:9" x14ac:dyDescent="0.3">
      <c r="A1548">
        <v>1547</v>
      </c>
      <c r="B1548">
        <v>1</v>
      </c>
      <c r="C1548">
        <v>106</v>
      </c>
      <c r="D1548">
        <v>2</v>
      </c>
      <c r="E1548">
        <v>449.99</v>
      </c>
      <c r="F1548">
        <v>0.2</v>
      </c>
      <c r="G1548">
        <f t="shared" si="24"/>
        <v>899.78</v>
      </c>
      <c r="H1548" t="str">
        <f>_xlfn.XLOOKUP(C1548,products[Product_ID],products[Product_Name],"not found",0)</f>
        <v>Sun Bicycles Cruz 3 - 2017</v>
      </c>
      <c r="I1548" t="e">
        <f>VLOOKUP(products!D1548,categories[#All],2,TRUE)</f>
        <v>#N/A</v>
      </c>
    </row>
    <row r="1549" spans="1:9" x14ac:dyDescent="0.3">
      <c r="A1549">
        <v>1548</v>
      </c>
      <c r="B1549">
        <v>1</v>
      </c>
      <c r="C1549">
        <v>32</v>
      </c>
      <c r="D1549">
        <v>1</v>
      </c>
      <c r="E1549">
        <v>469.99</v>
      </c>
      <c r="F1549">
        <v>0.1</v>
      </c>
      <c r="G1549">
        <f t="shared" si="24"/>
        <v>469.89</v>
      </c>
      <c r="H1549" t="str">
        <f>_xlfn.XLOOKUP(C1549,products[Product_ID],products[Product_Name],"not found",0)</f>
        <v>Trek Farley Alloy Frameset - 2017</v>
      </c>
      <c r="I1549" t="e">
        <f>VLOOKUP(products!D1549,categories[#All],2,TRUE)</f>
        <v>#N/A</v>
      </c>
    </row>
    <row r="1550" spans="1:9" x14ac:dyDescent="0.3">
      <c r="A1550">
        <v>1549</v>
      </c>
      <c r="B1550">
        <v>1</v>
      </c>
      <c r="C1550">
        <v>158</v>
      </c>
      <c r="D1550">
        <v>1</v>
      </c>
      <c r="E1550">
        <v>959.99</v>
      </c>
      <c r="F1550">
        <v>0.2</v>
      </c>
      <c r="G1550">
        <f t="shared" si="24"/>
        <v>959.79</v>
      </c>
      <c r="H1550" t="str">
        <f>_xlfn.XLOOKUP(C1550,products[Product_ID],products[Product_Name],"not found",0)</f>
        <v>Trek CrossRip 1 - 2018</v>
      </c>
      <c r="I1550" t="e">
        <f>VLOOKUP(products!D1550,categories[#All],2,TRUE)</f>
        <v>#N/A</v>
      </c>
    </row>
    <row r="1551" spans="1:9" x14ac:dyDescent="0.3">
      <c r="A1551">
        <v>1550</v>
      </c>
      <c r="B1551">
        <v>1</v>
      </c>
      <c r="C1551">
        <v>315</v>
      </c>
      <c r="D1551">
        <v>2</v>
      </c>
      <c r="E1551">
        <v>559.99</v>
      </c>
      <c r="F1551">
        <v>0.05</v>
      </c>
      <c r="G1551">
        <f t="shared" si="24"/>
        <v>1119.93</v>
      </c>
      <c r="H1551" t="str">
        <f>_xlfn.XLOOKUP(C1551,products[Product_ID],products[Product_Name],"not found",0)</f>
        <v>Electra Townie Original 21D Ladies' - 2018</v>
      </c>
      <c r="I1551" t="e">
        <f>VLOOKUP(products!D1551,categories[#All],2,TRUE)</f>
        <v>#N/A</v>
      </c>
    </row>
    <row r="1552" spans="1:9" x14ac:dyDescent="0.3">
      <c r="A1552">
        <v>1551</v>
      </c>
      <c r="B1552">
        <v>1</v>
      </c>
      <c r="C1552">
        <v>207</v>
      </c>
      <c r="D1552">
        <v>2</v>
      </c>
      <c r="E1552">
        <v>3999.99</v>
      </c>
      <c r="F1552">
        <v>0.2</v>
      </c>
      <c r="G1552">
        <f t="shared" si="24"/>
        <v>7999.78</v>
      </c>
      <c r="H1552" t="str">
        <f>_xlfn.XLOOKUP(C1552,products[Product_ID],products[Product_Name],"not found",0)</f>
        <v>Trek Boone 7 Disc - 2018</v>
      </c>
      <c r="I1552" t="e">
        <f>VLOOKUP(products!D1552,categories[#All],2,TRUE)</f>
        <v>#N/A</v>
      </c>
    </row>
    <row r="1553" spans="1:9" x14ac:dyDescent="0.3">
      <c r="A1553">
        <v>1552</v>
      </c>
      <c r="B1553">
        <v>1</v>
      </c>
      <c r="C1553">
        <v>197</v>
      </c>
      <c r="D1553">
        <v>1</v>
      </c>
      <c r="E1553">
        <v>2299.9899999999998</v>
      </c>
      <c r="F1553">
        <v>0.1</v>
      </c>
      <c r="G1553">
        <f t="shared" si="24"/>
        <v>2299.89</v>
      </c>
      <c r="H1553" t="str">
        <f>_xlfn.XLOOKUP(C1553,products[Product_ID],products[Product_Name],"not found",0)</f>
        <v>Trek Verve+ Lowstep - 2018</v>
      </c>
      <c r="I1553" t="e">
        <f>VLOOKUP(products!D1553,categories[#All],2,TRUE)</f>
        <v>#N/A</v>
      </c>
    </row>
    <row r="1554" spans="1:9" x14ac:dyDescent="0.3">
      <c r="A1554">
        <v>1553</v>
      </c>
      <c r="B1554">
        <v>1</v>
      </c>
      <c r="C1554">
        <v>102</v>
      </c>
      <c r="D1554">
        <v>1</v>
      </c>
      <c r="E1554">
        <v>489.99</v>
      </c>
      <c r="F1554">
        <v>7.0000000000000007E-2</v>
      </c>
      <c r="G1554">
        <f t="shared" si="24"/>
        <v>489.92</v>
      </c>
      <c r="H1554" t="str">
        <f>_xlfn.XLOOKUP(C1554,products[Product_ID],products[Product_Name],"not found",0)</f>
        <v>Electra Townie Original 7D - 2017</v>
      </c>
      <c r="I1554" t="e">
        <f>VLOOKUP(products!D1554,categories[#All],2,TRUE)</f>
        <v>#N/A</v>
      </c>
    </row>
    <row r="1555" spans="1:9" x14ac:dyDescent="0.3">
      <c r="A1555">
        <v>1554</v>
      </c>
      <c r="B1555">
        <v>1</v>
      </c>
      <c r="C1555">
        <v>166</v>
      </c>
      <c r="D1555">
        <v>1</v>
      </c>
      <c r="E1555">
        <v>749.99</v>
      </c>
      <c r="F1555">
        <v>0.05</v>
      </c>
      <c r="G1555">
        <f t="shared" si="24"/>
        <v>749.94</v>
      </c>
      <c r="H1555" t="str">
        <f>_xlfn.XLOOKUP(C1555,products[Product_ID],products[Product_Name],"not found",0)</f>
        <v>Trek Domane AL 2 Women's - 2018</v>
      </c>
      <c r="I1555" t="e">
        <f>VLOOKUP(products!D1555,categories[#All],2,TRUE)</f>
        <v>#N/A</v>
      </c>
    </row>
    <row r="1556" spans="1:9" x14ac:dyDescent="0.3">
      <c r="A1556">
        <v>1555</v>
      </c>
      <c r="B1556">
        <v>1</v>
      </c>
      <c r="C1556">
        <v>24</v>
      </c>
      <c r="D1556">
        <v>2</v>
      </c>
      <c r="E1556">
        <v>549.99</v>
      </c>
      <c r="F1556">
        <v>0.1</v>
      </c>
      <c r="G1556">
        <f t="shared" si="24"/>
        <v>1099.8800000000001</v>
      </c>
      <c r="H1556" t="str">
        <f>_xlfn.XLOOKUP(C1556,products[Product_ID],products[Product_Name],"not found",0)</f>
        <v>Electra Townie Original 21D - 2016</v>
      </c>
      <c r="I1556" t="e">
        <f>VLOOKUP(products!D1556,categories[#All],2,TRUE)</f>
        <v>#N/A</v>
      </c>
    </row>
    <row r="1557" spans="1:9" x14ac:dyDescent="0.3">
      <c r="A1557">
        <v>1556</v>
      </c>
      <c r="B1557">
        <v>1</v>
      </c>
      <c r="C1557">
        <v>49</v>
      </c>
      <c r="D1557">
        <v>2</v>
      </c>
      <c r="E1557">
        <v>3499.99</v>
      </c>
      <c r="F1557">
        <v>0.2</v>
      </c>
      <c r="G1557">
        <f t="shared" si="24"/>
        <v>6999.78</v>
      </c>
      <c r="H1557" t="str">
        <f>_xlfn.XLOOKUP(C1557,products[Product_ID],products[Product_Name],"not found",0)</f>
        <v>Trek Domane SL 6 - 2017</v>
      </c>
      <c r="I1557" t="e">
        <f>VLOOKUP(products!D1557,categories[#All],2,TRUE)</f>
        <v>#N/A</v>
      </c>
    </row>
    <row r="1558" spans="1:9" x14ac:dyDescent="0.3">
      <c r="A1558">
        <v>1557</v>
      </c>
      <c r="B1558">
        <v>1</v>
      </c>
      <c r="C1558">
        <v>163</v>
      </c>
      <c r="D1558">
        <v>2</v>
      </c>
      <c r="E1558">
        <v>1349</v>
      </c>
      <c r="F1558">
        <v>7.0000000000000007E-2</v>
      </c>
      <c r="G1558">
        <f t="shared" si="24"/>
        <v>2697.93</v>
      </c>
      <c r="H1558" t="str">
        <f>_xlfn.XLOOKUP(C1558,products[Product_ID],products[Product_Name],"not found",0)</f>
        <v>Surly Pack Rat - 2018</v>
      </c>
      <c r="I1558" t="e">
        <f>VLOOKUP(products!D1558,categories[#All],2,TRUE)</f>
        <v>#N/A</v>
      </c>
    </row>
    <row r="1559" spans="1:9" x14ac:dyDescent="0.3">
      <c r="A1559">
        <v>1558</v>
      </c>
      <c r="B1559">
        <v>1</v>
      </c>
      <c r="C1559">
        <v>46</v>
      </c>
      <c r="D1559">
        <v>2</v>
      </c>
      <c r="E1559">
        <v>1409.99</v>
      </c>
      <c r="F1559">
        <v>7.0000000000000007E-2</v>
      </c>
      <c r="G1559">
        <f t="shared" si="24"/>
        <v>2819.91</v>
      </c>
      <c r="H1559" t="str">
        <f>_xlfn.XLOOKUP(C1559,products[Product_ID],products[Product_Name],"not found",0)</f>
        <v>Haro SR 1.3 - 2017</v>
      </c>
      <c r="I1559" t="e">
        <f>VLOOKUP(products!D1559,categories[#All],2,TRUE)</f>
        <v>#N/A</v>
      </c>
    </row>
    <row r="1560" spans="1:9" x14ac:dyDescent="0.3">
      <c r="A1560">
        <v>1559</v>
      </c>
      <c r="B1560">
        <v>1</v>
      </c>
      <c r="C1560">
        <v>101</v>
      </c>
      <c r="D1560">
        <v>2</v>
      </c>
      <c r="E1560">
        <v>339.99</v>
      </c>
      <c r="F1560">
        <v>7.0000000000000007E-2</v>
      </c>
      <c r="G1560">
        <f t="shared" si="24"/>
        <v>679.91</v>
      </c>
      <c r="H1560" t="str">
        <f>_xlfn.XLOOKUP(C1560,products[Product_ID],products[Product_Name],"not found",0)</f>
        <v>Electra Townie 7D (20-inch) - Boys' - 2017</v>
      </c>
      <c r="I1560" t="e">
        <f>VLOOKUP(products!D1560,categories[#All],2,TRUE)</f>
        <v>#N/A</v>
      </c>
    </row>
    <row r="1561" spans="1:9" x14ac:dyDescent="0.3">
      <c r="A1561">
        <v>1560</v>
      </c>
      <c r="B1561">
        <v>1</v>
      </c>
      <c r="C1561">
        <v>118</v>
      </c>
      <c r="D1561">
        <v>2</v>
      </c>
      <c r="E1561">
        <v>999.99</v>
      </c>
      <c r="F1561">
        <v>0.2</v>
      </c>
      <c r="G1561">
        <f t="shared" si="24"/>
        <v>1999.78</v>
      </c>
      <c r="H1561" t="str">
        <f>_xlfn.XLOOKUP(C1561,products[Product_ID],products[Product_Name],"not found",0)</f>
        <v>Trek X-Caliber 8 - 2018</v>
      </c>
      <c r="I1561" t="e">
        <f>VLOOKUP(products!D1561,categories[#All],2,TRUE)</f>
        <v>#N/A</v>
      </c>
    </row>
    <row r="1562" spans="1:9" x14ac:dyDescent="0.3">
      <c r="A1562">
        <v>1561</v>
      </c>
      <c r="B1562">
        <v>1</v>
      </c>
      <c r="C1562">
        <v>181</v>
      </c>
      <c r="D1562">
        <v>2</v>
      </c>
      <c r="E1562">
        <v>2199.9899999999998</v>
      </c>
      <c r="F1562">
        <v>7.0000000000000007E-2</v>
      </c>
      <c r="G1562">
        <f t="shared" si="24"/>
        <v>4399.91</v>
      </c>
      <c r="H1562" t="str">
        <f>_xlfn.XLOOKUP(C1562,products[Product_ID],products[Product_Name],"not found",0)</f>
        <v>Trek Domane SL 5 - 2018</v>
      </c>
      <c r="I1562" t="e">
        <f>VLOOKUP(products!D1562,categories[#All],2,TRUE)</f>
        <v>#N/A</v>
      </c>
    </row>
    <row r="1563" spans="1:9" x14ac:dyDescent="0.3">
      <c r="A1563">
        <v>1562</v>
      </c>
      <c r="B1563">
        <v>1</v>
      </c>
      <c r="C1563">
        <v>54</v>
      </c>
      <c r="D1563">
        <v>1</v>
      </c>
      <c r="E1563">
        <v>3199.99</v>
      </c>
      <c r="F1563">
        <v>0.2</v>
      </c>
      <c r="G1563">
        <f t="shared" si="24"/>
        <v>3199.79</v>
      </c>
      <c r="H1563" t="str">
        <f>_xlfn.XLOOKUP(C1563,products[Product_ID],products[Product_Name],"not found",0)</f>
        <v>Trek Domane SL Disc Frameset - 2017</v>
      </c>
      <c r="I1563" t="e">
        <f>VLOOKUP(products!D1563,categories[#All],2,TRUE)</f>
        <v>#N/A</v>
      </c>
    </row>
    <row r="1564" spans="1:9" x14ac:dyDescent="0.3">
      <c r="A1564">
        <v>1563</v>
      </c>
      <c r="B1564">
        <v>1</v>
      </c>
      <c r="C1564">
        <v>188</v>
      </c>
      <c r="D1564">
        <v>1</v>
      </c>
      <c r="E1564">
        <v>3499.99</v>
      </c>
      <c r="F1564">
        <v>7.0000000000000007E-2</v>
      </c>
      <c r="G1564">
        <f t="shared" si="24"/>
        <v>3499.9199999999996</v>
      </c>
      <c r="H1564" t="str">
        <f>_xlfn.XLOOKUP(C1564,products[Product_ID],products[Product_Name],"not found",0)</f>
        <v>Trek XM700+ Lowstep - 2018</v>
      </c>
      <c r="I1564" t="e">
        <f>VLOOKUP(products!D1564,categories[#All],2,TRUE)</f>
        <v>#N/A</v>
      </c>
    </row>
    <row r="1565" spans="1:9" x14ac:dyDescent="0.3">
      <c r="A1565">
        <v>1564</v>
      </c>
      <c r="B1565">
        <v>1</v>
      </c>
      <c r="C1565">
        <v>309</v>
      </c>
      <c r="D1565">
        <v>1</v>
      </c>
      <c r="E1565">
        <v>899.99</v>
      </c>
      <c r="F1565">
        <v>7.0000000000000007E-2</v>
      </c>
      <c r="G1565">
        <f t="shared" si="24"/>
        <v>899.92</v>
      </c>
      <c r="H1565" t="str">
        <f>_xlfn.XLOOKUP(C1565,products[Product_ID],products[Product_Name],"not found",0)</f>
        <v>Electra Townie Commute 27D - 2018</v>
      </c>
      <c r="I1565" t="e">
        <f>VLOOKUP(products!D1565,categories[#All],2,TRUE)</f>
        <v>#N/A</v>
      </c>
    </row>
    <row r="1566" spans="1:9" x14ac:dyDescent="0.3">
      <c r="A1566">
        <v>1565</v>
      </c>
      <c r="B1566">
        <v>1</v>
      </c>
      <c r="C1566">
        <v>37</v>
      </c>
      <c r="D1566">
        <v>1</v>
      </c>
      <c r="E1566">
        <v>379.99</v>
      </c>
      <c r="F1566">
        <v>7.0000000000000007E-2</v>
      </c>
      <c r="G1566">
        <f t="shared" si="24"/>
        <v>379.92</v>
      </c>
      <c r="H1566" t="str">
        <f>_xlfn.XLOOKUP(C1566,products[Product_ID],products[Product_Name],"not found",0)</f>
        <v>Haro Flightline One ST - 2017</v>
      </c>
      <c r="I1566" t="e">
        <f>VLOOKUP(products!D1566,categories[#All],2,TRUE)</f>
        <v>#N/A</v>
      </c>
    </row>
    <row r="1567" spans="1:9" x14ac:dyDescent="0.3">
      <c r="A1567">
        <v>1566</v>
      </c>
      <c r="B1567">
        <v>1</v>
      </c>
      <c r="C1567">
        <v>179</v>
      </c>
      <c r="D1567">
        <v>1</v>
      </c>
      <c r="E1567">
        <v>919.99</v>
      </c>
      <c r="F1567">
        <v>0.05</v>
      </c>
      <c r="G1567">
        <f t="shared" si="24"/>
        <v>919.94</v>
      </c>
      <c r="H1567" t="str">
        <f>_xlfn.XLOOKUP(C1567,products[Product_ID],products[Product_Name],"not found",0)</f>
        <v>Trek Domane AL 3 - 2018</v>
      </c>
      <c r="I1567" t="e">
        <f>VLOOKUP(products!D1567,categories[#All],2,TRUE)</f>
        <v>#N/A</v>
      </c>
    </row>
    <row r="1568" spans="1:9" x14ac:dyDescent="0.3">
      <c r="A1568">
        <v>1567</v>
      </c>
      <c r="B1568">
        <v>1</v>
      </c>
      <c r="C1568">
        <v>279</v>
      </c>
      <c r="D1568">
        <v>1</v>
      </c>
      <c r="E1568">
        <v>319.99</v>
      </c>
      <c r="F1568">
        <v>0.2</v>
      </c>
      <c r="G1568">
        <f t="shared" si="24"/>
        <v>319.79000000000002</v>
      </c>
      <c r="H1568" t="str">
        <f>_xlfn.XLOOKUP(C1568,products[Product_ID],products[Product_Name],"not found",0)</f>
        <v>Trek Precaliber 24 7-speed Girl's - 2018</v>
      </c>
      <c r="I1568" t="e">
        <f>VLOOKUP(products!D1568,categories[#All],2,TRUE)</f>
        <v>#N/A</v>
      </c>
    </row>
    <row r="1569" spans="1:9" x14ac:dyDescent="0.3">
      <c r="A1569">
        <v>1568</v>
      </c>
      <c r="B1569">
        <v>1</v>
      </c>
      <c r="C1569">
        <v>146</v>
      </c>
      <c r="D1569">
        <v>1</v>
      </c>
      <c r="E1569">
        <v>4999.99</v>
      </c>
      <c r="F1569">
        <v>0.2</v>
      </c>
      <c r="G1569">
        <f t="shared" si="24"/>
        <v>4999.79</v>
      </c>
      <c r="H1569" t="str">
        <f>_xlfn.XLOOKUP(C1569,products[Product_ID],products[Product_Name],"not found",0)</f>
        <v>Trek Domane SLR 6 - 2018</v>
      </c>
      <c r="I1569" t="e">
        <f>VLOOKUP(products!D1569,categories[#All],2,TRUE)</f>
        <v>#N/A</v>
      </c>
    </row>
    <row r="1570" spans="1:9" x14ac:dyDescent="0.3">
      <c r="A1570">
        <v>1569</v>
      </c>
      <c r="B1570">
        <v>1</v>
      </c>
      <c r="C1570">
        <v>252</v>
      </c>
      <c r="D1570">
        <v>1</v>
      </c>
      <c r="E1570">
        <v>2999.99</v>
      </c>
      <c r="F1570">
        <v>0.1</v>
      </c>
      <c r="G1570">
        <f t="shared" si="24"/>
        <v>2999.89</v>
      </c>
      <c r="H1570" t="str">
        <f>_xlfn.XLOOKUP(C1570,products[Product_ID],products[Product_Name],"not found",0)</f>
        <v>Electra Townie Commute Go! Ladies' - 2018</v>
      </c>
      <c r="I1570" t="e">
        <f>VLOOKUP(products!D1570,categories[#All],2,TRUE)</f>
        <v>#N/A</v>
      </c>
    </row>
    <row r="1571" spans="1:9" x14ac:dyDescent="0.3">
      <c r="A1571">
        <v>1570</v>
      </c>
      <c r="B1571">
        <v>1</v>
      </c>
      <c r="C1571">
        <v>155</v>
      </c>
      <c r="D1571">
        <v>1</v>
      </c>
      <c r="E1571">
        <v>11999.99</v>
      </c>
      <c r="F1571">
        <v>7.0000000000000007E-2</v>
      </c>
      <c r="G1571">
        <f t="shared" si="24"/>
        <v>11999.92</v>
      </c>
      <c r="H1571" t="str">
        <f>_xlfn.XLOOKUP(C1571,products[Product_ID],products[Product_Name],"not found",0)</f>
        <v>Trek Domane SLR 9 Disc - 2018</v>
      </c>
      <c r="I1571" t="e">
        <f>VLOOKUP(products!D1571,categories[#All],2,TRUE)</f>
        <v>#N/A</v>
      </c>
    </row>
    <row r="1572" spans="1:9" x14ac:dyDescent="0.3">
      <c r="A1572">
        <v>1571</v>
      </c>
      <c r="B1572">
        <v>1</v>
      </c>
      <c r="C1572">
        <v>312</v>
      </c>
      <c r="D1572">
        <v>2</v>
      </c>
      <c r="E1572">
        <v>699.99</v>
      </c>
      <c r="F1572">
        <v>0.1</v>
      </c>
      <c r="G1572">
        <f t="shared" si="24"/>
        <v>1399.88</v>
      </c>
      <c r="H1572" t="str">
        <f>_xlfn.XLOOKUP(C1572,products[Product_ID],products[Product_Name],"not found",0)</f>
        <v>Electra Townie Commute 8D Ladies' - 2018</v>
      </c>
      <c r="I1572" t="e">
        <f>VLOOKUP(products!D1572,categories[#All],2,TRUE)</f>
        <v>#N/A</v>
      </c>
    </row>
    <row r="1573" spans="1:9" x14ac:dyDescent="0.3">
      <c r="A1573">
        <v>1572</v>
      </c>
      <c r="B1573">
        <v>1</v>
      </c>
      <c r="C1573">
        <v>216</v>
      </c>
      <c r="D1573">
        <v>2</v>
      </c>
      <c r="E1573">
        <v>899.99</v>
      </c>
      <c r="F1573">
        <v>0.05</v>
      </c>
      <c r="G1573">
        <f t="shared" si="24"/>
        <v>1799.93</v>
      </c>
      <c r="H1573" t="str">
        <f>_xlfn.XLOOKUP(C1573,products[Product_ID],products[Product_Name],"not found",0)</f>
        <v>Electra Super Moto 8i - 2018</v>
      </c>
      <c r="I1573" t="e">
        <f>VLOOKUP(products!D1573,categories[#All],2,TRUE)</f>
        <v>#N/A</v>
      </c>
    </row>
    <row r="1574" spans="1:9" x14ac:dyDescent="0.3">
      <c r="A1574">
        <v>1573</v>
      </c>
      <c r="B1574">
        <v>1</v>
      </c>
      <c r="C1574">
        <v>9</v>
      </c>
      <c r="D1574">
        <v>1</v>
      </c>
      <c r="E1574">
        <v>2999.99</v>
      </c>
      <c r="F1574">
        <v>0.05</v>
      </c>
      <c r="G1574">
        <f t="shared" si="24"/>
        <v>2999.9399999999996</v>
      </c>
      <c r="H1574" t="str">
        <f>_xlfn.XLOOKUP(C1574,products[Product_ID],products[Product_Name],"not found",0)</f>
        <v>Trek Conduit+ - 2016</v>
      </c>
      <c r="I1574" t="e">
        <f>VLOOKUP(products!D1574,categories[#All],2,TRUE)</f>
        <v>#N/A</v>
      </c>
    </row>
    <row r="1575" spans="1:9" x14ac:dyDescent="0.3">
      <c r="A1575">
        <v>1574</v>
      </c>
      <c r="B1575">
        <v>1</v>
      </c>
      <c r="C1575">
        <v>127</v>
      </c>
      <c r="D1575">
        <v>1</v>
      </c>
      <c r="E1575">
        <v>469.99</v>
      </c>
      <c r="F1575">
        <v>0.1</v>
      </c>
      <c r="G1575">
        <f t="shared" si="24"/>
        <v>469.89</v>
      </c>
      <c r="H1575" t="str">
        <f>_xlfn.XLOOKUP(C1575,products[Product_ID],products[Product_Name],"not found",0)</f>
        <v>Surly Pack Rat Frameset - 2018</v>
      </c>
      <c r="I1575" t="e">
        <f>VLOOKUP(products!D1575,categories[#All],2,TRUE)</f>
        <v>#N/A</v>
      </c>
    </row>
    <row r="1576" spans="1:9" x14ac:dyDescent="0.3">
      <c r="A1576">
        <v>1575</v>
      </c>
      <c r="B1576">
        <v>1</v>
      </c>
      <c r="C1576">
        <v>44</v>
      </c>
      <c r="D1576">
        <v>1</v>
      </c>
      <c r="E1576">
        <v>539.99</v>
      </c>
      <c r="F1576">
        <v>7.0000000000000007E-2</v>
      </c>
      <c r="G1576">
        <f t="shared" si="24"/>
        <v>539.91999999999996</v>
      </c>
      <c r="H1576" t="str">
        <f>_xlfn.XLOOKUP(C1576,products[Product_ID],products[Product_Name],"not found",0)</f>
        <v>Haro SR 1.1 - 2017</v>
      </c>
      <c r="I1576" t="e">
        <f>VLOOKUP(products!D1576,categories[#All],2,TRUE)</f>
        <v>#N/A</v>
      </c>
    </row>
    <row r="1577" spans="1:9" x14ac:dyDescent="0.3">
      <c r="A1577">
        <v>1576</v>
      </c>
      <c r="B1577">
        <v>1</v>
      </c>
      <c r="C1577">
        <v>69</v>
      </c>
      <c r="D1577">
        <v>1</v>
      </c>
      <c r="E1577">
        <v>416.99</v>
      </c>
      <c r="F1577">
        <v>0.05</v>
      </c>
      <c r="G1577">
        <f t="shared" si="24"/>
        <v>416.94</v>
      </c>
      <c r="H1577" t="str">
        <f>_xlfn.XLOOKUP(C1577,products[Product_ID],products[Product_Name],"not found",0)</f>
        <v>Sun Bicycles Cruz 7 - 2017</v>
      </c>
      <c r="I1577" t="e">
        <f>VLOOKUP(products!D1577,categories[#All],2,TRUE)</f>
        <v>#N/A</v>
      </c>
    </row>
    <row r="1578" spans="1:9" x14ac:dyDescent="0.3">
      <c r="A1578">
        <v>1577</v>
      </c>
      <c r="B1578">
        <v>1</v>
      </c>
      <c r="C1578">
        <v>298</v>
      </c>
      <c r="D1578">
        <v>2</v>
      </c>
      <c r="E1578">
        <v>279.99</v>
      </c>
      <c r="F1578">
        <v>0.05</v>
      </c>
      <c r="G1578">
        <f t="shared" si="24"/>
        <v>559.93000000000006</v>
      </c>
      <c r="H1578" t="str">
        <f>_xlfn.XLOOKUP(C1578,products[Product_ID],products[Product_Name],"not found",0)</f>
        <v>Electra Water Lily 1 (16-inch) - Girl's - 2018</v>
      </c>
      <c r="I1578" t="e">
        <f>VLOOKUP(products!D1578,categories[#All],2,TRUE)</f>
        <v>#N/A</v>
      </c>
    </row>
    <row r="1579" spans="1:9" x14ac:dyDescent="0.3">
      <c r="A1579">
        <v>1578</v>
      </c>
      <c r="B1579">
        <v>1</v>
      </c>
      <c r="C1579">
        <v>204</v>
      </c>
      <c r="D1579">
        <v>2</v>
      </c>
      <c r="E1579">
        <v>3599.99</v>
      </c>
      <c r="F1579">
        <v>7.0000000000000007E-2</v>
      </c>
      <c r="G1579">
        <f t="shared" si="24"/>
        <v>7199.91</v>
      </c>
      <c r="H1579" t="str">
        <f>_xlfn.XLOOKUP(C1579,products[Product_ID],products[Product_Name],"not found",0)</f>
        <v>Trek Super Commuter+ 7 - 2018</v>
      </c>
      <c r="I1579" t="e">
        <f>VLOOKUP(products!D1579,categories[#All],2,TRUE)</f>
        <v>#N/A</v>
      </c>
    </row>
    <row r="1580" spans="1:9" x14ac:dyDescent="0.3">
      <c r="A1580">
        <v>1579</v>
      </c>
      <c r="B1580">
        <v>1</v>
      </c>
      <c r="C1580">
        <v>49</v>
      </c>
      <c r="D1580">
        <v>1</v>
      </c>
      <c r="E1580">
        <v>3499.99</v>
      </c>
      <c r="F1580">
        <v>0.05</v>
      </c>
      <c r="G1580">
        <f t="shared" si="24"/>
        <v>3499.9399999999996</v>
      </c>
      <c r="H1580" t="str">
        <f>_xlfn.XLOOKUP(C1580,products[Product_ID],products[Product_Name],"not found",0)</f>
        <v>Trek Domane SL 6 - 2017</v>
      </c>
      <c r="I1580" t="e">
        <f>VLOOKUP(products!D1580,categories[#All],2,TRUE)</f>
        <v>#N/A</v>
      </c>
    </row>
    <row r="1581" spans="1:9" x14ac:dyDescent="0.3">
      <c r="A1581">
        <v>1580</v>
      </c>
      <c r="B1581">
        <v>1</v>
      </c>
      <c r="C1581">
        <v>119</v>
      </c>
      <c r="D1581">
        <v>2</v>
      </c>
      <c r="E1581">
        <v>469.99</v>
      </c>
      <c r="F1581">
        <v>7.0000000000000007E-2</v>
      </c>
      <c r="G1581">
        <f t="shared" si="24"/>
        <v>939.91</v>
      </c>
      <c r="H1581" t="str">
        <f>_xlfn.XLOOKUP(C1581,products[Product_ID],products[Product_Name],"not found",0)</f>
        <v>Trek Kids' Neko - 2018</v>
      </c>
      <c r="I1581" t="e">
        <f>VLOOKUP(products!D1581,categories[#All],2,TRUE)</f>
        <v>#N/A</v>
      </c>
    </row>
    <row r="1582" spans="1:9" x14ac:dyDescent="0.3">
      <c r="A1582">
        <v>1581</v>
      </c>
      <c r="B1582">
        <v>1</v>
      </c>
      <c r="C1582">
        <v>64</v>
      </c>
      <c r="D1582">
        <v>1</v>
      </c>
      <c r="E1582">
        <v>489.99</v>
      </c>
      <c r="F1582">
        <v>0.1</v>
      </c>
      <c r="G1582">
        <f t="shared" si="24"/>
        <v>489.89</v>
      </c>
      <c r="H1582" t="str">
        <f>_xlfn.XLOOKUP(C1582,products[Product_ID],products[Product_Name],"not found",0)</f>
        <v>Electra Townie Original 7D - 2017</v>
      </c>
      <c r="I1582" t="e">
        <f>VLOOKUP(products!D1582,categories[#All],2,TRUE)</f>
        <v>#N/A</v>
      </c>
    </row>
    <row r="1583" spans="1:9" x14ac:dyDescent="0.3">
      <c r="A1583">
        <v>1582</v>
      </c>
      <c r="B1583">
        <v>1</v>
      </c>
      <c r="C1583">
        <v>75</v>
      </c>
      <c r="D1583">
        <v>1</v>
      </c>
      <c r="E1583">
        <v>599.99</v>
      </c>
      <c r="F1583">
        <v>7.0000000000000007E-2</v>
      </c>
      <c r="G1583">
        <f t="shared" si="24"/>
        <v>599.91999999999996</v>
      </c>
      <c r="H1583" t="str">
        <f>_xlfn.XLOOKUP(C1583,products[Product_ID],products[Product_Name],"not found",0)</f>
        <v>Electra Cruiser Lux Fat Tire 1 Ladies - 2017</v>
      </c>
      <c r="I1583" t="e">
        <f>VLOOKUP(products!D1583,categories[#All],2,TRUE)</f>
        <v>#N/A</v>
      </c>
    </row>
    <row r="1584" spans="1:9" x14ac:dyDescent="0.3">
      <c r="A1584">
        <v>1583</v>
      </c>
      <c r="B1584">
        <v>1</v>
      </c>
      <c r="C1584">
        <v>15</v>
      </c>
      <c r="D1584">
        <v>1</v>
      </c>
      <c r="E1584">
        <v>529.99</v>
      </c>
      <c r="F1584">
        <v>0.05</v>
      </c>
      <c r="G1584">
        <f t="shared" si="24"/>
        <v>529.94000000000005</v>
      </c>
      <c r="H1584" t="str">
        <f>_xlfn.XLOOKUP(C1584,products[Product_ID],products[Product_Name],"not found",0)</f>
        <v>Electra Moto 1 - 2016</v>
      </c>
      <c r="I1584" t="e">
        <f>VLOOKUP(products!D1584,categories[#All],2,TRUE)</f>
        <v>#N/A</v>
      </c>
    </row>
    <row r="1585" spans="1:9" x14ac:dyDescent="0.3">
      <c r="A1585">
        <v>1584</v>
      </c>
      <c r="B1585">
        <v>1</v>
      </c>
      <c r="C1585">
        <v>45</v>
      </c>
      <c r="D1585">
        <v>2</v>
      </c>
      <c r="E1585">
        <v>869.99</v>
      </c>
      <c r="F1585">
        <v>0.1</v>
      </c>
      <c r="G1585">
        <f t="shared" si="24"/>
        <v>1739.88</v>
      </c>
      <c r="H1585" t="str">
        <f>_xlfn.XLOOKUP(C1585,products[Product_ID],products[Product_Name],"not found",0)</f>
        <v>Haro SR 1.2 - 2017</v>
      </c>
      <c r="I1585" t="e">
        <f>VLOOKUP(products!D1585,categories[#All],2,TRUE)</f>
        <v>#N/A</v>
      </c>
    </row>
    <row r="1586" spans="1:9" x14ac:dyDescent="0.3">
      <c r="A1586">
        <v>1585</v>
      </c>
      <c r="B1586">
        <v>1</v>
      </c>
      <c r="C1586">
        <v>313</v>
      </c>
      <c r="D1586">
        <v>1</v>
      </c>
      <c r="E1586">
        <v>449.99</v>
      </c>
      <c r="F1586">
        <v>0.1</v>
      </c>
      <c r="G1586">
        <f t="shared" si="24"/>
        <v>449.89</v>
      </c>
      <c r="H1586" t="str">
        <f>_xlfn.XLOOKUP(C1586,products[Product_ID],products[Product_Name],"not found",0)</f>
        <v>Electra Townie Original 1 Ladies' - 2018</v>
      </c>
      <c r="I1586" t="e">
        <f>VLOOKUP(products!D1586,categories[#All],2,TRUE)</f>
        <v>#N/A</v>
      </c>
    </row>
    <row r="1587" spans="1:9" x14ac:dyDescent="0.3">
      <c r="A1587">
        <v>1586</v>
      </c>
      <c r="B1587">
        <v>1</v>
      </c>
      <c r="C1587">
        <v>22</v>
      </c>
      <c r="D1587">
        <v>2</v>
      </c>
      <c r="E1587">
        <v>269.99</v>
      </c>
      <c r="F1587">
        <v>0.1</v>
      </c>
      <c r="G1587">
        <f t="shared" si="24"/>
        <v>539.88</v>
      </c>
      <c r="H1587" t="str">
        <f>_xlfn.XLOOKUP(C1587,products[Product_ID],products[Product_Name],"not found",0)</f>
        <v>Electra Girl's Hawaii 1 (16-inch) - 2015/2016</v>
      </c>
      <c r="I1587" t="e">
        <f>VLOOKUP(products!D1587,categories[#All],2,TRUE)</f>
        <v>#N/A</v>
      </c>
    </row>
    <row r="1588" spans="1:9" x14ac:dyDescent="0.3">
      <c r="A1588">
        <v>1587</v>
      </c>
      <c r="B1588">
        <v>1</v>
      </c>
      <c r="C1588">
        <v>104</v>
      </c>
      <c r="D1588">
        <v>1</v>
      </c>
      <c r="E1588">
        <v>481.99</v>
      </c>
      <c r="F1588">
        <v>0.1</v>
      </c>
      <c r="G1588">
        <f t="shared" si="24"/>
        <v>481.89</v>
      </c>
      <c r="H1588" t="str">
        <f>_xlfn.XLOOKUP(C1588,products[Product_ID],products[Product_Name],"not found",0)</f>
        <v>Sun Bicycles Streamway - 2017</v>
      </c>
      <c r="I1588" t="e">
        <f>VLOOKUP(products!D1588,categories[#All],2,TRUE)</f>
        <v>#N/A</v>
      </c>
    </row>
    <row r="1589" spans="1:9" x14ac:dyDescent="0.3">
      <c r="A1589">
        <v>1588</v>
      </c>
      <c r="B1589">
        <v>1</v>
      </c>
      <c r="C1589">
        <v>93</v>
      </c>
      <c r="D1589">
        <v>2</v>
      </c>
      <c r="E1589">
        <v>209.99</v>
      </c>
      <c r="F1589">
        <v>7.0000000000000007E-2</v>
      </c>
      <c r="G1589">
        <f t="shared" si="24"/>
        <v>419.91</v>
      </c>
      <c r="H1589" t="str">
        <f>_xlfn.XLOOKUP(C1589,products[Product_ID],products[Product_Name],"not found",0)</f>
        <v>Haro Shredder 20 Girls - 2017</v>
      </c>
      <c r="I1589" t="e">
        <f>VLOOKUP(products!D1589,categories[#All],2,TRUE)</f>
        <v>#N/A</v>
      </c>
    </row>
    <row r="1590" spans="1:9" x14ac:dyDescent="0.3">
      <c r="A1590">
        <v>1589</v>
      </c>
      <c r="B1590">
        <v>1</v>
      </c>
      <c r="C1590">
        <v>246</v>
      </c>
      <c r="D1590">
        <v>2</v>
      </c>
      <c r="E1590">
        <v>639.99</v>
      </c>
      <c r="F1590">
        <v>0.05</v>
      </c>
      <c r="G1590">
        <f t="shared" si="24"/>
        <v>1279.93</v>
      </c>
      <c r="H1590" t="str">
        <f>_xlfn.XLOOKUP(C1590,products[Product_ID],products[Product_Name],"not found",0)</f>
        <v>Electra Townie Original 3i EQ Ladies' - 2018</v>
      </c>
      <c r="I1590" t="e">
        <f>VLOOKUP(products!D1590,categories[#All],2,TRUE)</f>
        <v>#N/A</v>
      </c>
    </row>
    <row r="1591" spans="1:9" x14ac:dyDescent="0.3">
      <c r="A1591">
        <v>1590</v>
      </c>
      <c r="B1591">
        <v>1</v>
      </c>
      <c r="C1591">
        <v>175</v>
      </c>
      <c r="D1591">
        <v>2</v>
      </c>
      <c r="E1591">
        <v>3199.99</v>
      </c>
      <c r="F1591">
        <v>7.0000000000000007E-2</v>
      </c>
      <c r="G1591">
        <f t="shared" si="24"/>
        <v>6399.91</v>
      </c>
      <c r="H1591" t="str">
        <f>_xlfn.XLOOKUP(C1591,products[Product_ID],products[Product_Name],"not found",0)</f>
        <v>Trek Domane SLR Frameset - 2018</v>
      </c>
      <c r="I1591" t="e">
        <f>VLOOKUP(products!D1591,categories[#All],2,TRUE)</f>
        <v>#N/A</v>
      </c>
    </row>
    <row r="1592" spans="1:9" x14ac:dyDescent="0.3">
      <c r="A1592">
        <v>1591</v>
      </c>
      <c r="B1592">
        <v>1</v>
      </c>
      <c r="C1592">
        <v>286</v>
      </c>
      <c r="D1592">
        <v>2</v>
      </c>
      <c r="E1592">
        <v>279.99</v>
      </c>
      <c r="F1592">
        <v>0.2</v>
      </c>
      <c r="G1592">
        <f t="shared" si="24"/>
        <v>559.78</v>
      </c>
      <c r="H1592" t="str">
        <f>_xlfn.XLOOKUP(C1592,products[Product_ID],products[Product_Name],"not found",0)</f>
        <v>Electra Starship 1 16" - 2018</v>
      </c>
      <c r="I1592" t="e">
        <f>VLOOKUP(products!D1592,categories[#All],2,TRUE)</f>
        <v>#N/A</v>
      </c>
    </row>
    <row r="1593" spans="1:9" x14ac:dyDescent="0.3">
      <c r="A1593">
        <v>1592</v>
      </c>
      <c r="B1593">
        <v>1</v>
      </c>
      <c r="C1593">
        <v>211</v>
      </c>
      <c r="D1593">
        <v>2</v>
      </c>
      <c r="E1593">
        <v>1549</v>
      </c>
      <c r="F1593">
        <v>0.05</v>
      </c>
      <c r="G1593">
        <f t="shared" si="24"/>
        <v>3097.95</v>
      </c>
      <c r="H1593" t="str">
        <f>_xlfn.XLOOKUP(C1593,products[Product_ID],products[Product_Name],"not found",0)</f>
        <v>Surly Straggler 650b - 2018</v>
      </c>
      <c r="I1593" t="e">
        <f>VLOOKUP(products!D1593,categories[#All],2,TRUE)</f>
        <v>#N/A</v>
      </c>
    </row>
    <row r="1594" spans="1:9" x14ac:dyDescent="0.3">
      <c r="A1594">
        <v>1593</v>
      </c>
      <c r="B1594">
        <v>1</v>
      </c>
      <c r="C1594">
        <v>97</v>
      </c>
      <c r="D1594">
        <v>2</v>
      </c>
      <c r="E1594">
        <v>349.99</v>
      </c>
      <c r="F1594">
        <v>0.2</v>
      </c>
      <c r="G1594">
        <f t="shared" si="24"/>
        <v>699.78</v>
      </c>
      <c r="H1594" t="str">
        <f>_xlfn.XLOOKUP(C1594,products[Product_ID],products[Product_Name],"not found",0)</f>
        <v>Electra Savannah 3i (20-inch) - Girl's - 2017</v>
      </c>
      <c r="I1594" t="e">
        <f>VLOOKUP(products!D1594,categories[#All],2,TRUE)</f>
        <v>#N/A</v>
      </c>
    </row>
    <row r="1595" spans="1:9" x14ac:dyDescent="0.3">
      <c r="A1595">
        <v>1594</v>
      </c>
      <c r="B1595">
        <v>1</v>
      </c>
      <c r="C1595">
        <v>79</v>
      </c>
      <c r="D1595">
        <v>2</v>
      </c>
      <c r="E1595">
        <v>402.99</v>
      </c>
      <c r="F1595">
        <v>0.1</v>
      </c>
      <c r="G1595">
        <f t="shared" si="24"/>
        <v>805.88</v>
      </c>
      <c r="H1595" t="str">
        <f>_xlfn.XLOOKUP(C1595,products[Product_ID],products[Product_Name],"not found",0)</f>
        <v>Sun Bicycles Boardwalk (24-inch Wheels) - 2017</v>
      </c>
      <c r="I1595" t="e">
        <f>VLOOKUP(products!D1595,categories[#All],2,TRUE)</f>
        <v>#N/A</v>
      </c>
    </row>
    <row r="1596" spans="1:9" x14ac:dyDescent="0.3">
      <c r="A1596">
        <v>1595</v>
      </c>
      <c r="B1596">
        <v>1</v>
      </c>
      <c r="C1596">
        <v>112</v>
      </c>
      <c r="D1596">
        <v>1</v>
      </c>
      <c r="E1596">
        <v>379.99</v>
      </c>
      <c r="F1596">
        <v>0.2</v>
      </c>
      <c r="G1596">
        <f t="shared" si="24"/>
        <v>379.79</v>
      </c>
      <c r="H1596" t="str">
        <f>_xlfn.XLOOKUP(C1596,products[Product_ID],products[Product_Name],"not found",0)</f>
        <v>Trek 820 - 2018</v>
      </c>
      <c r="I1596" t="e">
        <f>VLOOKUP(products!D1596,categories[#All],2,TRUE)</f>
        <v>#N/A</v>
      </c>
    </row>
    <row r="1597" spans="1:9" x14ac:dyDescent="0.3">
      <c r="A1597">
        <v>1596</v>
      </c>
      <c r="B1597">
        <v>1</v>
      </c>
      <c r="C1597">
        <v>91</v>
      </c>
      <c r="D1597">
        <v>1</v>
      </c>
      <c r="E1597">
        <v>349.99</v>
      </c>
      <c r="F1597">
        <v>0.05</v>
      </c>
      <c r="G1597">
        <f t="shared" si="24"/>
        <v>349.94</v>
      </c>
      <c r="H1597" t="str">
        <f>_xlfn.XLOOKUP(C1597,products[Product_ID],products[Product_Name],"not found",0)</f>
        <v>Trek Precaliber 24 (21-Speed) - Girls - 2017</v>
      </c>
      <c r="I1597" t="e">
        <f>VLOOKUP(products!D1597,categories[#All],2,TRUE)</f>
        <v>#N/A</v>
      </c>
    </row>
    <row r="1598" spans="1:9" x14ac:dyDescent="0.3">
      <c r="A1598">
        <v>1597</v>
      </c>
      <c r="B1598">
        <v>1</v>
      </c>
      <c r="C1598">
        <v>176</v>
      </c>
      <c r="D1598">
        <v>1</v>
      </c>
      <c r="E1598">
        <v>3199.99</v>
      </c>
      <c r="F1598">
        <v>7.0000000000000007E-2</v>
      </c>
      <c r="G1598">
        <f t="shared" si="24"/>
        <v>3199.9199999999996</v>
      </c>
      <c r="H1598" t="str">
        <f>_xlfn.XLOOKUP(C1598,products[Product_ID],products[Product_Name],"not found",0)</f>
        <v>Trek Madone 9 Frameset - 2018</v>
      </c>
      <c r="I1598" t="e">
        <f>VLOOKUP(products!D1598,categories[#All],2,TRUE)</f>
        <v>#N/A</v>
      </c>
    </row>
    <row r="1599" spans="1:9" x14ac:dyDescent="0.3">
      <c r="A1599">
        <v>1598</v>
      </c>
      <c r="B1599">
        <v>1</v>
      </c>
      <c r="C1599">
        <v>247</v>
      </c>
      <c r="D1599">
        <v>1</v>
      </c>
      <c r="E1599">
        <v>599.99</v>
      </c>
      <c r="F1599">
        <v>0.2</v>
      </c>
      <c r="G1599">
        <f t="shared" si="24"/>
        <v>599.79</v>
      </c>
      <c r="H1599" t="str">
        <f>_xlfn.XLOOKUP(C1599,products[Product_ID],products[Product_Name],"not found",0)</f>
        <v>Electra Townie Original 7D EQ - 2018</v>
      </c>
      <c r="I1599" t="e">
        <f>VLOOKUP(products!D1599,categories[#All],2,TRUE)</f>
        <v>#N/A</v>
      </c>
    </row>
    <row r="1600" spans="1:9" x14ac:dyDescent="0.3">
      <c r="A1600">
        <v>1599</v>
      </c>
      <c r="B1600">
        <v>1</v>
      </c>
      <c r="C1600">
        <v>104</v>
      </c>
      <c r="D1600">
        <v>2</v>
      </c>
      <c r="E1600">
        <v>481.99</v>
      </c>
      <c r="F1600">
        <v>0.2</v>
      </c>
      <c r="G1600">
        <f t="shared" si="24"/>
        <v>963.78</v>
      </c>
      <c r="H1600" t="str">
        <f>_xlfn.XLOOKUP(C1600,products[Product_ID],products[Product_Name],"not found",0)</f>
        <v>Sun Bicycles Streamway - 2017</v>
      </c>
      <c r="I1600" t="e">
        <f>VLOOKUP(products!D1600,categories[#All],2,TRUE)</f>
        <v>#N/A</v>
      </c>
    </row>
    <row r="1601" spans="1:9" x14ac:dyDescent="0.3">
      <c r="A1601">
        <v>1600</v>
      </c>
      <c r="B1601">
        <v>1</v>
      </c>
      <c r="C1601">
        <v>146</v>
      </c>
      <c r="D1601">
        <v>1</v>
      </c>
      <c r="E1601">
        <v>4999.99</v>
      </c>
      <c r="F1601">
        <v>0.1</v>
      </c>
      <c r="G1601">
        <f t="shared" si="24"/>
        <v>4999.8899999999994</v>
      </c>
      <c r="H1601" t="str">
        <f>_xlfn.XLOOKUP(C1601,products[Product_ID],products[Product_Name],"not found",0)</f>
        <v>Trek Domane SLR 6 - 2018</v>
      </c>
      <c r="I1601" t="e">
        <f>VLOOKUP(products!D1601,categories[#All],2,TRUE)</f>
        <v>#N/A</v>
      </c>
    </row>
    <row r="1602" spans="1:9" x14ac:dyDescent="0.3">
      <c r="A1602">
        <v>1601</v>
      </c>
      <c r="B1602">
        <v>1</v>
      </c>
      <c r="C1602">
        <v>114</v>
      </c>
      <c r="D1602">
        <v>2</v>
      </c>
      <c r="E1602">
        <v>579.99</v>
      </c>
      <c r="F1602">
        <v>0.2</v>
      </c>
      <c r="G1602">
        <f t="shared" ref="G1602:G1616" si="25">(E1602*D1602)-F1602</f>
        <v>1159.78</v>
      </c>
      <c r="H1602" t="str">
        <f>_xlfn.XLOOKUP(C1602,products[Product_ID],products[Product_Name],"not found",0)</f>
        <v>Trek Marlin 6 - 2018</v>
      </c>
      <c r="I1602" t="e">
        <f>VLOOKUP(products!D1602,categories[#All],2,TRUE)</f>
        <v>#N/A</v>
      </c>
    </row>
    <row r="1603" spans="1:9" x14ac:dyDescent="0.3">
      <c r="A1603">
        <v>1602</v>
      </c>
      <c r="B1603">
        <v>1</v>
      </c>
      <c r="C1603">
        <v>71</v>
      </c>
      <c r="D1603">
        <v>2</v>
      </c>
      <c r="E1603">
        <v>416.99</v>
      </c>
      <c r="F1603">
        <v>0.05</v>
      </c>
      <c r="G1603">
        <f t="shared" si="25"/>
        <v>833.93000000000006</v>
      </c>
      <c r="H1603" t="str">
        <f>_xlfn.XLOOKUP(C1603,products[Product_ID],products[Product_Name],"not found",0)</f>
        <v>Sun Bicycles Atlas X-Type - 2017</v>
      </c>
      <c r="I1603" t="e">
        <f>VLOOKUP(products!D1603,categories[#All],2,TRUE)</f>
        <v>#N/A</v>
      </c>
    </row>
    <row r="1604" spans="1:9" x14ac:dyDescent="0.3">
      <c r="A1604">
        <v>1603</v>
      </c>
      <c r="B1604">
        <v>1</v>
      </c>
      <c r="C1604">
        <v>275</v>
      </c>
      <c r="D1604">
        <v>2</v>
      </c>
      <c r="E1604">
        <v>229.99</v>
      </c>
      <c r="F1604">
        <v>0.05</v>
      </c>
      <c r="G1604">
        <f t="shared" si="25"/>
        <v>459.93</v>
      </c>
      <c r="H1604" t="str">
        <f>_xlfn.XLOOKUP(C1604,products[Product_ID],products[Product_Name],"not found",0)</f>
        <v>Trek Precaliber 20 Girl's - 2018</v>
      </c>
      <c r="I1604" t="e">
        <f>VLOOKUP(products!D1604,categories[#All],2,TRUE)</f>
        <v>#N/A</v>
      </c>
    </row>
    <row r="1605" spans="1:9" x14ac:dyDescent="0.3">
      <c r="A1605">
        <v>1604</v>
      </c>
      <c r="B1605">
        <v>1</v>
      </c>
      <c r="C1605">
        <v>271</v>
      </c>
      <c r="D1605">
        <v>1</v>
      </c>
      <c r="E1605">
        <v>209.99</v>
      </c>
      <c r="F1605">
        <v>0.1</v>
      </c>
      <c r="G1605">
        <f t="shared" si="25"/>
        <v>209.89000000000001</v>
      </c>
      <c r="H1605" t="str">
        <f>_xlfn.XLOOKUP(C1605,products[Product_ID],products[Product_Name],"not found",0)</f>
        <v>Trek Precaliber 16 Girl's - 2018</v>
      </c>
      <c r="I1605" t="e">
        <f>VLOOKUP(products!D1605,categories[#All],2,TRUE)</f>
        <v>#N/A</v>
      </c>
    </row>
    <row r="1606" spans="1:9" x14ac:dyDescent="0.3">
      <c r="A1606">
        <v>1605</v>
      </c>
      <c r="B1606">
        <v>1</v>
      </c>
      <c r="C1606">
        <v>72</v>
      </c>
      <c r="D1606">
        <v>1</v>
      </c>
      <c r="E1606">
        <v>619.99</v>
      </c>
      <c r="F1606">
        <v>0.1</v>
      </c>
      <c r="G1606">
        <f t="shared" si="25"/>
        <v>619.89</v>
      </c>
      <c r="H1606" t="str">
        <f>_xlfn.XLOOKUP(C1606,products[Product_ID],products[Product_Name],"not found",0)</f>
        <v>Sun Bicycles Biscayne Tandem 7 - 2017</v>
      </c>
      <c r="I1606" t="e">
        <f>VLOOKUP(products!D1606,categories[#All],2,TRUE)</f>
        <v>#N/A</v>
      </c>
    </row>
    <row r="1607" spans="1:9" x14ac:dyDescent="0.3">
      <c r="A1607">
        <v>1606</v>
      </c>
      <c r="B1607">
        <v>1</v>
      </c>
      <c r="C1607">
        <v>245</v>
      </c>
      <c r="D1607">
        <v>1</v>
      </c>
      <c r="E1607">
        <v>659.99</v>
      </c>
      <c r="F1607">
        <v>0.1</v>
      </c>
      <c r="G1607">
        <f t="shared" si="25"/>
        <v>659.89</v>
      </c>
      <c r="H1607" t="str">
        <f>_xlfn.XLOOKUP(C1607,products[Product_ID],products[Product_Name],"not found",0)</f>
        <v>Electra Townie Original 3i EQ - 2017/2018</v>
      </c>
      <c r="I1607" t="e">
        <f>VLOOKUP(products!D1607,categories[#All],2,TRUE)</f>
        <v>#N/A</v>
      </c>
    </row>
    <row r="1608" spans="1:9" x14ac:dyDescent="0.3">
      <c r="A1608">
        <v>1607</v>
      </c>
      <c r="B1608">
        <v>1</v>
      </c>
      <c r="C1608">
        <v>29</v>
      </c>
      <c r="D1608">
        <v>1</v>
      </c>
      <c r="E1608">
        <v>999.99</v>
      </c>
      <c r="F1608">
        <v>0.05</v>
      </c>
      <c r="G1608">
        <f t="shared" si="25"/>
        <v>999.94</v>
      </c>
      <c r="H1608" t="str">
        <f>_xlfn.XLOOKUP(C1608,products[Product_ID],products[Product_Name],"not found",0)</f>
        <v>Trek X-Caliber 8 - 2017</v>
      </c>
      <c r="I1608" t="e">
        <f>VLOOKUP(products!D1608,categories[#All],2,TRUE)</f>
        <v>#N/A</v>
      </c>
    </row>
    <row r="1609" spans="1:9" x14ac:dyDescent="0.3">
      <c r="A1609">
        <v>1608</v>
      </c>
      <c r="B1609">
        <v>1</v>
      </c>
      <c r="C1609">
        <v>231</v>
      </c>
      <c r="D1609">
        <v>2</v>
      </c>
      <c r="E1609">
        <v>529.99</v>
      </c>
      <c r="F1609">
        <v>0.05</v>
      </c>
      <c r="G1609">
        <f t="shared" si="25"/>
        <v>1059.93</v>
      </c>
      <c r="H1609" t="str">
        <f>_xlfn.XLOOKUP(C1609,products[Product_ID],products[Product_Name],"not found",0)</f>
        <v>Electra Cruiser Lux 3i Ladies' - 2018</v>
      </c>
      <c r="I1609" t="e">
        <f>VLOOKUP(products!D1609,categories[#All],2,TRUE)</f>
        <v>#N/A</v>
      </c>
    </row>
    <row r="1610" spans="1:9" x14ac:dyDescent="0.3">
      <c r="A1610">
        <v>1609</v>
      </c>
      <c r="B1610">
        <v>1</v>
      </c>
      <c r="C1610">
        <v>96</v>
      </c>
      <c r="D1610">
        <v>1</v>
      </c>
      <c r="E1610">
        <v>349.99</v>
      </c>
      <c r="F1610">
        <v>0.2</v>
      </c>
      <c r="G1610">
        <f t="shared" si="25"/>
        <v>349.79</v>
      </c>
      <c r="H1610" t="str">
        <f>_xlfn.XLOOKUP(C1610,products[Product_ID],products[Product_Name],"not found",0)</f>
        <v>Electra Moto 3i (20-inch) - Boy's - 2017</v>
      </c>
      <c r="I1610" t="e">
        <f>VLOOKUP(products!D1610,categories[#All],2,TRUE)</f>
        <v>#N/A</v>
      </c>
    </row>
    <row r="1611" spans="1:9" x14ac:dyDescent="0.3">
      <c r="A1611">
        <v>1610</v>
      </c>
      <c r="B1611">
        <v>1</v>
      </c>
      <c r="C1611">
        <v>36</v>
      </c>
      <c r="D1611">
        <v>1</v>
      </c>
      <c r="E1611">
        <v>832.99</v>
      </c>
      <c r="F1611">
        <v>7.0000000000000007E-2</v>
      </c>
      <c r="G1611">
        <f t="shared" si="25"/>
        <v>832.92</v>
      </c>
      <c r="H1611" t="str">
        <f>_xlfn.XLOOKUP(C1611,products[Product_ID],products[Product_Name],"not found",0)</f>
        <v>Surly Troll Frameset - 2017</v>
      </c>
      <c r="I1611" t="e">
        <f>VLOOKUP(products!D1611,categories[#All],2,TRUE)</f>
        <v>#N/A</v>
      </c>
    </row>
    <row r="1612" spans="1:9" x14ac:dyDescent="0.3">
      <c r="A1612">
        <v>1611</v>
      </c>
      <c r="B1612">
        <v>1</v>
      </c>
      <c r="C1612">
        <v>191</v>
      </c>
      <c r="D1612">
        <v>1</v>
      </c>
      <c r="E1612">
        <v>2799.99</v>
      </c>
      <c r="F1612">
        <v>7.0000000000000007E-2</v>
      </c>
      <c r="G1612">
        <f t="shared" si="25"/>
        <v>2799.9199999999996</v>
      </c>
      <c r="H1612" t="str">
        <f>_xlfn.XLOOKUP(C1612,products[Product_ID],products[Product_Name],"not found",0)</f>
        <v>Electra Loft Go! 8i - 2018</v>
      </c>
      <c r="I1612" t="e">
        <f>VLOOKUP(products!D1612,categories[#All],2,TRUE)</f>
        <v>#N/A</v>
      </c>
    </row>
    <row r="1613" spans="1:9" x14ac:dyDescent="0.3">
      <c r="A1613">
        <v>1612</v>
      </c>
      <c r="B1613">
        <v>1</v>
      </c>
      <c r="C1613">
        <v>242</v>
      </c>
      <c r="D1613">
        <v>1</v>
      </c>
      <c r="E1613">
        <v>699.99</v>
      </c>
      <c r="F1613">
        <v>0.1</v>
      </c>
      <c r="G1613">
        <f t="shared" si="25"/>
        <v>699.89</v>
      </c>
      <c r="H1613" t="str">
        <f>_xlfn.XLOOKUP(C1613,products[Product_ID],products[Product_Name],"not found",0)</f>
        <v>Electra Townie Commute 8D Ladies' - 2018</v>
      </c>
      <c r="I1613" t="e">
        <f>VLOOKUP(products!D1613,categories[#All],2,TRUE)</f>
        <v>#N/A</v>
      </c>
    </row>
    <row r="1614" spans="1:9" x14ac:dyDescent="0.3">
      <c r="A1614">
        <v>1613</v>
      </c>
      <c r="B1614">
        <v>1</v>
      </c>
      <c r="C1614">
        <v>153</v>
      </c>
      <c r="D1614">
        <v>1</v>
      </c>
      <c r="E1614">
        <v>4999.99</v>
      </c>
      <c r="F1614">
        <v>7.0000000000000007E-2</v>
      </c>
      <c r="G1614">
        <f t="shared" si="25"/>
        <v>4999.92</v>
      </c>
      <c r="H1614" t="str">
        <f>_xlfn.XLOOKUP(C1614,products[Product_ID],products[Product_Name],"not found",0)</f>
        <v>Trek Domane SL 7 Women's - 2018</v>
      </c>
      <c r="I1614" t="e">
        <f>VLOOKUP(products!D1614,categories[#All],2,TRUE)</f>
        <v>#N/A</v>
      </c>
    </row>
    <row r="1615" spans="1:9" x14ac:dyDescent="0.3">
      <c r="A1615">
        <v>1614</v>
      </c>
      <c r="B1615">
        <v>1</v>
      </c>
      <c r="C1615">
        <v>124</v>
      </c>
      <c r="D1615">
        <v>1</v>
      </c>
      <c r="E1615">
        <v>1499</v>
      </c>
      <c r="F1615">
        <v>7.0000000000000007E-2</v>
      </c>
      <c r="G1615">
        <f t="shared" si="25"/>
        <v>1498.93</v>
      </c>
      <c r="H1615" t="str">
        <f>_xlfn.XLOOKUP(C1615,products[Product_ID],products[Product_Name],"not found",0)</f>
        <v>Surly Krampus - 2018</v>
      </c>
      <c r="I1615" t="e">
        <f>VLOOKUP(products!D1615,categories[#All],2,TRUE)</f>
        <v>#N/A</v>
      </c>
    </row>
    <row r="1616" spans="1:9" x14ac:dyDescent="0.3">
      <c r="A1616">
        <v>1615</v>
      </c>
      <c r="B1616">
        <v>1</v>
      </c>
      <c r="C1616">
        <v>197</v>
      </c>
      <c r="D1616">
        <v>2</v>
      </c>
      <c r="E1616">
        <v>2299.9899999999998</v>
      </c>
      <c r="F1616">
        <v>0.2</v>
      </c>
      <c r="G1616">
        <f t="shared" si="25"/>
        <v>4599.78</v>
      </c>
      <c r="H1616" t="str">
        <f>_xlfn.XLOOKUP(C1616,products[Product_ID],products[Product_Name],"not found",0)</f>
        <v>Trek Verve+ Lowstep - 2018</v>
      </c>
      <c r="I1616" t="e">
        <f>VLOOKUP(products!D1616,categories[#All],2,TRUE)</f>
        <v>#N/A</v>
      </c>
    </row>
  </sheetData>
  <conditionalFormatting sqref="E2">
    <cfRule type="cellIs" dxfId="5" priority="5" operator="greaterThan">
      <formula>10000</formula>
    </cfRule>
    <cfRule type="cellIs" dxfId="4" priority="6" operator="lessThan">
      <formula>100</formula>
    </cfRule>
  </conditionalFormatting>
  <conditionalFormatting sqref="E2:E1616">
    <cfRule type="cellIs" dxfId="3" priority="1" operator="lessThan">
      <formula>100</formula>
    </cfRule>
    <cfRule type="cellIs" dxfId="2" priority="2" operator="greaterThan">
      <formula>11000</formula>
    </cfRule>
    <cfRule type="cellIs" dxfId="1" priority="3" operator="greaterThan">
      <formula>10000</formula>
    </cfRule>
    <cfRule type="cellIs" dxfId="0" priority="4" operator="lessThan">
      <formula>100</formula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18F05-B07C-48AF-8A93-4EBC4D7FEABF}">
  <dimension ref="A1:B8"/>
  <sheetViews>
    <sheetView workbookViewId="0"/>
  </sheetViews>
  <sheetFormatPr defaultRowHeight="14.4" x14ac:dyDescent="0.3"/>
  <cols>
    <col min="1" max="1" width="14.33203125" bestFit="1" customWidth="1"/>
    <col min="2" max="2" width="18.44140625" bestFit="1" customWidth="1"/>
  </cols>
  <sheetData>
    <row r="1" spans="1:2" x14ac:dyDescent="0.3">
      <c r="A1" t="s">
        <v>5305</v>
      </c>
      <c r="B1" t="s">
        <v>5602</v>
      </c>
    </row>
    <row r="2" spans="1:2" x14ac:dyDescent="0.3">
      <c r="A2">
        <v>1</v>
      </c>
      <c r="B2" t="s">
        <v>5603</v>
      </c>
    </row>
    <row r="3" spans="1:2" x14ac:dyDescent="0.3">
      <c r="A3">
        <v>2</v>
      </c>
      <c r="B3" t="s">
        <v>5604</v>
      </c>
    </row>
    <row r="4" spans="1:2" x14ac:dyDescent="0.3">
      <c r="A4">
        <v>3</v>
      </c>
      <c r="B4" t="s">
        <v>5605</v>
      </c>
    </row>
    <row r="5" spans="1:2" x14ac:dyDescent="0.3">
      <c r="A5">
        <v>4</v>
      </c>
      <c r="B5" t="s">
        <v>5606</v>
      </c>
    </row>
    <row r="6" spans="1:2" x14ac:dyDescent="0.3">
      <c r="A6">
        <v>5</v>
      </c>
      <c r="B6" t="s">
        <v>5607</v>
      </c>
    </row>
    <row r="7" spans="1:2" x14ac:dyDescent="0.3">
      <c r="A7">
        <v>6</v>
      </c>
      <c r="B7" t="s">
        <v>5608</v>
      </c>
    </row>
    <row r="8" spans="1:2" x14ac:dyDescent="0.3">
      <c r="A8">
        <v>7</v>
      </c>
      <c r="B8" t="s">
        <v>5609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582AE-6AD8-4CCA-A1DB-4745592046CC}">
  <dimension ref="A1:C12"/>
  <sheetViews>
    <sheetView workbookViewId="0">
      <selection activeCell="B20" sqref="B20"/>
    </sheetView>
  </sheetViews>
  <sheetFormatPr defaultRowHeight="14.4" x14ac:dyDescent="0.3"/>
  <cols>
    <col min="1" max="1" width="18.44140625" bestFit="1" customWidth="1"/>
    <col min="2" max="2" width="17.88671875" bestFit="1" customWidth="1"/>
    <col min="3" max="3" width="40.44140625" customWidth="1"/>
  </cols>
  <sheetData>
    <row r="1" spans="1:3" x14ac:dyDescent="0.3">
      <c r="C1" t="s">
        <v>5631</v>
      </c>
    </row>
    <row r="3" spans="1:3" x14ac:dyDescent="0.3">
      <c r="A3" s="2" t="s">
        <v>5626</v>
      </c>
      <c r="B3" t="s">
        <v>5628</v>
      </c>
    </row>
    <row r="4" spans="1:3" x14ac:dyDescent="0.3">
      <c r="A4" s="3" t="s">
        <v>5603</v>
      </c>
      <c r="B4">
        <v>94609.409999999945</v>
      </c>
    </row>
    <row r="5" spans="1:3" x14ac:dyDescent="0.3">
      <c r="A5" s="3" t="s">
        <v>5604</v>
      </c>
      <c r="B5">
        <v>51753.719999999987</v>
      </c>
    </row>
    <row r="6" spans="1:3" x14ac:dyDescent="0.3">
      <c r="A6" s="3" t="s">
        <v>5605</v>
      </c>
      <c r="B6">
        <v>125847.21999999996</v>
      </c>
    </row>
    <row r="7" spans="1:3" x14ac:dyDescent="0.3">
      <c r="A7" s="3" t="s">
        <v>5606</v>
      </c>
      <c r="B7">
        <v>7968.0200000000013</v>
      </c>
    </row>
    <row r="8" spans="1:3" x14ac:dyDescent="0.3">
      <c r="A8" s="3" t="s">
        <v>5607</v>
      </c>
      <c r="B8">
        <v>43037.48</v>
      </c>
    </row>
    <row r="9" spans="1:3" x14ac:dyDescent="0.3">
      <c r="A9" s="3" t="s">
        <v>5608</v>
      </c>
      <c r="B9">
        <v>86645.439999999973</v>
      </c>
    </row>
    <row r="10" spans="1:3" x14ac:dyDescent="0.3">
      <c r="A10" s="3" t="s">
        <v>5609</v>
      </c>
      <c r="B10">
        <v>87108.729999999981</v>
      </c>
    </row>
    <row r="11" spans="1:3" x14ac:dyDescent="0.3">
      <c r="A11" s="3" t="s">
        <v>5630</v>
      </c>
      <c r="B11">
        <v>2318487.6299999766</v>
      </c>
    </row>
    <row r="12" spans="1:3" x14ac:dyDescent="0.3">
      <c r="A12" s="3" t="s">
        <v>5627</v>
      </c>
      <c r="B12">
        <v>2815457.6499999766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368FB-9E76-4E37-9278-B016FE2A1FE1}">
  <dimension ref="A3:B11"/>
  <sheetViews>
    <sheetView workbookViewId="0">
      <selection activeCell="A3" sqref="A3"/>
    </sheetView>
  </sheetViews>
  <sheetFormatPr defaultRowHeight="14.4" x14ac:dyDescent="0.3"/>
  <cols>
    <col min="1" max="1" width="18.44140625" bestFit="1" customWidth="1"/>
    <col min="2" max="2" width="16.5546875" bestFit="1" customWidth="1"/>
  </cols>
  <sheetData>
    <row r="3" spans="1:2" x14ac:dyDescent="0.3">
      <c r="A3" s="2" t="s">
        <v>5626</v>
      </c>
      <c r="B3" t="s">
        <v>5629</v>
      </c>
    </row>
    <row r="4" spans="1:2" x14ac:dyDescent="0.3">
      <c r="A4" s="3" t="s">
        <v>5603</v>
      </c>
      <c r="B4">
        <v>16979.409999999996</v>
      </c>
    </row>
    <row r="5" spans="1:2" x14ac:dyDescent="0.3">
      <c r="A5" s="3" t="s">
        <v>5604</v>
      </c>
      <c r="B5">
        <v>20463.700000000008</v>
      </c>
    </row>
    <row r="6" spans="1:2" x14ac:dyDescent="0.3">
      <c r="A6" s="3" t="s">
        <v>5605</v>
      </c>
      <c r="B6">
        <v>56972.159999999996</v>
      </c>
    </row>
    <row r="7" spans="1:2" x14ac:dyDescent="0.3">
      <c r="A7" s="3" t="s">
        <v>5606</v>
      </c>
      <c r="B7">
        <v>25427.93</v>
      </c>
    </row>
    <row r="8" spans="1:2" x14ac:dyDescent="0.3">
      <c r="A8" s="3" t="s">
        <v>5607</v>
      </c>
      <c r="B8">
        <v>78759.75999999998</v>
      </c>
    </row>
    <row r="9" spans="1:2" x14ac:dyDescent="0.3">
      <c r="A9" s="3" t="s">
        <v>5608</v>
      </c>
      <c r="B9">
        <v>98985.440000000061</v>
      </c>
    </row>
    <row r="10" spans="1:2" x14ac:dyDescent="0.3">
      <c r="A10" s="3" t="s">
        <v>5609</v>
      </c>
      <c r="B10">
        <v>190521.43999999986</v>
      </c>
    </row>
    <row r="11" spans="1:2" x14ac:dyDescent="0.3">
      <c r="A11" s="3" t="s">
        <v>5627</v>
      </c>
      <c r="B11">
        <v>488109.83999999985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0A3D9-D9BE-4DCA-99CA-0A4217A10770}">
  <dimension ref="A1:H322"/>
  <sheetViews>
    <sheetView topLeftCell="A226" workbookViewId="0">
      <selection activeCell="K5" sqref="K5"/>
    </sheetView>
  </sheetViews>
  <sheetFormatPr defaultRowHeight="14.4" x14ac:dyDescent="0.3"/>
  <cols>
    <col min="1" max="1" width="13.109375" bestFit="1" customWidth="1"/>
    <col min="2" max="2" width="49.44140625" bestFit="1" customWidth="1"/>
    <col min="3" max="3" width="11.33203125" bestFit="1" customWidth="1"/>
    <col min="4" max="4" width="14.33203125" bestFit="1" customWidth="1"/>
    <col min="5" max="5" width="13.6640625" bestFit="1" customWidth="1"/>
    <col min="6" max="6" width="12" bestFit="1" customWidth="1"/>
    <col min="7" max="7" width="20.109375" customWidth="1"/>
    <col min="8" max="8" width="12.44140625" customWidth="1"/>
  </cols>
  <sheetData>
    <row r="1" spans="1:8" x14ac:dyDescent="0.3">
      <c r="A1" t="s">
        <v>5303</v>
      </c>
      <c r="B1" t="s">
        <v>5304</v>
      </c>
      <c r="C1" t="s">
        <v>5292</v>
      </c>
      <c r="D1" t="s">
        <v>5305</v>
      </c>
      <c r="E1" t="s">
        <v>5306</v>
      </c>
      <c r="F1" t="s">
        <v>5307</v>
      </c>
      <c r="G1" t="s">
        <v>5625</v>
      </c>
      <c r="H1" t="s">
        <v>5632</v>
      </c>
    </row>
    <row r="2" spans="1:8" x14ac:dyDescent="0.3">
      <c r="A2">
        <v>1</v>
      </c>
      <c r="B2" t="s">
        <v>5308</v>
      </c>
      <c r="C2">
        <v>9</v>
      </c>
      <c r="D2">
        <v>6</v>
      </c>
      <c r="E2">
        <v>2016</v>
      </c>
      <c r="F2">
        <v>379.99</v>
      </c>
      <c r="G2" t="str">
        <f>VLOOKUP(products!D2,categories[#All],2,TRUE)</f>
        <v>Mountain Bikes</v>
      </c>
    </row>
    <row r="3" spans="1:8" x14ac:dyDescent="0.3">
      <c r="A3">
        <v>2</v>
      </c>
      <c r="B3" t="s">
        <v>5309</v>
      </c>
      <c r="C3">
        <v>5</v>
      </c>
      <c r="D3">
        <v>6</v>
      </c>
      <c r="E3">
        <v>2016</v>
      </c>
      <c r="F3">
        <v>749.99</v>
      </c>
      <c r="G3" t="str">
        <f>VLOOKUP(products!D3,categories[#All],2,TRUE)</f>
        <v>Mountain Bikes</v>
      </c>
    </row>
    <row r="4" spans="1:8" x14ac:dyDescent="0.3">
      <c r="A4">
        <v>3</v>
      </c>
      <c r="B4" t="s">
        <v>5310</v>
      </c>
      <c r="C4">
        <v>8</v>
      </c>
      <c r="D4">
        <v>6</v>
      </c>
      <c r="E4">
        <v>2016</v>
      </c>
      <c r="F4">
        <v>999.99</v>
      </c>
      <c r="G4" t="str">
        <f>VLOOKUP(products!D4,categories[#All],2,TRUE)</f>
        <v>Mountain Bikes</v>
      </c>
    </row>
    <row r="5" spans="1:8" x14ac:dyDescent="0.3">
      <c r="A5">
        <v>4</v>
      </c>
      <c r="B5" t="s">
        <v>5311</v>
      </c>
      <c r="C5">
        <v>9</v>
      </c>
      <c r="D5">
        <v>6</v>
      </c>
      <c r="E5">
        <v>2016</v>
      </c>
      <c r="F5">
        <v>2899.99</v>
      </c>
      <c r="G5" t="str">
        <f>VLOOKUP(products!D5,categories[#All],2,TRUE)</f>
        <v>Mountain Bikes</v>
      </c>
    </row>
    <row r="6" spans="1:8" x14ac:dyDescent="0.3">
      <c r="A6">
        <v>5</v>
      </c>
      <c r="B6" t="s">
        <v>5312</v>
      </c>
      <c r="C6">
        <v>3</v>
      </c>
      <c r="D6">
        <v>6</v>
      </c>
      <c r="E6">
        <v>2016</v>
      </c>
      <c r="F6">
        <v>1320.99</v>
      </c>
      <c r="G6" t="str">
        <f>VLOOKUP(products!D6,categories[#All],2,TRUE)</f>
        <v>Mountain Bikes</v>
      </c>
    </row>
    <row r="7" spans="1:8" x14ac:dyDescent="0.3">
      <c r="A7">
        <v>6</v>
      </c>
      <c r="B7" t="s">
        <v>5313</v>
      </c>
      <c r="C7">
        <v>8</v>
      </c>
      <c r="D7">
        <v>6</v>
      </c>
      <c r="E7">
        <v>2016</v>
      </c>
      <c r="F7">
        <v>469.99</v>
      </c>
      <c r="G7" t="str">
        <f>VLOOKUP(products!D7,categories[#All],2,TRUE)</f>
        <v>Mountain Bikes</v>
      </c>
    </row>
    <row r="8" spans="1:8" x14ac:dyDescent="0.3">
      <c r="A8">
        <v>7</v>
      </c>
      <c r="B8" t="s">
        <v>5314</v>
      </c>
      <c r="C8">
        <v>9</v>
      </c>
      <c r="D8">
        <v>6</v>
      </c>
      <c r="E8">
        <v>2016</v>
      </c>
      <c r="F8">
        <v>3999.99</v>
      </c>
      <c r="G8" t="str">
        <f>VLOOKUP(products!D8,categories[#All],2,TRUE)</f>
        <v>Mountain Bikes</v>
      </c>
    </row>
    <row r="9" spans="1:8" x14ac:dyDescent="0.3">
      <c r="A9">
        <v>8</v>
      </c>
      <c r="B9" t="s">
        <v>5315</v>
      </c>
      <c r="C9">
        <v>9</v>
      </c>
      <c r="D9">
        <v>6</v>
      </c>
      <c r="E9">
        <v>2016</v>
      </c>
      <c r="F9">
        <v>1799.99</v>
      </c>
      <c r="G9" t="str">
        <f>VLOOKUP(products!D9,categories[#All],2,TRUE)</f>
        <v>Mountain Bikes</v>
      </c>
    </row>
    <row r="10" spans="1:8" x14ac:dyDescent="0.3">
      <c r="A10">
        <v>9</v>
      </c>
      <c r="B10" t="s">
        <v>5316</v>
      </c>
      <c r="C10">
        <v>9</v>
      </c>
      <c r="D10">
        <v>5</v>
      </c>
      <c r="E10">
        <v>2016</v>
      </c>
      <c r="F10">
        <v>2999.99</v>
      </c>
      <c r="G10" t="str">
        <f>VLOOKUP(products!D10,categories[#All],2,TRUE)</f>
        <v>Electric Bikes</v>
      </c>
    </row>
    <row r="11" spans="1:8" x14ac:dyDescent="0.3">
      <c r="A11">
        <v>10</v>
      </c>
      <c r="B11" t="s">
        <v>5317</v>
      </c>
      <c r="C11">
        <v>8</v>
      </c>
      <c r="D11">
        <v>4</v>
      </c>
      <c r="E11">
        <v>2016</v>
      </c>
      <c r="F11">
        <v>1549</v>
      </c>
      <c r="G11" t="str">
        <f>VLOOKUP(products!D11,categories[#All],2,TRUE)</f>
        <v>Cyclocross Bicycles</v>
      </c>
    </row>
    <row r="12" spans="1:8" x14ac:dyDescent="0.3">
      <c r="A12">
        <v>11</v>
      </c>
      <c r="B12" t="s">
        <v>5318</v>
      </c>
      <c r="C12">
        <v>8</v>
      </c>
      <c r="D12">
        <v>4</v>
      </c>
      <c r="E12">
        <v>2016</v>
      </c>
      <c r="F12">
        <v>1680.99</v>
      </c>
      <c r="G12" t="str">
        <f>VLOOKUP(products!D12,categories[#All],2,TRUE)</f>
        <v>Cyclocross Bicycles</v>
      </c>
    </row>
    <row r="13" spans="1:8" x14ac:dyDescent="0.3">
      <c r="A13">
        <v>12</v>
      </c>
      <c r="B13" t="s">
        <v>5319</v>
      </c>
      <c r="C13">
        <v>1</v>
      </c>
      <c r="D13">
        <v>3</v>
      </c>
      <c r="E13">
        <v>2016</v>
      </c>
      <c r="F13">
        <v>549.99</v>
      </c>
      <c r="G13" t="str">
        <f>VLOOKUP(products!D13,categories[#All],2,TRUE)</f>
        <v>Cruisers Bicycles</v>
      </c>
    </row>
    <row r="14" spans="1:8" x14ac:dyDescent="0.3">
      <c r="A14">
        <v>13</v>
      </c>
      <c r="B14" t="s">
        <v>5320</v>
      </c>
      <c r="C14">
        <v>1</v>
      </c>
      <c r="D14">
        <v>3</v>
      </c>
      <c r="E14">
        <v>2016</v>
      </c>
      <c r="F14">
        <v>269.99</v>
      </c>
      <c r="G14" t="str">
        <f>VLOOKUP(products!D14,categories[#All],2,TRUE)</f>
        <v>Cruisers Bicycles</v>
      </c>
    </row>
    <row r="15" spans="1:8" x14ac:dyDescent="0.3">
      <c r="A15">
        <v>14</v>
      </c>
      <c r="B15" t="s">
        <v>5321</v>
      </c>
      <c r="C15">
        <v>1</v>
      </c>
      <c r="D15">
        <v>3</v>
      </c>
      <c r="E15">
        <v>2016</v>
      </c>
      <c r="F15">
        <v>269.99</v>
      </c>
      <c r="G15" t="str">
        <f>VLOOKUP(products!D15,categories[#All],2,TRUE)</f>
        <v>Cruisers Bicycles</v>
      </c>
    </row>
    <row r="16" spans="1:8" x14ac:dyDescent="0.3">
      <c r="A16">
        <v>15</v>
      </c>
      <c r="B16" t="s">
        <v>5322</v>
      </c>
      <c r="C16">
        <v>1</v>
      </c>
      <c r="D16">
        <v>3</v>
      </c>
      <c r="E16">
        <v>2016</v>
      </c>
      <c r="F16">
        <v>529.99</v>
      </c>
      <c r="G16" t="str">
        <f>VLOOKUP(products!D16,categories[#All],2,TRUE)</f>
        <v>Cruisers Bicycles</v>
      </c>
    </row>
    <row r="17" spans="1:7" x14ac:dyDescent="0.3">
      <c r="A17">
        <v>16</v>
      </c>
      <c r="B17" t="s">
        <v>5323</v>
      </c>
      <c r="C17">
        <v>1</v>
      </c>
      <c r="D17">
        <v>3</v>
      </c>
      <c r="E17">
        <v>2016</v>
      </c>
      <c r="F17">
        <v>599.99</v>
      </c>
      <c r="G17" t="str">
        <f>VLOOKUP(products!D17,categories[#All],2,TRUE)</f>
        <v>Cruisers Bicycles</v>
      </c>
    </row>
    <row r="18" spans="1:7" x14ac:dyDescent="0.3">
      <c r="A18">
        <v>17</v>
      </c>
      <c r="B18" t="s">
        <v>5324</v>
      </c>
      <c r="C18">
        <v>4</v>
      </c>
      <c r="D18">
        <v>3</v>
      </c>
      <c r="E18">
        <v>2016</v>
      </c>
      <c r="F18">
        <v>429</v>
      </c>
      <c r="G18" t="str">
        <f>VLOOKUP(products!D18,categories[#All],2,TRUE)</f>
        <v>Cruisers Bicycles</v>
      </c>
    </row>
    <row r="19" spans="1:7" x14ac:dyDescent="0.3">
      <c r="A19">
        <v>18</v>
      </c>
      <c r="B19" t="s">
        <v>5325</v>
      </c>
      <c r="C19">
        <v>4</v>
      </c>
      <c r="D19">
        <v>3</v>
      </c>
      <c r="E19">
        <v>2016</v>
      </c>
      <c r="F19">
        <v>449</v>
      </c>
      <c r="G19" t="str">
        <f>VLOOKUP(products!D19,categories[#All],2,TRUE)</f>
        <v>Cruisers Bicycles</v>
      </c>
    </row>
    <row r="20" spans="1:7" x14ac:dyDescent="0.3">
      <c r="A20">
        <v>19</v>
      </c>
      <c r="B20" t="s">
        <v>5326</v>
      </c>
      <c r="C20">
        <v>4</v>
      </c>
      <c r="D20">
        <v>3</v>
      </c>
      <c r="E20">
        <v>2016</v>
      </c>
      <c r="F20">
        <v>449</v>
      </c>
      <c r="G20" t="str">
        <f>VLOOKUP(products!D20,categories[#All],2,TRUE)</f>
        <v>Cruisers Bicycles</v>
      </c>
    </row>
    <row r="21" spans="1:7" x14ac:dyDescent="0.3">
      <c r="A21">
        <v>20</v>
      </c>
      <c r="B21" t="s">
        <v>5327</v>
      </c>
      <c r="C21">
        <v>1</v>
      </c>
      <c r="D21">
        <v>3</v>
      </c>
      <c r="E21">
        <v>2016</v>
      </c>
      <c r="F21">
        <v>599.99</v>
      </c>
      <c r="G21" t="str">
        <f>VLOOKUP(products!D21,categories[#All],2,TRUE)</f>
        <v>Cruisers Bicycles</v>
      </c>
    </row>
    <row r="22" spans="1:7" x14ac:dyDescent="0.3">
      <c r="A22">
        <v>21</v>
      </c>
      <c r="B22" t="s">
        <v>5320</v>
      </c>
      <c r="C22">
        <v>1</v>
      </c>
      <c r="D22">
        <v>1</v>
      </c>
      <c r="E22">
        <v>2016</v>
      </c>
      <c r="F22">
        <v>269.99</v>
      </c>
      <c r="G22" t="str">
        <f>VLOOKUP(products!D22,categories[#All],2,TRUE)</f>
        <v>Children Bicycles</v>
      </c>
    </row>
    <row r="23" spans="1:7" x14ac:dyDescent="0.3">
      <c r="A23">
        <v>22</v>
      </c>
      <c r="B23" t="s">
        <v>5321</v>
      </c>
      <c r="C23">
        <v>1</v>
      </c>
      <c r="D23">
        <v>1</v>
      </c>
      <c r="E23">
        <v>2016</v>
      </c>
      <c r="F23">
        <v>269.99</v>
      </c>
      <c r="G23" t="str">
        <f>VLOOKUP(products!D23,categories[#All],2,TRUE)</f>
        <v>Children Bicycles</v>
      </c>
    </row>
    <row r="24" spans="1:7" x14ac:dyDescent="0.3">
      <c r="A24">
        <v>23</v>
      </c>
      <c r="B24" t="s">
        <v>5328</v>
      </c>
      <c r="C24">
        <v>1</v>
      </c>
      <c r="D24">
        <v>1</v>
      </c>
      <c r="E24">
        <v>2016</v>
      </c>
      <c r="F24">
        <v>299.99</v>
      </c>
      <c r="G24" t="str">
        <f>VLOOKUP(products!D24,categories[#All],2,TRUE)</f>
        <v>Children Bicycles</v>
      </c>
    </row>
    <row r="25" spans="1:7" x14ac:dyDescent="0.3">
      <c r="A25">
        <v>24</v>
      </c>
      <c r="B25" t="s">
        <v>5319</v>
      </c>
      <c r="C25">
        <v>1</v>
      </c>
      <c r="D25">
        <v>2</v>
      </c>
      <c r="E25">
        <v>2016</v>
      </c>
      <c r="F25">
        <v>549.99</v>
      </c>
      <c r="G25" t="str">
        <f>VLOOKUP(products!D25,categories[#All],2,TRUE)</f>
        <v>Comfort Bicycles</v>
      </c>
    </row>
    <row r="26" spans="1:7" x14ac:dyDescent="0.3">
      <c r="A26">
        <v>25</v>
      </c>
      <c r="B26" t="s">
        <v>5329</v>
      </c>
      <c r="C26">
        <v>1</v>
      </c>
      <c r="D26">
        <v>2</v>
      </c>
      <c r="E26">
        <v>2016</v>
      </c>
      <c r="F26">
        <v>499.99</v>
      </c>
      <c r="G26" t="str">
        <f>VLOOKUP(products!D26,categories[#All],2,TRUE)</f>
        <v>Comfort Bicycles</v>
      </c>
    </row>
    <row r="27" spans="1:7" x14ac:dyDescent="0.3">
      <c r="A27">
        <v>26</v>
      </c>
      <c r="B27" t="s">
        <v>5323</v>
      </c>
      <c r="C27">
        <v>1</v>
      </c>
      <c r="D27">
        <v>2</v>
      </c>
      <c r="E27">
        <v>2016</v>
      </c>
      <c r="F27">
        <v>599.99</v>
      </c>
      <c r="G27" t="str">
        <f>VLOOKUP(products!D27,categories[#All],2,TRUE)</f>
        <v>Comfort Bicycles</v>
      </c>
    </row>
    <row r="28" spans="1:7" x14ac:dyDescent="0.3">
      <c r="A28">
        <v>27</v>
      </c>
      <c r="B28" t="s">
        <v>5330</v>
      </c>
      <c r="C28">
        <v>8</v>
      </c>
      <c r="D28">
        <v>6</v>
      </c>
      <c r="E28">
        <v>2017</v>
      </c>
      <c r="F28">
        <v>999.99</v>
      </c>
      <c r="G28" t="str">
        <f>VLOOKUP(products!D28,categories[#All],2,TRUE)</f>
        <v>Mountain Bikes</v>
      </c>
    </row>
    <row r="29" spans="1:7" x14ac:dyDescent="0.3">
      <c r="A29">
        <v>28</v>
      </c>
      <c r="B29" t="s">
        <v>5331</v>
      </c>
      <c r="C29">
        <v>8</v>
      </c>
      <c r="D29">
        <v>6</v>
      </c>
      <c r="E29">
        <v>2017</v>
      </c>
      <c r="F29">
        <v>2499.9899999999998</v>
      </c>
      <c r="G29" t="str">
        <f>VLOOKUP(products!D29,categories[#All],2,TRUE)</f>
        <v>Mountain Bikes</v>
      </c>
    </row>
    <row r="30" spans="1:7" x14ac:dyDescent="0.3">
      <c r="A30">
        <v>29</v>
      </c>
      <c r="B30" t="s">
        <v>5332</v>
      </c>
      <c r="C30">
        <v>9</v>
      </c>
      <c r="D30">
        <v>6</v>
      </c>
      <c r="E30">
        <v>2017</v>
      </c>
      <c r="F30">
        <v>999.99</v>
      </c>
      <c r="G30" t="str">
        <f>VLOOKUP(products!D30,categories[#All],2,TRUE)</f>
        <v>Mountain Bikes</v>
      </c>
    </row>
    <row r="31" spans="1:7" x14ac:dyDescent="0.3">
      <c r="A31">
        <v>30</v>
      </c>
      <c r="B31" t="s">
        <v>5333</v>
      </c>
      <c r="C31">
        <v>8</v>
      </c>
      <c r="D31">
        <v>6</v>
      </c>
      <c r="E31">
        <v>2017</v>
      </c>
      <c r="F31">
        <v>999.99</v>
      </c>
      <c r="G31" t="str">
        <f>VLOOKUP(products!D31,categories[#All],2,TRUE)</f>
        <v>Mountain Bikes</v>
      </c>
    </row>
    <row r="32" spans="1:7" x14ac:dyDescent="0.3">
      <c r="A32">
        <v>31</v>
      </c>
      <c r="B32" t="s">
        <v>5334</v>
      </c>
      <c r="C32">
        <v>8</v>
      </c>
      <c r="D32">
        <v>6</v>
      </c>
      <c r="E32">
        <v>2017</v>
      </c>
      <c r="F32">
        <v>1632.99</v>
      </c>
      <c r="G32" t="str">
        <f>VLOOKUP(products!D32,categories[#All],2,TRUE)</f>
        <v>Mountain Bikes</v>
      </c>
    </row>
    <row r="33" spans="1:7" x14ac:dyDescent="0.3">
      <c r="A33">
        <v>32</v>
      </c>
      <c r="B33" t="s">
        <v>5335</v>
      </c>
      <c r="C33">
        <v>9</v>
      </c>
      <c r="D33">
        <v>6</v>
      </c>
      <c r="E33">
        <v>2017</v>
      </c>
      <c r="F33">
        <v>469.99</v>
      </c>
      <c r="G33" t="str">
        <f>VLOOKUP(products!D33,categories[#All],2,TRUE)</f>
        <v>Mountain Bikes</v>
      </c>
    </row>
    <row r="34" spans="1:7" x14ac:dyDescent="0.3">
      <c r="A34">
        <v>33</v>
      </c>
      <c r="B34" t="s">
        <v>5336</v>
      </c>
      <c r="C34">
        <v>8</v>
      </c>
      <c r="D34">
        <v>6</v>
      </c>
      <c r="E34">
        <v>2017</v>
      </c>
      <c r="F34">
        <v>469.99</v>
      </c>
      <c r="G34" t="str">
        <f>VLOOKUP(products!D34,categories[#All],2,TRUE)</f>
        <v>Mountain Bikes</v>
      </c>
    </row>
    <row r="35" spans="1:7" x14ac:dyDescent="0.3">
      <c r="A35">
        <v>34</v>
      </c>
      <c r="B35" t="s">
        <v>5337</v>
      </c>
      <c r="C35">
        <v>9</v>
      </c>
      <c r="D35">
        <v>6</v>
      </c>
      <c r="E35">
        <v>2017</v>
      </c>
      <c r="F35">
        <v>469.99</v>
      </c>
      <c r="G35" t="str">
        <f>VLOOKUP(products!D35,categories[#All],2,TRUE)</f>
        <v>Mountain Bikes</v>
      </c>
    </row>
    <row r="36" spans="1:7" x14ac:dyDescent="0.3">
      <c r="A36">
        <v>35</v>
      </c>
      <c r="B36" t="s">
        <v>5338</v>
      </c>
      <c r="C36">
        <v>7</v>
      </c>
      <c r="D36">
        <v>6</v>
      </c>
      <c r="E36">
        <v>2017</v>
      </c>
      <c r="F36">
        <v>832.99</v>
      </c>
      <c r="G36" t="str">
        <f>VLOOKUP(products!D36,categories[#All],2,TRUE)</f>
        <v>Mountain Bikes</v>
      </c>
    </row>
    <row r="37" spans="1:7" x14ac:dyDescent="0.3">
      <c r="A37">
        <v>36</v>
      </c>
      <c r="B37" t="s">
        <v>5339</v>
      </c>
      <c r="C37">
        <v>8</v>
      </c>
      <c r="D37">
        <v>6</v>
      </c>
      <c r="E37">
        <v>2017</v>
      </c>
      <c r="F37">
        <v>832.99</v>
      </c>
      <c r="G37" t="str">
        <f>VLOOKUP(products!D37,categories[#All],2,TRUE)</f>
        <v>Mountain Bikes</v>
      </c>
    </row>
    <row r="38" spans="1:7" x14ac:dyDescent="0.3">
      <c r="A38">
        <v>37</v>
      </c>
      <c r="B38" t="s">
        <v>5340</v>
      </c>
      <c r="C38">
        <v>2</v>
      </c>
      <c r="D38">
        <v>6</v>
      </c>
      <c r="E38">
        <v>2017</v>
      </c>
      <c r="F38">
        <v>379.99</v>
      </c>
      <c r="G38" t="str">
        <f>VLOOKUP(products!D38,categories[#All],2,TRUE)</f>
        <v>Mountain Bikes</v>
      </c>
    </row>
    <row r="39" spans="1:7" x14ac:dyDescent="0.3">
      <c r="A39">
        <v>38</v>
      </c>
      <c r="B39" t="s">
        <v>5341</v>
      </c>
      <c r="C39">
        <v>2</v>
      </c>
      <c r="D39">
        <v>6</v>
      </c>
      <c r="E39">
        <v>2017</v>
      </c>
      <c r="F39">
        <v>549.99</v>
      </c>
      <c r="G39" t="str">
        <f>VLOOKUP(products!D39,categories[#All],2,TRUE)</f>
        <v>Mountain Bikes</v>
      </c>
    </row>
    <row r="40" spans="1:7" x14ac:dyDescent="0.3">
      <c r="A40">
        <v>39</v>
      </c>
      <c r="B40" t="s">
        <v>5342</v>
      </c>
      <c r="C40">
        <v>9</v>
      </c>
      <c r="D40">
        <v>6</v>
      </c>
      <c r="E40">
        <v>2017</v>
      </c>
      <c r="F40">
        <v>1499.99</v>
      </c>
      <c r="G40" t="str">
        <f>VLOOKUP(products!D40,categories[#All],2,TRUE)</f>
        <v>Mountain Bikes</v>
      </c>
    </row>
    <row r="41" spans="1:7" x14ac:dyDescent="0.3">
      <c r="A41">
        <v>40</v>
      </c>
      <c r="B41" t="s">
        <v>5343</v>
      </c>
      <c r="C41">
        <v>9</v>
      </c>
      <c r="D41">
        <v>6</v>
      </c>
      <c r="E41">
        <v>2017</v>
      </c>
      <c r="F41">
        <v>4999.99</v>
      </c>
      <c r="G41" t="str">
        <f>VLOOKUP(products!D41,categories[#All],2,TRUE)</f>
        <v>Mountain Bikes</v>
      </c>
    </row>
    <row r="42" spans="1:7" x14ac:dyDescent="0.3">
      <c r="A42">
        <v>41</v>
      </c>
      <c r="B42" t="s">
        <v>5344</v>
      </c>
      <c r="C42">
        <v>2</v>
      </c>
      <c r="D42">
        <v>6</v>
      </c>
      <c r="E42">
        <v>2017</v>
      </c>
      <c r="F42">
        <v>1469.99</v>
      </c>
      <c r="G42" t="str">
        <f>VLOOKUP(products!D42,categories[#All],2,TRUE)</f>
        <v>Mountain Bikes</v>
      </c>
    </row>
    <row r="43" spans="1:7" x14ac:dyDescent="0.3">
      <c r="A43">
        <v>42</v>
      </c>
      <c r="B43" t="s">
        <v>5345</v>
      </c>
      <c r="C43">
        <v>9</v>
      </c>
      <c r="D43">
        <v>6</v>
      </c>
      <c r="E43">
        <v>2017</v>
      </c>
      <c r="F43">
        <v>2299.9899999999998</v>
      </c>
      <c r="G43" t="str">
        <f>VLOOKUP(products!D43,categories[#All],2,TRUE)</f>
        <v>Mountain Bikes</v>
      </c>
    </row>
    <row r="44" spans="1:7" x14ac:dyDescent="0.3">
      <c r="A44">
        <v>43</v>
      </c>
      <c r="B44" t="s">
        <v>5346</v>
      </c>
      <c r="C44">
        <v>9</v>
      </c>
      <c r="D44">
        <v>6</v>
      </c>
      <c r="E44">
        <v>2017</v>
      </c>
      <c r="F44">
        <v>5299.99</v>
      </c>
      <c r="G44" t="str">
        <f>VLOOKUP(products!D44,categories[#All],2,TRUE)</f>
        <v>Mountain Bikes</v>
      </c>
    </row>
    <row r="45" spans="1:7" x14ac:dyDescent="0.3">
      <c r="A45">
        <v>44</v>
      </c>
      <c r="B45" t="s">
        <v>5347</v>
      </c>
      <c r="C45">
        <v>2</v>
      </c>
      <c r="D45">
        <v>6</v>
      </c>
      <c r="E45">
        <v>2017</v>
      </c>
      <c r="F45">
        <v>539.99</v>
      </c>
      <c r="G45" t="str">
        <f>VLOOKUP(products!D45,categories[#All],2,TRUE)</f>
        <v>Mountain Bikes</v>
      </c>
    </row>
    <row r="46" spans="1:7" x14ac:dyDescent="0.3">
      <c r="A46">
        <v>45</v>
      </c>
      <c r="B46" t="s">
        <v>5348</v>
      </c>
      <c r="C46">
        <v>2</v>
      </c>
      <c r="D46">
        <v>6</v>
      </c>
      <c r="E46">
        <v>2017</v>
      </c>
      <c r="F46">
        <v>869.99</v>
      </c>
      <c r="G46" t="str">
        <f>VLOOKUP(products!D46,categories[#All],2,TRUE)</f>
        <v>Mountain Bikes</v>
      </c>
    </row>
    <row r="47" spans="1:7" x14ac:dyDescent="0.3">
      <c r="A47">
        <v>46</v>
      </c>
      <c r="B47" t="s">
        <v>5349</v>
      </c>
      <c r="C47">
        <v>2</v>
      </c>
      <c r="D47">
        <v>6</v>
      </c>
      <c r="E47">
        <v>2017</v>
      </c>
      <c r="F47">
        <v>1409.99</v>
      </c>
      <c r="G47" t="str">
        <f>VLOOKUP(products!D47,categories[#All],2,TRUE)</f>
        <v>Mountain Bikes</v>
      </c>
    </row>
    <row r="48" spans="1:7" x14ac:dyDescent="0.3">
      <c r="A48">
        <v>47</v>
      </c>
      <c r="B48" t="s">
        <v>5350</v>
      </c>
      <c r="C48">
        <v>9</v>
      </c>
      <c r="D48">
        <v>6</v>
      </c>
      <c r="E48">
        <v>2017</v>
      </c>
      <c r="F48">
        <v>5299.99</v>
      </c>
      <c r="G48" t="str">
        <f>VLOOKUP(products!D48,categories[#All],2,TRUE)</f>
        <v>Mountain Bikes</v>
      </c>
    </row>
    <row r="49" spans="1:7" x14ac:dyDescent="0.3">
      <c r="A49">
        <v>48</v>
      </c>
      <c r="B49" t="s">
        <v>5351</v>
      </c>
      <c r="C49">
        <v>9</v>
      </c>
      <c r="D49">
        <v>7</v>
      </c>
      <c r="E49">
        <v>2017</v>
      </c>
      <c r="F49">
        <v>1499.99</v>
      </c>
      <c r="G49" t="str">
        <f>VLOOKUP(products!D49,categories[#All],2,TRUE)</f>
        <v>Road Bikes</v>
      </c>
    </row>
    <row r="50" spans="1:7" x14ac:dyDescent="0.3">
      <c r="A50">
        <v>49</v>
      </c>
      <c r="B50" t="s">
        <v>5352</v>
      </c>
      <c r="C50">
        <v>9</v>
      </c>
      <c r="D50">
        <v>7</v>
      </c>
      <c r="E50">
        <v>2017</v>
      </c>
      <c r="F50">
        <v>3499.99</v>
      </c>
      <c r="G50" t="str">
        <f>VLOOKUP(products!D50,categories[#All],2,TRUE)</f>
        <v>Road Bikes</v>
      </c>
    </row>
    <row r="51" spans="1:7" x14ac:dyDescent="0.3">
      <c r="A51">
        <v>50</v>
      </c>
      <c r="B51" t="s">
        <v>5353</v>
      </c>
      <c r="C51">
        <v>9</v>
      </c>
      <c r="D51">
        <v>7</v>
      </c>
      <c r="E51">
        <v>2017</v>
      </c>
      <c r="F51">
        <v>5999.99</v>
      </c>
      <c r="G51" t="str">
        <f>VLOOKUP(products!D51,categories[#All],2,TRUE)</f>
        <v>Road Bikes</v>
      </c>
    </row>
    <row r="52" spans="1:7" x14ac:dyDescent="0.3">
      <c r="A52">
        <v>51</v>
      </c>
      <c r="B52" t="s">
        <v>5354</v>
      </c>
      <c r="C52">
        <v>9</v>
      </c>
      <c r="D52">
        <v>7</v>
      </c>
      <c r="E52">
        <v>2017</v>
      </c>
      <c r="F52">
        <v>6499.99</v>
      </c>
      <c r="G52" t="str">
        <f>VLOOKUP(products!D52,categories[#All],2,TRUE)</f>
        <v>Road Bikes</v>
      </c>
    </row>
    <row r="53" spans="1:7" x14ac:dyDescent="0.3">
      <c r="A53">
        <v>52</v>
      </c>
      <c r="B53" t="s">
        <v>5355</v>
      </c>
      <c r="C53">
        <v>8</v>
      </c>
      <c r="D53">
        <v>7</v>
      </c>
      <c r="E53">
        <v>2017</v>
      </c>
      <c r="F53">
        <v>875.99</v>
      </c>
      <c r="G53" t="str">
        <f>VLOOKUP(products!D53,categories[#All],2,TRUE)</f>
        <v>Road Bikes</v>
      </c>
    </row>
    <row r="54" spans="1:7" x14ac:dyDescent="0.3">
      <c r="A54">
        <v>53</v>
      </c>
      <c r="B54" t="s">
        <v>5356</v>
      </c>
      <c r="C54">
        <v>8</v>
      </c>
      <c r="D54">
        <v>7</v>
      </c>
      <c r="E54">
        <v>2017</v>
      </c>
      <c r="F54">
        <v>749.99</v>
      </c>
      <c r="G54" t="str">
        <f>VLOOKUP(products!D54,categories[#All],2,TRUE)</f>
        <v>Road Bikes</v>
      </c>
    </row>
    <row r="55" spans="1:7" x14ac:dyDescent="0.3">
      <c r="A55">
        <v>54</v>
      </c>
      <c r="B55" t="s">
        <v>5357</v>
      </c>
      <c r="C55">
        <v>9</v>
      </c>
      <c r="D55">
        <v>7</v>
      </c>
      <c r="E55">
        <v>2017</v>
      </c>
      <c r="F55">
        <v>3199.99</v>
      </c>
      <c r="G55" t="str">
        <f>VLOOKUP(products!D55,categories[#All],2,TRUE)</f>
        <v>Road Bikes</v>
      </c>
    </row>
    <row r="56" spans="1:7" x14ac:dyDescent="0.3">
      <c r="A56">
        <v>55</v>
      </c>
      <c r="B56" t="s">
        <v>5358</v>
      </c>
      <c r="C56">
        <v>9</v>
      </c>
      <c r="D56">
        <v>7</v>
      </c>
      <c r="E56">
        <v>2017</v>
      </c>
      <c r="F56">
        <v>2699.99</v>
      </c>
      <c r="G56" t="str">
        <f>VLOOKUP(products!D56,categories[#All],2,TRUE)</f>
        <v>Road Bikes</v>
      </c>
    </row>
    <row r="57" spans="1:7" x14ac:dyDescent="0.3">
      <c r="A57">
        <v>56</v>
      </c>
      <c r="B57" t="s">
        <v>5359</v>
      </c>
      <c r="C57">
        <v>9</v>
      </c>
      <c r="D57">
        <v>7</v>
      </c>
      <c r="E57">
        <v>2017</v>
      </c>
      <c r="F57">
        <v>5499.99</v>
      </c>
      <c r="G57" t="str">
        <f>VLOOKUP(products!D57,categories[#All],2,TRUE)</f>
        <v>Road Bikes</v>
      </c>
    </row>
    <row r="58" spans="1:7" x14ac:dyDescent="0.3">
      <c r="A58">
        <v>57</v>
      </c>
      <c r="B58" t="s">
        <v>5360</v>
      </c>
      <c r="C58">
        <v>9</v>
      </c>
      <c r="D58">
        <v>7</v>
      </c>
      <c r="E58">
        <v>2017</v>
      </c>
      <c r="F58">
        <v>1999.99</v>
      </c>
      <c r="G58" t="str">
        <f>VLOOKUP(products!D58,categories[#All],2,TRUE)</f>
        <v>Road Bikes</v>
      </c>
    </row>
    <row r="59" spans="1:7" x14ac:dyDescent="0.3">
      <c r="A59">
        <v>58</v>
      </c>
      <c r="B59" t="s">
        <v>5361</v>
      </c>
      <c r="C59">
        <v>9</v>
      </c>
      <c r="D59">
        <v>7</v>
      </c>
      <c r="E59">
        <v>2017</v>
      </c>
      <c r="F59">
        <v>4999.99</v>
      </c>
      <c r="G59" t="str">
        <f>VLOOKUP(products!D59,categories[#All],2,TRUE)</f>
        <v>Road Bikes</v>
      </c>
    </row>
    <row r="60" spans="1:7" x14ac:dyDescent="0.3">
      <c r="A60">
        <v>59</v>
      </c>
      <c r="B60" t="s">
        <v>5362</v>
      </c>
      <c r="C60">
        <v>9</v>
      </c>
      <c r="D60">
        <v>7</v>
      </c>
      <c r="E60">
        <v>2017</v>
      </c>
      <c r="F60">
        <v>2599.9899999999998</v>
      </c>
      <c r="G60" t="str">
        <f>VLOOKUP(products!D60,categories[#All],2,TRUE)</f>
        <v>Road Bikes</v>
      </c>
    </row>
    <row r="61" spans="1:7" x14ac:dyDescent="0.3">
      <c r="A61">
        <v>60</v>
      </c>
      <c r="B61" t="s">
        <v>5363</v>
      </c>
      <c r="C61">
        <v>7</v>
      </c>
      <c r="D61">
        <v>5</v>
      </c>
      <c r="E61">
        <v>2017</v>
      </c>
      <c r="F61">
        <v>1559.99</v>
      </c>
      <c r="G61" t="str">
        <f>VLOOKUP(products!D61,categories[#All],2,TRUE)</f>
        <v>Electric Bikes</v>
      </c>
    </row>
    <row r="62" spans="1:7" x14ac:dyDescent="0.3">
      <c r="A62">
        <v>61</v>
      </c>
      <c r="B62" t="s">
        <v>5364</v>
      </c>
      <c r="C62">
        <v>9</v>
      </c>
      <c r="D62">
        <v>5</v>
      </c>
      <c r="E62">
        <v>2017</v>
      </c>
      <c r="F62">
        <v>4999.99</v>
      </c>
      <c r="G62" t="str">
        <f>VLOOKUP(products!D62,categories[#All],2,TRUE)</f>
        <v>Electric Bikes</v>
      </c>
    </row>
    <row r="63" spans="1:7" x14ac:dyDescent="0.3">
      <c r="A63">
        <v>62</v>
      </c>
      <c r="B63" t="s">
        <v>5365</v>
      </c>
      <c r="C63">
        <v>9</v>
      </c>
      <c r="D63">
        <v>4</v>
      </c>
      <c r="E63">
        <v>2017</v>
      </c>
      <c r="F63">
        <v>3499.99</v>
      </c>
      <c r="G63" t="str">
        <f>VLOOKUP(products!D63,categories[#All],2,TRUE)</f>
        <v>Cyclocross Bicycles</v>
      </c>
    </row>
    <row r="64" spans="1:7" x14ac:dyDescent="0.3">
      <c r="A64">
        <v>63</v>
      </c>
      <c r="B64" t="s">
        <v>5366</v>
      </c>
      <c r="C64">
        <v>9</v>
      </c>
      <c r="D64">
        <v>4</v>
      </c>
      <c r="E64">
        <v>2017</v>
      </c>
      <c r="F64">
        <v>3499.99</v>
      </c>
      <c r="G64" t="str">
        <f>VLOOKUP(products!D64,categories[#All],2,TRUE)</f>
        <v>Cyclocross Bicycles</v>
      </c>
    </row>
    <row r="65" spans="1:7" x14ac:dyDescent="0.3">
      <c r="A65">
        <v>64</v>
      </c>
      <c r="B65" t="s">
        <v>5367</v>
      </c>
      <c r="C65">
        <v>1</v>
      </c>
      <c r="D65">
        <v>3</v>
      </c>
      <c r="E65">
        <v>2017</v>
      </c>
      <c r="F65">
        <v>489.99</v>
      </c>
      <c r="G65" t="str">
        <f>VLOOKUP(products!D65,categories[#All],2,TRUE)</f>
        <v>Cruisers Bicycles</v>
      </c>
    </row>
    <row r="66" spans="1:7" x14ac:dyDescent="0.3">
      <c r="A66">
        <v>65</v>
      </c>
      <c r="B66" t="s">
        <v>5368</v>
      </c>
      <c r="C66">
        <v>7</v>
      </c>
      <c r="D66">
        <v>3</v>
      </c>
      <c r="E66">
        <v>2017</v>
      </c>
      <c r="F66">
        <v>346.99</v>
      </c>
      <c r="G66" t="str">
        <f>VLOOKUP(products!D66,categories[#All],2,TRUE)</f>
        <v>Cruisers Bicycles</v>
      </c>
    </row>
    <row r="67" spans="1:7" x14ac:dyDescent="0.3">
      <c r="A67">
        <v>66</v>
      </c>
      <c r="B67" t="s">
        <v>5369</v>
      </c>
      <c r="C67">
        <v>7</v>
      </c>
      <c r="D67">
        <v>3</v>
      </c>
      <c r="E67">
        <v>2017</v>
      </c>
      <c r="F67">
        <v>250.99</v>
      </c>
      <c r="G67" t="str">
        <f>VLOOKUP(products!D67,categories[#All],2,TRUE)</f>
        <v>Cruisers Bicycles</v>
      </c>
    </row>
    <row r="68" spans="1:7" x14ac:dyDescent="0.3">
      <c r="A68">
        <v>67</v>
      </c>
      <c r="B68" t="s">
        <v>5370</v>
      </c>
      <c r="C68">
        <v>7</v>
      </c>
      <c r="D68">
        <v>3</v>
      </c>
      <c r="E68">
        <v>2017</v>
      </c>
      <c r="F68">
        <v>250.99</v>
      </c>
      <c r="G68" t="str">
        <f>VLOOKUP(products!D68,categories[#All],2,TRUE)</f>
        <v>Cruisers Bicycles</v>
      </c>
    </row>
    <row r="69" spans="1:7" x14ac:dyDescent="0.3">
      <c r="A69">
        <v>68</v>
      </c>
      <c r="B69" t="s">
        <v>5371</v>
      </c>
      <c r="C69">
        <v>7</v>
      </c>
      <c r="D69">
        <v>3</v>
      </c>
      <c r="E69">
        <v>2017</v>
      </c>
      <c r="F69">
        <v>449.99</v>
      </c>
      <c r="G69" t="str">
        <f>VLOOKUP(products!D69,categories[#All],2,TRUE)</f>
        <v>Cruisers Bicycles</v>
      </c>
    </row>
    <row r="70" spans="1:7" x14ac:dyDescent="0.3">
      <c r="A70">
        <v>69</v>
      </c>
      <c r="B70" t="s">
        <v>5372</v>
      </c>
      <c r="C70">
        <v>7</v>
      </c>
      <c r="D70">
        <v>3</v>
      </c>
      <c r="E70">
        <v>2017</v>
      </c>
      <c r="F70">
        <v>416.99</v>
      </c>
      <c r="G70" t="str">
        <f>VLOOKUP(products!D70,categories[#All],2,TRUE)</f>
        <v>Cruisers Bicycles</v>
      </c>
    </row>
    <row r="71" spans="1:7" x14ac:dyDescent="0.3">
      <c r="A71">
        <v>70</v>
      </c>
      <c r="B71" t="s">
        <v>5373</v>
      </c>
      <c r="C71">
        <v>1</v>
      </c>
      <c r="D71">
        <v>3</v>
      </c>
      <c r="E71">
        <v>2017</v>
      </c>
      <c r="F71">
        <v>659.99</v>
      </c>
      <c r="G71" t="str">
        <f>VLOOKUP(products!D71,categories[#All],2,TRUE)</f>
        <v>Cruisers Bicycles</v>
      </c>
    </row>
    <row r="72" spans="1:7" x14ac:dyDescent="0.3">
      <c r="A72">
        <v>71</v>
      </c>
      <c r="B72" t="s">
        <v>5374</v>
      </c>
      <c r="C72">
        <v>7</v>
      </c>
      <c r="D72">
        <v>3</v>
      </c>
      <c r="E72">
        <v>2017</v>
      </c>
      <c r="F72">
        <v>416.99</v>
      </c>
      <c r="G72" t="str">
        <f>VLOOKUP(products!D72,categories[#All],2,TRUE)</f>
        <v>Cruisers Bicycles</v>
      </c>
    </row>
    <row r="73" spans="1:7" x14ac:dyDescent="0.3">
      <c r="A73">
        <v>72</v>
      </c>
      <c r="B73" t="s">
        <v>5375</v>
      </c>
      <c r="C73">
        <v>7</v>
      </c>
      <c r="D73">
        <v>3</v>
      </c>
      <c r="E73">
        <v>2017</v>
      </c>
      <c r="F73">
        <v>619.99</v>
      </c>
      <c r="G73" t="str">
        <f>VLOOKUP(products!D73,categories[#All],2,TRUE)</f>
        <v>Cruisers Bicycles</v>
      </c>
    </row>
    <row r="74" spans="1:7" x14ac:dyDescent="0.3">
      <c r="A74">
        <v>73</v>
      </c>
      <c r="B74" t="s">
        <v>5376</v>
      </c>
      <c r="C74">
        <v>7</v>
      </c>
      <c r="D74">
        <v>3</v>
      </c>
      <c r="E74">
        <v>2017</v>
      </c>
      <c r="F74">
        <v>749.99</v>
      </c>
      <c r="G74" t="str">
        <f>VLOOKUP(products!D74,categories[#All],2,TRUE)</f>
        <v>Cruisers Bicycles</v>
      </c>
    </row>
    <row r="75" spans="1:7" x14ac:dyDescent="0.3">
      <c r="A75">
        <v>74</v>
      </c>
      <c r="B75" t="s">
        <v>5377</v>
      </c>
      <c r="C75">
        <v>1</v>
      </c>
      <c r="D75">
        <v>3</v>
      </c>
      <c r="E75">
        <v>2017</v>
      </c>
      <c r="F75">
        <v>439.99</v>
      </c>
      <c r="G75" t="str">
        <f>VLOOKUP(products!D75,categories[#All],2,TRUE)</f>
        <v>Cruisers Bicycles</v>
      </c>
    </row>
    <row r="76" spans="1:7" x14ac:dyDescent="0.3">
      <c r="A76">
        <v>75</v>
      </c>
      <c r="B76" t="s">
        <v>5378</v>
      </c>
      <c r="C76">
        <v>1</v>
      </c>
      <c r="D76">
        <v>3</v>
      </c>
      <c r="E76">
        <v>2017</v>
      </c>
      <c r="F76">
        <v>599.99</v>
      </c>
      <c r="G76" t="str">
        <f>VLOOKUP(products!D76,categories[#All],2,TRUE)</f>
        <v>Cruisers Bicycles</v>
      </c>
    </row>
    <row r="77" spans="1:7" x14ac:dyDescent="0.3">
      <c r="A77">
        <v>76</v>
      </c>
      <c r="B77" t="s">
        <v>5379</v>
      </c>
      <c r="C77">
        <v>1</v>
      </c>
      <c r="D77">
        <v>3</v>
      </c>
      <c r="E77">
        <v>2017</v>
      </c>
      <c r="F77">
        <v>299.99</v>
      </c>
      <c r="G77" t="str">
        <f>VLOOKUP(products!D77,categories[#All],2,TRUE)</f>
        <v>Cruisers Bicycles</v>
      </c>
    </row>
    <row r="78" spans="1:7" x14ac:dyDescent="0.3">
      <c r="A78">
        <v>77</v>
      </c>
      <c r="B78" t="s">
        <v>5380</v>
      </c>
      <c r="C78">
        <v>1</v>
      </c>
      <c r="D78">
        <v>3</v>
      </c>
      <c r="E78">
        <v>2017</v>
      </c>
      <c r="F78">
        <v>799.99</v>
      </c>
      <c r="G78" t="str">
        <f>VLOOKUP(products!D78,categories[#All],2,TRUE)</f>
        <v>Cruisers Bicycles</v>
      </c>
    </row>
    <row r="79" spans="1:7" x14ac:dyDescent="0.3">
      <c r="A79">
        <v>78</v>
      </c>
      <c r="B79" t="s">
        <v>5381</v>
      </c>
      <c r="C79">
        <v>7</v>
      </c>
      <c r="D79">
        <v>3</v>
      </c>
      <c r="E79">
        <v>2017</v>
      </c>
      <c r="F79">
        <v>647.99</v>
      </c>
      <c r="G79" t="str">
        <f>VLOOKUP(products!D79,categories[#All],2,TRUE)</f>
        <v>Cruisers Bicycles</v>
      </c>
    </row>
    <row r="80" spans="1:7" x14ac:dyDescent="0.3">
      <c r="A80">
        <v>79</v>
      </c>
      <c r="B80" t="s">
        <v>5382</v>
      </c>
      <c r="C80">
        <v>7</v>
      </c>
      <c r="D80">
        <v>3</v>
      </c>
      <c r="E80">
        <v>2017</v>
      </c>
      <c r="F80">
        <v>402.99</v>
      </c>
      <c r="G80" t="str">
        <f>VLOOKUP(products!D80,categories[#All],2,TRUE)</f>
        <v>Cruisers Bicycles</v>
      </c>
    </row>
    <row r="81" spans="1:7" x14ac:dyDescent="0.3">
      <c r="A81">
        <v>80</v>
      </c>
      <c r="B81" t="s">
        <v>5383</v>
      </c>
      <c r="C81">
        <v>7</v>
      </c>
      <c r="D81">
        <v>3</v>
      </c>
      <c r="E81">
        <v>2017</v>
      </c>
      <c r="F81">
        <v>761.99</v>
      </c>
      <c r="G81" t="str">
        <f>VLOOKUP(products!D81,categories[#All],2,TRUE)</f>
        <v>Cruisers Bicycles</v>
      </c>
    </row>
    <row r="82" spans="1:7" x14ac:dyDescent="0.3">
      <c r="A82">
        <v>81</v>
      </c>
      <c r="B82" t="s">
        <v>5384</v>
      </c>
      <c r="C82">
        <v>1</v>
      </c>
      <c r="D82">
        <v>3</v>
      </c>
      <c r="E82">
        <v>2017</v>
      </c>
      <c r="F82">
        <v>1099.99</v>
      </c>
      <c r="G82" t="str">
        <f>VLOOKUP(products!D82,categories[#All],2,TRUE)</f>
        <v>Cruisers Bicycles</v>
      </c>
    </row>
    <row r="83" spans="1:7" x14ac:dyDescent="0.3">
      <c r="A83">
        <v>82</v>
      </c>
      <c r="B83" t="s">
        <v>5385</v>
      </c>
      <c r="C83">
        <v>1</v>
      </c>
      <c r="D83">
        <v>3</v>
      </c>
      <c r="E83">
        <v>2017</v>
      </c>
      <c r="F83">
        <v>659.99</v>
      </c>
      <c r="G83" t="str">
        <f>VLOOKUP(products!D83,categories[#All],2,TRUE)</f>
        <v>Cruisers Bicycles</v>
      </c>
    </row>
    <row r="84" spans="1:7" x14ac:dyDescent="0.3">
      <c r="A84">
        <v>83</v>
      </c>
      <c r="B84" t="s">
        <v>5386</v>
      </c>
      <c r="C84">
        <v>9</v>
      </c>
      <c r="D84">
        <v>1</v>
      </c>
      <c r="E84">
        <v>2017</v>
      </c>
      <c r="F84">
        <v>149.99</v>
      </c>
      <c r="G84" t="str">
        <f>VLOOKUP(products!D84,categories[#All],2,TRUE)</f>
        <v>Children Bicycles</v>
      </c>
    </row>
    <row r="85" spans="1:7" x14ac:dyDescent="0.3">
      <c r="A85">
        <v>84</v>
      </c>
      <c r="B85" t="s">
        <v>5387</v>
      </c>
      <c r="C85">
        <v>7</v>
      </c>
      <c r="D85">
        <v>1</v>
      </c>
      <c r="E85">
        <v>2017</v>
      </c>
      <c r="F85">
        <v>109.99</v>
      </c>
      <c r="G85" t="str">
        <f>VLOOKUP(products!D85,categories[#All],2,TRUE)</f>
        <v>Children Bicycles</v>
      </c>
    </row>
    <row r="86" spans="1:7" x14ac:dyDescent="0.3">
      <c r="A86">
        <v>85</v>
      </c>
      <c r="B86" t="s">
        <v>5388</v>
      </c>
      <c r="C86">
        <v>2</v>
      </c>
      <c r="D86">
        <v>1</v>
      </c>
      <c r="E86">
        <v>2017</v>
      </c>
      <c r="F86">
        <v>329.99</v>
      </c>
      <c r="G86" t="str">
        <f>VLOOKUP(products!D86,categories[#All],2,TRUE)</f>
        <v>Children Bicycles</v>
      </c>
    </row>
    <row r="87" spans="1:7" x14ac:dyDescent="0.3">
      <c r="A87">
        <v>86</v>
      </c>
      <c r="B87" t="s">
        <v>5389</v>
      </c>
      <c r="C87">
        <v>9</v>
      </c>
      <c r="D87">
        <v>1</v>
      </c>
      <c r="E87">
        <v>2017</v>
      </c>
      <c r="F87">
        <v>149.99</v>
      </c>
      <c r="G87" t="str">
        <f>VLOOKUP(products!D87,categories[#All],2,TRUE)</f>
        <v>Children Bicycles</v>
      </c>
    </row>
    <row r="88" spans="1:7" x14ac:dyDescent="0.3">
      <c r="A88">
        <v>87</v>
      </c>
      <c r="B88" t="s">
        <v>5390</v>
      </c>
      <c r="C88">
        <v>9</v>
      </c>
      <c r="D88">
        <v>1</v>
      </c>
      <c r="E88">
        <v>2017</v>
      </c>
      <c r="F88">
        <v>189.99</v>
      </c>
      <c r="G88" t="str">
        <f>VLOOKUP(products!D88,categories[#All],2,TRUE)</f>
        <v>Children Bicycles</v>
      </c>
    </row>
    <row r="89" spans="1:7" x14ac:dyDescent="0.3">
      <c r="A89">
        <v>88</v>
      </c>
      <c r="B89" t="s">
        <v>5391</v>
      </c>
      <c r="C89">
        <v>9</v>
      </c>
      <c r="D89">
        <v>1</v>
      </c>
      <c r="E89">
        <v>2017</v>
      </c>
      <c r="F89">
        <v>189.99</v>
      </c>
      <c r="G89" t="str">
        <f>VLOOKUP(products!D89,categories[#All],2,TRUE)</f>
        <v>Children Bicycles</v>
      </c>
    </row>
    <row r="90" spans="1:7" x14ac:dyDescent="0.3">
      <c r="A90">
        <v>89</v>
      </c>
      <c r="B90" t="s">
        <v>5392</v>
      </c>
      <c r="C90">
        <v>9</v>
      </c>
      <c r="D90">
        <v>1</v>
      </c>
      <c r="E90">
        <v>2017</v>
      </c>
      <c r="F90">
        <v>209.99</v>
      </c>
      <c r="G90" t="str">
        <f>VLOOKUP(products!D90,categories[#All],2,TRUE)</f>
        <v>Children Bicycles</v>
      </c>
    </row>
    <row r="91" spans="1:7" x14ac:dyDescent="0.3">
      <c r="A91">
        <v>90</v>
      </c>
      <c r="B91" t="s">
        <v>5393</v>
      </c>
      <c r="C91">
        <v>9</v>
      </c>
      <c r="D91">
        <v>1</v>
      </c>
      <c r="E91">
        <v>2017</v>
      </c>
      <c r="F91">
        <v>209.99</v>
      </c>
      <c r="G91" t="str">
        <f>VLOOKUP(products!D91,categories[#All],2,TRUE)</f>
        <v>Children Bicycles</v>
      </c>
    </row>
    <row r="92" spans="1:7" x14ac:dyDescent="0.3">
      <c r="A92">
        <v>91</v>
      </c>
      <c r="B92" t="s">
        <v>5394</v>
      </c>
      <c r="C92">
        <v>9</v>
      </c>
      <c r="D92">
        <v>1</v>
      </c>
      <c r="E92">
        <v>2017</v>
      </c>
      <c r="F92">
        <v>349.99</v>
      </c>
      <c r="G92" t="str">
        <f>VLOOKUP(products!D92,categories[#All],2,TRUE)</f>
        <v>Children Bicycles</v>
      </c>
    </row>
    <row r="93" spans="1:7" x14ac:dyDescent="0.3">
      <c r="A93">
        <v>92</v>
      </c>
      <c r="B93" t="s">
        <v>5395</v>
      </c>
      <c r="C93">
        <v>2</v>
      </c>
      <c r="D93">
        <v>1</v>
      </c>
      <c r="E93">
        <v>2017</v>
      </c>
      <c r="F93">
        <v>209.99</v>
      </c>
      <c r="G93" t="str">
        <f>VLOOKUP(products!D93,categories[#All],2,TRUE)</f>
        <v>Children Bicycles</v>
      </c>
    </row>
    <row r="94" spans="1:7" x14ac:dyDescent="0.3">
      <c r="A94">
        <v>93</v>
      </c>
      <c r="B94" t="s">
        <v>5396</v>
      </c>
      <c r="C94">
        <v>2</v>
      </c>
      <c r="D94">
        <v>1</v>
      </c>
      <c r="E94">
        <v>2017</v>
      </c>
      <c r="F94">
        <v>209.99</v>
      </c>
      <c r="G94" t="str">
        <f>VLOOKUP(products!D94,categories[#All],2,TRUE)</f>
        <v>Children Bicycles</v>
      </c>
    </row>
    <row r="95" spans="1:7" x14ac:dyDescent="0.3">
      <c r="A95">
        <v>94</v>
      </c>
      <c r="B95" t="s">
        <v>5397</v>
      </c>
      <c r="C95">
        <v>2</v>
      </c>
      <c r="D95">
        <v>1</v>
      </c>
      <c r="E95">
        <v>2017</v>
      </c>
      <c r="F95">
        <v>249.99</v>
      </c>
      <c r="G95" t="str">
        <f>VLOOKUP(products!D95,categories[#All],2,TRUE)</f>
        <v>Children Bicycles</v>
      </c>
    </row>
    <row r="96" spans="1:7" x14ac:dyDescent="0.3">
      <c r="A96">
        <v>95</v>
      </c>
      <c r="B96" t="s">
        <v>5379</v>
      </c>
      <c r="C96">
        <v>1</v>
      </c>
      <c r="D96">
        <v>1</v>
      </c>
      <c r="E96">
        <v>2017</v>
      </c>
      <c r="F96">
        <v>299.99</v>
      </c>
      <c r="G96" t="str">
        <f>VLOOKUP(products!D96,categories[#All],2,TRUE)</f>
        <v>Children Bicycles</v>
      </c>
    </row>
    <row r="97" spans="1:7" x14ac:dyDescent="0.3">
      <c r="A97">
        <v>96</v>
      </c>
      <c r="B97" t="s">
        <v>5398</v>
      </c>
      <c r="C97">
        <v>1</v>
      </c>
      <c r="D97">
        <v>1</v>
      </c>
      <c r="E97">
        <v>2017</v>
      </c>
      <c r="F97">
        <v>349.99</v>
      </c>
      <c r="G97" t="str">
        <f>VLOOKUP(products!D97,categories[#All],2,TRUE)</f>
        <v>Children Bicycles</v>
      </c>
    </row>
    <row r="98" spans="1:7" x14ac:dyDescent="0.3">
      <c r="A98">
        <v>97</v>
      </c>
      <c r="B98" t="s">
        <v>5399</v>
      </c>
      <c r="C98">
        <v>1</v>
      </c>
      <c r="D98">
        <v>1</v>
      </c>
      <c r="E98">
        <v>2017</v>
      </c>
      <c r="F98">
        <v>349.99</v>
      </c>
      <c r="G98" t="str">
        <f>VLOOKUP(products!D98,categories[#All],2,TRUE)</f>
        <v>Children Bicycles</v>
      </c>
    </row>
    <row r="99" spans="1:7" x14ac:dyDescent="0.3">
      <c r="A99">
        <v>98</v>
      </c>
      <c r="B99" t="s">
        <v>5400</v>
      </c>
      <c r="C99">
        <v>1</v>
      </c>
      <c r="D99">
        <v>1</v>
      </c>
      <c r="E99">
        <v>2017</v>
      </c>
      <c r="F99">
        <v>489.99</v>
      </c>
      <c r="G99" t="str">
        <f>VLOOKUP(products!D99,categories[#All],2,TRUE)</f>
        <v>Children Bicycles</v>
      </c>
    </row>
    <row r="100" spans="1:7" x14ac:dyDescent="0.3">
      <c r="A100">
        <v>99</v>
      </c>
      <c r="B100" t="s">
        <v>5401</v>
      </c>
      <c r="C100">
        <v>1</v>
      </c>
      <c r="D100">
        <v>1</v>
      </c>
      <c r="E100">
        <v>2017</v>
      </c>
      <c r="F100">
        <v>299.99</v>
      </c>
      <c r="G100" t="str">
        <f>VLOOKUP(products!D100,categories[#All],2,TRUE)</f>
        <v>Children Bicycles</v>
      </c>
    </row>
    <row r="101" spans="1:7" x14ac:dyDescent="0.3">
      <c r="A101">
        <v>100</v>
      </c>
      <c r="B101" t="s">
        <v>5402</v>
      </c>
      <c r="C101">
        <v>1</v>
      </c>
      <c r="D101">
        <v>1</v>
      </c>
      <c r="E101">
        <v>2017</v>
      </c>
      <c r="F101">
        <v>489.99</v>
      </c>
      <c r="G101" t="str">
        <f>VLOOKUP(products!D101,categories[#All],2,TRUE)</f>
        <v>Children Bicycles</v>
      </c>
    </row>
    <row r="102" spans="1:7" x14ac:dyDescent="0.3">
      <c r="A102">
        <v>101</v>
      </c>
      <c r="B102" t="s">
        <v>5403</v>
      </c>
      <c r="C102">
        <v>1</v>
      </c>
      <c r="D102">
        <v>1</v>
      </c>
      <c r="E102">
        <v>2017</v>
      </c>
      <c r="F102">
        <v>339.99</v>
      </c>
      <c r="G102" t="str">
        <f>VLOOKUP(products!D102,categories[#All],2,TRUE)</f>
        <v>Children Bicycles</v>
      </c>
    </row>
    <row r="103" spans="1:7" x14ac:dyDescent="0.3">
      <c r="A103">
        <v>102</v>
      </c>
      <c r="B103" t="s">
        <v>5367</v>
      </c>
      <c r="C103">
        <v>1</v>
      </c>
      <c r="D103">
        <v>2</v>
      </c>
      <c r="E103">
        <v>2017</v>
      </c>
      <c r="F103">
        <v>489.99</v>
      </c>
      <c r="G103" t="str">
        <f>VLOOKUP(products!D103,categories[#All],2,TRUE)</f>
        <v>Comfort Bicycles</v>
      </c>
    </row>
    <row r="104" spans="1:7" x14ac:dyDescent="0.3">
      <c r="A104">
        <v>103</v>
      </c>
      <c r="B104" t="s">
        <v>5404</v>
      </c>
      <c r="C104">
        <v>7</v>
      </c>
      <c r="D104">
        <v>2</v>
      </c>
      <c r="E104">
        <v>2017</v>
      </c>
      <c r="F104">
        <v>551.99</v>
      </c>
      <c r="G104" t="str">
        <f>VLOOKUP(products!D104,categories[#All],2,TRUE)</f>
        <v>Comfort Bicycles</v>
      </c>
    </row>
    <row r="105" spans="1:7" x14ac:dyDescent="0.3">
      <c r="A105">
        <v>104</v>
      </c>
      <c r="B105" t="s">
        <v>5405</v>
      </c>
      <c r="C105">
        <v>7</v>
      </c>
      <c r="D105">
        <v>2</v>
      </c>
      <c r="E105">
        <v>2017</v>
      </c>
      <c r="F105">
        <v>481.99</v>
      </c>
      <c r="G105" t="str">
        <f>VLOOKUP(products!D105,categories[#All],2,TRUE)</f>
        <v>Comfort Bicycles</v>
      </c>
    </row>
    <row r="106" spans="1:7" x14ac:dyDescent="0.3">
      <c r="A106">
        <v>105</v>
      </c>
      <c r="B106" t="s">
        <v>5406</v>
      </c>
      <c r="C106">
        <v>7</v>
      </c>
      <c r="D106">
        <v>2</v>
      </c>
      <c r="E106">
        <v>2017</v>
      </c>
      <c r="F106">
        <v>533.99</v>
      </c>
      <c r="G106" t="str">
        <f>VLOOKUP(products!D106,categories[#All],2,TRUE)</f>
        <v>Comfort Bicycles</v>
      </c>
    </row>
    <row r="107" spans="1:7" x14ac:dyDescent="0.3">
      <c r="A107">
        <v>106</v>
      </c>
      <c r="B107" t="s">
        <v>5371</v>
      </c>
      <c r="C107">
        <v>7</v>
      </c>
      <c r="D107">
        <v>2</v>
      </c>
      <c r="E107">
        <v>2017</v>
      </c>
      <c r="F107">
        <v>449.99</v>
      </c>
      <c r="G107" t="str">
        <f>VLOOKUP(products!D107,categories[#All],2,TRUE)</f>
        <v>Comfort Bicycles</v>
      </c>
    </row>
    <row r="108" spans="1:7" x14ac:dyDescent="0.3">
      <c r="A108">
        <v>107</v>
      </c>
      <c r="B108" t="s">
        <v>5372</v>
      </c>
      <c r="C108">
        <v>7</v>
      </c>
      <c r="D108">
        <v>2</v>
      </c>
      <c r="E108">
        <v>2017</v>
      </c>
      <c r="F108">
        <v>416.99</v>
      </c>
      <c r="G108" t="str">
        <f>VLOOKUP(products!D108,categories[#All],2,TRUE)</f>
        <v>Comfort Bicycles</v>
      </c>
    </row>
    <row r="109" spans="1:7" x14ac:dyDescent="0.3">
      <c r="A109">
        <v>108</v>
      </c>
      <c r="B109" t="s">
        <v>5407</v>
      </c>
      <c r="C109">
        <v>7</v>
      </c>
      <c r="D109">
        <v>2</v>
      </c>
      <c r="E109">
        <v>2017</v>
      </c>
      <c r="F109">
        <v>449.99</v>
      </c>
      <c r="G109" t="str">
        <f>VLOOKUP(products!D109,categories[#All],2,TRUE)</f>
        <v>Comfort Bicycles</v>
      </c>
    </row>
    <row r="110" spans="1:7" x14ac:dyDescent="0.3">
      <c r="A110">
        <v>109</v>
      </c>
      <c r="B110" t="s">
        <v>5408</v>
      </c>
      <c r="C110">
        <v>7</v>
      </c>
      <c r="D110">
        <v>2</v>
      </c>
      <c r="E110">
        <v>2017</v>
      </c>
      <c r="F110">
        <v>416.99</v>
      </c>
      <c r="G110" t="str">
        <f>VLOOKUP(products!D110,categories[#All],2,TRUE)</f>
        <v>Comfort Bicycles</v>
      </c>
    </row>
    <row r="111" spans="1:7" x14ac:dyDescent="0.3">
      <c r="A111">
        <v>110</v>
      </c>
      <c r="B111" t="s">
        <v>5409</v>
      </c>
      <c r="C111">
        <v>7</v>
      </c>
      <c r="D111">
        <v>2</v>
      </c>
      <c r="E111">
        <v>2017</v>
      </c>
      <c r="F111">
        <v>470.99</v>
      </c>
      <c r="G111" t="str">
        <f>VLOOKUP(products!D111,categories[#All],2,TRUE)</f>
        <v>Comfort Bicycles</v>
      </c>
    </row>
    <row r="112" spans="1:7" x14ac:dyDescent="0.3">
      <c r="A112">
        <v>111</v>
      </c>
      <c r="B112" t="s">
        <v>5410</v>
      </c>
      <c r="C112">
        <v>7</v>
      </c>
      <c r="D112">
        <v>2</v>
      </c>
      <c r="E112">
        <v>2017</v>
      </c>
      <c r="F112">
        <v>470.99</v>
      </c>
      <c r="G112" t="str">
        <f>VLOOKUP(products!D112,categories[#All],2,TRUE)</f>
        <v>Comfort Bicycles</v>
      </c>
    </row>
    <row r="113" spans="1:7" x14ac:dyDescent="0.3">
      <c r="A113">
        <v>112</v>
      </c>
      <c r="B113" t="s">
        <v>5411</v>
      </c>
      <c r="C113">
        <v>9</v>
      </c>
      <c r="D113">
        <v>6</v>
      </c>
      <c r="E113">
        <v>2018</v>
      </c>
      <c r="F113">
        <v>379.99</v>
      </c>
      <c r="G113" t="str">
        <f>VLOOKUP(products!D113,categories[#All],2,TRUE)</f>
        <v>Mountain Bikes</v>
      </c>
    </row>
    <row r="114" spans="1:7" x14ac:dyDescent="0.3">
      <c r="A114">
        <v>113</v>
      </c>
      <c r="B114" t="s">
        <v>5412</v>
      </c>
      <c r="C114">
        <v>9</v>
      </c>
      <c r="D114">
        <v>6</v>
      </c>
      <c r="E114">
        <v>2018</v>
      </c>
      <c r="F114">
        <v>489.99</v>
      </c>
      <c r="G114" t="str">
        <f>VLOOKUP(products!D114,categories[#All],2,TRUE)</f>
        <v>Mountain Bikes</v>
      </c>
    </row>
    <row r="115" spans="1:7" x14ac:dyDescent="0.3">
      <c r="A115">
        <v>114</v>
      </c>
      <c r="B115" t="s">
        <v>5413</v>
      </c>
      <c r="C115">
        <v>9</v>
      </c>
      <c r="D115">
        <v>6</v>
      </c>
      <c r="E115">
        <v>2018</v>
      </c>
      <c r="F115">
        <v>579.99</v>
      </c>
      <c r="G115" t="str">
        <f>VLOOKUP(products!D115,categories[#All],2,TRUE)</f>
        <v>Mountain Bikes</v>
      </c>
    </row>
    <row r="116" spans="1:7" x14ac:dyDescent="0.3">
      <c r="A116">
        <v>115</v>
      </c>
      <c r="B116" t="s">
        <v>5414</v>
      </c>
      <c r="C116">
        <v>9</v>
      </c>
      <c r="D116">
        <v>6</v>
      </c>
      <c r="E116">
        <v>2018</v>
      </c>
      <c r="F116">
        <v>3199.99</v>
      </c>
      <c r="G116" t="str">
        <f>VLOOKUP(products!D116,categories[#All],2,TRUE)</f>
        <v>Mountain Bikes</v>
      </c>
    </row>
    <row r="117" spans="1:7" x14ac:dyDescent="0.3">
      <c r="A117">
        <v>116</v>
      </c>
      <c r="B117" t="s">
        <v>5415</v>
      </c>
      <c r="C117">
        <v>9</v>
      </c>
      <c r="D117">
        <v>6</v>
      </c>
      <c r="E117">
        <v>2018</v>
      </c>
      <c r="F117">
        <v>749.99</v>
      </c>
      <c r="G117" t="str">
        <f>VLOOKUP(products!D117,categories[#All],2,TRUE)</f>
        <v>Mountain Bikes</v>
      </c>
    </row>
    <row r="118" spans="1:7" x14ac:dyDescent="0.3">
      <c r="A118">
        <v>117</v>
      </c>
      <c r="B118" t="s">
        <v>5416</v>
      </c>
      <c r="C118">
        <v>9</v>
      </c>
      <c r="D118">
        <v>6</v>
      </c>
      <c r="E118">
        <v>2018</v>
      </c>
      <c r="F118">
        <v>1469.99</v>
      </c>
      <c r="G118" t="str">
        <f>VLOOKUP(products!D118,categories[#All],2,TRUE)</f>
        <v>Mountain Bikes</v>
      </c>
    </row>
    <row r="119" spans="1:7" x14ac:dyDescent="0.3">
      <c r="A119">
        <v>118</v>
      </c>
      <c r="B119" t="s">
        <v>5417</v>
      </c>
      <c r="C119">
        <v>9</v>
      </c>
      <c r="D119">
        <v>6</v>
      </c>
      <c r="E119">
        <v>2018</v>
      </c>
      <c r="F119">
        <v>999.99</v>
      </c>
      <c r="G119" t="str">
        <f>VLOOKUP(products!D119,categories[#All],2,TRUE)</f>
        <v>Mountain Bikes</v>
      </c>
    </row>
    <row r="120" spans="1:7" x14ac:dyDescent="0.3">
      <c r="A120">
        <v>119</v>
      </c>
      <c r="B120" t="s">
        <v>5418</v>
      </c>
      <c r="C120">
        <v>9</v>
      </c>
      <c r="D120">
        <v>6</v>
      </c>
      <c r="E120">
        <v>2018</v>
      </c>
      <c r="F120">
        <v>469.99</v>
      </c>
      <c r="G120" t="str">
        <f>VLOOKUP(products!D120,categories[#All],2,TRUE)</f>
        <v>Mountain Bikes</v>
      </c>
    </row>
    <row r="121" spans="1:7" x14ac:dyDescent="0.3">
      <c r="A121">
        <v>120</v>
      </c>
      <c r="B121" t="s">
        <v>5419</v>
      </c>
      <c r="C121">
        <v>9</v>
      </c>
      <c r="D121">
        <v>6</v>
      </c>
      <c r="E121">
        <v>2018</v>
      </c>
      <c r="F121">
        <v>2499.9899999999998</v>
      </c>
      <c r="G121" t="str">
        <f>VLOOKUP(products!D121,categories[#All],2,TRUE)</f>
        <v>Mountain Bikes</v>
      </c>
    </row>
    <row r="122" spans="1:7" x14ac:dyDescent="0.3">
      <c r="A122">
        <v>121</v>
      </c>
      <c r="B122" t="s">
        <v>5420</v>
      </c>
      <c r="C122">
        <v>8</v>
      </c>
      <c r="D122">
        <v>6</v>
      </c>
      <c r="E122">
        <v>2018</v>
      </c>
      <c r="F122">
        <v>2499.9899999999998</v>
      </c>
      <c r="G122" t="str">
        <f>VLOOKUP(products!D122,categories[#All],2,TRUE)</f>
        <v>Mountain Bikes</v>
      </c>
    </row>
    <row r="123" spans="1:7" x14ac:dyDescent="0.3">
      <c r="A123">
        <v>122</v>
      </c>
      <c r="B123" t="s">
        <v>5421</v>
      </c>
      <c r="C123">
        <v>8</v>
      </c>
      <c r="D123">
        <v>6</v>
      </c>
      <c r="E123">
        <v>2018</v>
      </c>
      <c r="F123">
        <v>2499.9899999999998</v>
      </c>
      <c r="G123" t="str">
        <f>VLOOKUP(products!D123,categories[#All],2,TRUE)</f>
        <v>Mountain Bikes</v>
      </c>
    </row>
    <row r="124" spans="1:7" x14ac:dyDescent="0.3">
      <c r="A124">
        <v>123</v>
      </c>
      <c r="B124" t="s">
        <v>5422</v>
      </c>
      <c r="C124">
        <v>9</v>
      </c>
      <c r="D124">
        <v>6</v>
      </c>
      <c r="E124">
        <v>2018</v>
      </c>
      <c r="F124">
        <v>999.99</v>
      </c>
      <c r="G124" t="str">
        <f>VLOOKUP(products!D124,categories[#All],2,TRUE)</f>
        <v>Mountain Bikes</v>
      </c>
    </row>
    <row r="125" spans="1:7" x14ac:dyDescent="0.3">
      <c r="A125">
        <v>124</v>
      </c>
      <c r="B125" t="s">
        <v>5423</v>
      </c>
      <c r="C125">
        <v>8</v>
      </c>
      <c r="D125">
        <v>6</v>
      </c>
      <c r="E125">
        <v>2018</v>
      </c>
      <c r="F125">
        <v>1499</v>
      </c>
      <c r="G125" t="str">
        <f>VLOOKUP(products!D125,categories[#All],2,TRUE)</f>
        <v>Mountain Bikes</v>
      </c>
    </row>
    <row r="126" spans="1:7" x14ac:dyDescent="0.3">
      <c r="A126">
        <v>125</v>
      </c>
      <c r="B126" t="s">
        <v>5424</v>
      </c>
      <c r="C126">
        <v>9</v>
      </c>
      <c r="D126">
        <v>6</v>
      </c>
      <c r="E126">
        <v>2018</v>
      </c>
      <c r="F126">
        <v>469.99</v>
      </c>
      <c r="G126" t="str">
        <f>VLOOKUP(products!D126,categories[#All],2,TRUE)</f>
        <v>Mountain Bikes</v>
      </c>
    </row>
    <row r="127" spans="1:7" x14ac:dyDescent="0.3">
      <c r="A127">
        <v>126</v>
      </c>
      <c r="B127" t="s">
        <v>5425</v>
      </c>
      <c r="C127">
        <v>8</v>
      </c>
      <c r="D127">
        <v>6</v>
      </c>
      <c r="E127">
        <v>2018</v>
      </c>
      <c r="F127">
        <v>469.99</v>
      </c>
      <c r="G127" t="str">
        <f>VLOOKUP(products!D127,categories[#All],2,TRUE)</f>
        <v>Mountain Bikes</v>
      </c>
    </row>
    <row r="128" spans="1:7" x14ac:dyDescent="0.3">
      <c r="A128">
        <v>127</v>
      </c>
      <c r="B128" t="s">
        <v>5426</v>
      </c>
      <c r="C128">
        <v>8</v>
      </c>
      <c r="D128">
        <v>6</v>
      </c>
      <c r="E128">
        <v>2018</v>
      </c>
      <c r="F128">
        <v>469.99</v>
      </c>
      <c r="G128" t="str">
        <f>VLOOKUP(products!D128,categories[#All],2,TRUE)</f>
        <v>Mountain Bikes</v>
      </c>
    </row>
    <row r="129" spans="1:7" x14ac:dyDescent="0.3">
      <c r="A129">
        <v>128</v>
      </c>
      <c r="B129" t="s">
        <v>5427</v>
      </c>
      <c r="C129">
        <v>8</v>
      </c>
      <c r="D129">
        <v>6</v>
      </c>
      <c r="E129">
        <v>2018</v>
      </c>
      <c r="F129">
        <v>1899</v>
      </c>
      <c r="G129" t="str">
        <f>VLOOKUP(products!D129,categories[#All],2,TRUE)</f>
        <v>Mountain Bikes</v>
      </c>
    </row>
    <row r="130" spans="1:7" x14ac:dyDescent="0.3">
      <c r="A130">
        <v>129</v>
      </c>
      <c r="B130" t="s">
        <v>5428</v>
      </c>
      <c r="C130">
        <v>9</v>
      </c>
      <c r="D130">
        <v>6</v>
      </c>
      <c r="E130">
        <v>2018</v>
      </c>
      <c r="F130">
        <v>919.99</v>
      </c>
      <c r="G130" t="str">
        <f>VLOOKUP(products!D130,categories[#All],2,TRUE)</f>
        <v>Mountain Bikes</v>
      </c>
    </row>
    <row r="131" spans="1:7" x14ac:dyDescent="0.3">
      <c r="A131">
        <v>130</v>
      </c>
      <c r="B131" t="s">
        <v>5429</v>
      </c>
      <c r="C131">
        <v>9</v>
      </c>
      <c r="D131">
        <v>6</v>
      </c>
      <c r="E131">
        <v>2018</v>
      </c>
      <c r="F131">
        <v>919.99</v>
      </c>
      <c r="G131" t="str">
        <f>VLOOKUP(products!D131,categories[#All],2,TRUE)</f>
        <v>Mountain Bikes</v>
      </c>
    </row>
    <row r="132" spans="1:7" x14ac:dyDescent="0.3">
      <c r="A132">
        <v>131</v>
      </c>
      <c r="B132" t="s">
        <v>5430</v>
      </c>
      <c r="C132">
        <v>3</v>
      </c>
      <c r="D132">
        <v>6</v>
      </c>
      <c r="E132">
        <v>2018</v>
      </c>
      <c r="F132">
        <v>2599</v>
      </c>
      <c r="G132" t="str">
        <f>VLOOKUP(products!D132,categories[#All],2,TRUE)</f>
        <v>Mountain Bikes</v>
      </c>
    </row>
    <row r="133" spans="1:7" x14ac:dyDescent="0.3">
      <c r="A133">
        <v>132</v>
      </c>
      <c r="B133" t="s">
        <v>5431</v>
      </c>
      <c r="C133">
        <v>9</v>
      </c>
      <c r="D133">
        <v>6</v>
      </c>
      <c r="E133">
        <v>2018</v>
      </c>
      <c r="F133">
        <v>1499.99</v>
      </c>
      <c r="G133" t="str">
        <f>VLOOKUP(products!D133,categories[#All],2,TRUE)</f>
        <v>Mountain Bikes</v>
      </c>
    </row>
    <row r="134" spans="1:7" x14ac:dyDescent="0.3">
      <c r="A134">
        <v>133</v>
      </c>
      <c r="B134" t="s">
        <v>5432</v>
      </c>
      <c r="C134">
        <v>9</v>
      </c>
      <c r="D134">
        <v>6</v>
      </c>
      <c r="E134">
        <v>2018</v>
      </c>
      <c r="F134">
        <v>1499.99</v>
      </c>
      <c r="G134" t="str">
        <f>VLOOKUP(products!D134,categories[#All],2,TRUE)</f>
        <v>Mountain Bikes</v>
      </c>
    </row>
    <row r="135" spans="1:7" x14ac:dyDescent="0.3">
      <c r="A135">
        <v>134</v>
      </c>
      <c r="B135" t="s">
        <v>5433</v>
      </c>
      <c r="C135">
        <v>9</v>
      </c>
      <c r="D135">
        <v>6</v>
      </c>
      <c r="E135">
        <v>2018</v>
      </c>
      <c r="F135">
        <v>1499.99</v>
      </c>
      <c r="G135" t="str">
        <f>VLOOKUP(products!D135,categories[#All],2,TRUE)</f>
        <v>Mountain Bikes</v>
      </c>
    </row>
    <row r="136" spans="1:7" x14ac:dyDescent="0.3">
      <c r="A136">
        <v>135</v>
      </c>
      <c r="B136" t="s">
        <v>5434</v>
      </c>
      <c r="C136">
        <v>9</v>
      </c>
      <c r="D136">
        <v>6</v>
      </c>
      <c r="E136">
        <v>2018</v>
      </c>
      <c r="F136">
        <v>1499.99</v>
      </c>
      <c r="G136" t="str">
        <f>VLOOKUP(products!D136,categories[#All],2,TRUE)</f>
        <v>Mountain Bikes</v>
      </c>
    </row>
    <row r="137" spans="1:7" x14ac:dyDescent="0.3">
      <c r="A137">
        <v>136</v>
      </c>
      <c r="B137" t="s">
        <v>5435</v>
      </c>
      <c r="C137">
        <v>9</v>
      </c>
      <c r="D137">
        <v>6</v>
      </c>
      <c r="E137">
        <v>2018</v>
      </c>
      <c r="F137">
        <v>1799.99</v>
      </c>
      <c r="G137" t="str">
        <f>VLOOKUP(products!D137,categories[#All],2,TRUE)</f>
        <v>Mountain Bikes</v>
      </c>
    </row>
    <row r="138" spans="1:7" x14ac:dyDescent="0.3">
      <c r="A138">
        <v>137</v>
      </c>
      <c r="B138" t="s">
        <v>5436</v>
      </c>
      <c r="C138">
        <v>3</v>
      </c>
      <c r="D138">
        <v>6</v>
      </c>
      <c r="E138">
        <v>2018</v>
      </c>
      <c r="F138">
        <v>2599</v>
      </c>
      <c r="G138" t="str">
        <f>VLOOKUP(products!D138,categories[#All],2,TRUE)</f>
        <v>Mountain Bikes</v>
      </c>
    </row>
    <row r="139" spans="1:7" x14ac:dyDescent="0.3">
      <c r="A139">
        <v>138</v>
      </c>
      <c r="B139" t="s">
        <v>5437</v>
      </c>
      <c r="C139">
        <v>9</v>
      </c>
      <c r="D139">
        <v>6</v>
      </c>
      <c r="E139">
        <v>2018</v>
      </c>
      <c r="F139">
        <v>2249.9899999999998</v>
      </c>
      <c r="G139" t="str">
        <f>VLOOKUP(products!D139,categories[#All],2,TRUE)</f>
        <v>Mountain Bikes</v>
      </c>
    </row>
    <row r="140" spans="1:7" x14ac:dyDescent="0.3">
      <c r="A140">
        <v>139</v>
      </c>
      <c r="B140" t="s">
        <v>5438</v>
      </c>
      <c r="C140">
        <v>9</v>
      </c>
      <c r="D140">
        <v>6</v>
      </c>
      <c r="E140">
        <v>2018</v>
      </c>
      <c r="F140">
        <v>2999.99</v>
      </c>
      <c r="G140" t="str">
        <f>VLOOKUP(products!D140,categories[#All],2,TRUE)</f>
        <v>Mountain Bikes</v>
      </c>
    </row>
    <row r="141" spans="1:7" x14ac:dyDescent="0.3">
      <c r="A141">
        <v>140</v>
      </c>
      <c r="B141" t="s">
        <v>5439</v>
      </c>
      <c r="C141">
        <v>9</v>
      </c>
      <c r="D141">
        <v>6</v>
      </c>
      <c r="E141">
        <v>2018</v>
      </c>
      <c r="F141">
        <v>4999.99</v>
      </c>
      <c r="G141" t="str">
        <f>VLOOKUP(products!D141,categories[#All],2,TRUE)</f>
        <v>Mountain Bikes</v>
      </c>
    </row>
    <row r="142" spans="1:7" x14ac:dyDescent="0.3">
      <c r="A142">
        <v>141</v>
      </c>
      <c r="B142" t="s">
        <v>5440</v>
      </c>
      <c r="C142">
        <v>9</v>
      </c>
      <c r="D142">
        <v>6</v>
      </c>
      <c r="E142">
        <v>2018</v>
      </c>
      <c r="F142">
        <v>1599.99</v>
      </c>
      <c r="G142" t="str">
        <f>VLOOKUP(products!D142,categories[#All],2,TRUE)</f>
        <v>Mountain Bikes</v>
      </c>
    </row>
    <row r="143" spans="1:7" x14ac:dyDescent="0.3">
      <c r="A143">
        <v>142</v>
      </c>
      <c r="B143" t="s">
        <v>5441</v>
      </c>
      <c r="C143">
        <v>9</v>
      </c>
      <c r="D143">
        <v>6</v>
      </c>
      <c r="E143">
        <v>2018</v>
      </c>
      <c r="F143">
        <v>3199.99</v>
      </c>
      <c r="G143" t="str">
        <f>VLOOKUP(products!D143,categories[#All],2,TRUE)</f>
        <v>Mountain Bikes</v>
      </c>
    </row>
    <row r="144" spans="1:7" x14ac:dyDescent="0.3">
      <c r="A144">
        <v>143</v>
      </c>
      <c r="B144" t="s">
        <v>5442</v>
      </c>
      <c r="C144">
        <v>9</v>
      </c>
      <c r="D144">
        <v>7</v>
      </c>
      <c r="E144">
        <v>2018</v>
      </c>
      <c r="F144">
        <v>1099.99</v>
      </c>
      <c r="G144" t="str">
        <f>VLOOKUP(products!D144,categories[#All],2,TRUE)</f>
        <v>Road Bikes</v>
      </c>
    </row>
    <row r="145" spans="1:7" x14ac:dyDescent="0.3">
      <c r="A145">
        <v>144</v>
      </c>
      <c r="B145" t="s">
        <v>5443</v>
      </c>
      <c r="C145">
        <v>9</v>
      </c>
      <c r="D145">
        <v>7</v>
      </c>
      <c r="E145">
        <v>2018</v>
      </c>
      <c r="F145">
        <v>1549.99</v>
      </c>
      <c r="G145" t="str">
        <f>VLOOKUP(products!D145,categories[#All],2,TRUE)</f>
        <v>Road Bikes</v>
      </c>
    </row>
    <row r="146" spans="1:7" x14ac:dyDescent="0.3">
      <c r="A146">
        <v>145</v>
      </c>
      <c r="B146" t="s">
        <v>5444</v>
      </c>
      <c r="C146">
        <v>9</v>
      </c>
      <c r="D146">
        <v>7</v>
      </c>
      <c r="E146">
        <v>2018</v>
      </c>
      <c r="F146">
        <v>1799.99</v>
      </c>
      <c r="G146" t="str">
        <f>VLOOKUP(products!D146,categories[#All],2,TRUE)</f>
        <v>Road Bikes</v>
      </c>
    </row>
    <row r="147" spans="1:7" x14ac:dyDescent="0.3">
      <c r="A147">
        <v>146</v>
      </c>
      <c r="B147" t="s">
        <v>5445</v>
      </c>
      <c r="C147">
        <v>9</v>
      </c>
      <c r="D147">
        <v>7</v>
      </c>
      <c r="E147">
        <v>2018</v>
      </c>
      <c r="F147">
        <v>4999.99</v>
      </c>
      <c r="G147" t="str">
        <f>VLOOKUP(products!D147,categories[#All],2,TRUE)</f>
        <v>Road Bikes</v>
      </c>
    </row>
    <row r="148" spans="1:7" x14ac:dyDescent="0.3">
      <c r="A148">
        <v>147</v>
      </c>
      <c r="B148" t="s">
        <v>5446</v>
      </c>
      <c r="C148">
        <v>9</v>
      </c>
      <c r="D148">
        <v>7</v>
      </c>
      <c r="E148">
        <v>2018</v>
      </c>
      <c r="F148">
        <v>1799.99</v>
      </c>
      <c r="G148" t="str">
        <f>VLOOKUP(products!D148,categories[#All],2,TRUE)</f>
        <v>Road Bikes</v>
      </c>
    </row>
    <row r="149" spans="1:7" x14ac:dyDescent="0.3">
      <c r="A149">
        <v>148</v>
      </c>
      <c r="B149" t="s">
        <v>5447</v>
      </c>
      <c r="C149">
        <v>9</v>
      </c>
      <c r="D149">
        <v>7</v>
      </c>
      <c r="E149">
        <v>2018</v>
      </c>
      <c r="F149">
        <v>5499.99</v>
      </c>
      <c r="G149" t="str">
        <f>VLOOKUP(products!D149,categories[#All],2,TRUE)</f>
        <v>Road Bikes</v>
      </c>
    </row>
    <row r="150" spans="1:7" x14ac:dyDescent="0.3">
      <c r="A150">
        <v>149</v>
      </c>
      <c r="B150" t="s">
        <v>5448</v>
      </c>
      <c r="C150">
        <v>9</v>
      </c>
      <c r="D150">
        <v>7</v>
      </c>
      <c r="E150">
        <v>2018</v>
      </c>
      <c r="F150">
        <v>7499.99</v>
      </c>
      <c r="G150" t="str">
        <f>VLOOKUP(products!D150,categories[#All],2,TRUE)</f>
        <v>Road Bikes</v>
      </c>
    </row>
    <row r="151" spans="1:7" x14ac:dyDescent="0.3">
      <c r="A151">
        <v>150</v>
      </c>
      <c r="B151" t="s">
        <v>5449</v>
      </c>
      <c r="C151">
        <v>9</v>
      </c>
      <c r="D151">
        <v>7</v>
      </c>
      <c r="E151">
        <v>2018</v>
      </c>
      <c r="F151">
        <v>4499.99</v>
      </c>
      <c r="G151" t="str">
        <f>VLOOKUP(products!D151,categories[#All],2,TRUE)</f>
        <v>Road Bikes</v>
      </c>
    </row>
    <row r="152" spans="1:7" x14ac:dyDescent="0.3">
      <c r="A152">
        <v>151</v>
      </c>
      <c r="B152" t="s">
        <v>5450</v>
      </c>
      <c r="C152">
        <v>9</v>
      </c>
      <c r="D152">
        <v>7</v>
      </c>
      <c r="E152">
        <v>2018</v>
      </c>
      <c r="F152">
        <v>1549.99</v>
      </c>
      <c r="G152" t="str">
        <f>VLOOKUP(products!D152,categories[#All],2,TRUE)</f>
        <v>Road Bikes</v>
      </c>
    </row>
    <row r="153" spans="1:7" x14ac:dyDescent="0.3">
      <c r="A153">
        <v>152</v>
      </c>
      <c r="B153" t="s">
        <v>5451</v>
      </c>
      <c r="C153">
        <v>9</v>
      </c>
      <c r="D153">
        <v>7</v>
      </c>
      <c r="E153">
        <v>2018</v>
      </c>
      <c r="F153">
        <v>2499.9899999999998</v>
      </c>
      <c r="G153" t="str">
        <f>VLOOKUP(products!D153,categories[#All],2,TRUE)</f>
        <v>Road Bikes</v>
      </c>
    </row>
    <row r="154" spans="1:7" x14ac:dyDescent="0.3">
      <c r="A154">
        <v>153</v>
      </c>
      <c r="B154" t="s">
        <v>5452</v>
      </c>
      <c r="C154">
        <v>9</v>
      </c>
      <c r="D154">
        <v>7</v>
      </c>
      <c r="E154">
        <v>2018</v>
      </c>
      <c r="F154">
        <v>4999.99</v>
      </c>
      <c r="G154" t="str">
        <f>VLOOKUP(products!D154,categories[#All],2,TRUE)</f>
        <v>Road Bikes</v>
      </c>
    </row>
    <row r="155" spans="1:7" x14ac:dyDescent="0.3">
      <c r="A155">
        <v>154</v>
      </c>
      <c r="B155" t="s">
        <v>5453</v>
      </c>
      <c r="C155">
        <v>9</v>
      </c>
      <c r="D155">
        <v>7</v>
      </c>
      <c r="E155">
        <v>2018</v>
      </c>
      <c r="F155">
        <v>5499.99</v>
      </c>
      <c r="G155" t="str">
        <f>VLOOKUP(products!D155,categories[#All],2,TRUE)</f>
        <v>Road Bikes</v>
      </c>
    </row>
    <row r="156" spans="1:7" x14ac:dyDescent="0.3">
      <c r="A156">
        <v>155</v>
      </c>
      <c r="B156" t="s">
        <v>5454</v>
      </c>
      <c r="C156">
        <v>9</v>
      </c>
      <c r="D156">
        <v>7</v>
      </c>
      <c r="E156">
        <v>2018</v>
      </c>
      <c r="F156">
        <v>11999.99</v>
      </c>
      <c r="G156" t="str">
        <f>VLOOKUP(products!D156,categories[#All],2,TRUE)</f>
        <v>Road Bikes</v>
      </c>
    </row>
    <row r="157" spans="1:7" x14ac:dyDescent="0.3">
      <c r="A157">
        <v>156</v>
      </c>
      <c r="B157" t="s">
        <v>5455</v>
      </c>
      <c r="C157">
        <v>9</v>
      </c>
      <c r="D157">
        <v>7</v>
      </c>
      <c r="E157">
        <v>2018</v>
      </c>
      <c r="F157">
        <v>6499.99</v>
      </c>
      <c r="G157" t="str">
        <f>VLOOKUP(products!D157,categories[#All],2,TRUE)</f>
        <v>Road Bikes</v>
      </c>
    </row>
    <row r="158" spans="1:7" x14ac:dyDescent="0.3">
      <c r="A158">
        <v>157</v>
      </c>
      <c r="B158" t="s">
        <v>5456</v>
      </c>
      <c r="C158">
        <v>9</v>
      </c>
      <c r="D158">
        <v>7</v>
      </c>
      <c r="E158">
        <v>2018</v>
      </c>
      <c r="F158">
        <v>6499.99</v>
      </c>
      <c r="G158" t="str">
        <f>VLOOKUP(products!D158,categories[#All],2,TRUE)</f>
        <v>Road Bikes</v>
      </c>
    </row>
    <row r="159" spans="1:7" x14ac:dyDescent="0.3">
      <c r="A159">
        <v>158</v>
      </c>
      <c r="B159" t="s">
        <v>5457</v>
      </c>
      <c r="C159">
        <v>9</v>
      </c>
      <c r="D159">
        <v>7</v>
      </c>
      <c r="E159">
        <v>2018</v>
      </c>
      <c r="F159">
        <v>959.99</v>
      </c>
      <c r="G159" t="str">
        <f>VLOOKUP(products!D159,categories[#All],2,TRUE)</f>
        <v>Road Bikes</v>
      </c>
    </row>
    <row r="160" spans="1:7" x14ac:dyDescent="0.3">
      <c r="A160">
        <v>159</v>
      </c>
      <c r="B160" t="s">
        <v>5458</v>
      </c>
      <c r="C160">
        <v>9</v>
      </c>
      <c r="D160">
        <v>7</v>
      </c>
      <c r="E160">
        <v>2018</v>
      </c>
      <c r="F160">
        <v>2299.9899999999998</v>
      </c>
      <c r="G160" t="str">
        <f>VLOOKUP(products!D160,categories[#All],2,TRUE)</f>
        <v>Road Bikes</v>
      </c>
    </row>
    <row r="161" spans="1:7" x14ac:dyDescent="0.3">
      <c r="A161">
        <v>160</v>
      </c>
      <c r="B161" t="s">
        <v>5459</v>
      </c>
      <c r="C161">
        <v>9</v>
      </c>
      <c r="D161">
        <v>7</v>
      </c>
      <c r="E161">
        <v>2018</v>
      </c>
      <c r="F161">
        <v>4499.99</v>
      </c>
      <c r="G161" t="str">
        <f>VLOOKUP(products!D161,categories[#All],2,TRUE)</f>
        <v>Road Bikes</v>
      </c>
    </row>
    <row r="162" spans="1:7" x14ac:dyDescent="0.3">
      <c r="A162">
        <v>161</v>
      </c>
      <c r="B162" t="s">
        <v>5460</v>
      </c>
      <c r="C162">
        <v>8</v>
      </c>
      <c r="D162">
        <v>7</v>
      </c>
      <c r="E162">
        <v>2018</v>
      </c>
      <c r="F162">
        <v>1899</v>
      </c>
      <c r="G162" t="str">
        <f>VLOOKUP(products!D162,categories[#All],2,TRUE)</f>
        <v>Road Bikes</v>
      </c>
    </row>
    <row r="163" spans="1:7" x14ac:dyDescent="0.3">
      <c r="A163">
        <v>162</v>
      </c>
      <c r="B163" t="s">
        <v>5461</v>
      </c>
      <c r="C163">
        <v>9</v>
      </c>
      <c r="D163">
        <v>7</v>
      </c>
      <c r="E163">
        <v>2018</v>
      </c>
      <c r="F163">
        <v>2999.99</v>
      </c>
      <c r="G163" t="str">
        <f>VLOOKUP(products!D163,categories[#All],2,TRUE)</f>
        <v>Road Bikes</v>
      </c>
    </row>
    <row r="164" spans="1:7" x14ac:dyDescent="0.3">
      <c r="A164">
        <v>163</v>
      </c>
      <c r="B164" t="s">
        <v>5462</v>
      </c>
      <c r="C164">
        <v>8</v>
      </c>
      <c r="D164">
        <v>7</v>
      </c>
      <c r="E164">
        <v>2018</v>
      </c>
      <c r="F164">
        <v>1349</v>
      </c>
      <c r="G164" t="str">
        <f>VLOOKUP(products!D164,categories[#All],2,TRUE)</f>
        <v>Road Bikes</v>
      </c>
    </row>
    <row r="165" spans="1:7" x14ac:dyDescent="0.3">
      <c r="A165">
        <v>164</v>
      </c>
      <c r="B165" t="s">
        <v>5463</v>
      </c>
      <c r="C165">
        <v>8</v>
      </c>
      <c r="D165">
        <v>7</v>
      </c>
      <c r="E165">
        <v>2018</v>
      </c>
      <c r="F165">
        <v>1549</v>
      </c>
      <c r="G165" t="str">
        <f>VLOOKUP(products!D165,categories[#All],2,TRUE)</f>
        <v>Road Bikes</v>
      </c>
    </row>
    <row r="166" spans="1:7" x14ac:dyDescent="0.3">
      <c r="A166">
        <v>165</v>
      </c>
      <c r="B166" t="s">
        <v>5464</v>
      </c>
      <c r="C166">
        <v>9</v>
      </c>
      <c r="D166">
        <v>7</v>
      </c>
      <c r="E166">
        <v>2018</v>
      </c>
      <c r="F166">
        <v>2499.9899999999998</v>
      </c>
      <c r="G166" t="str">
        <f>VLOOKUP(products!D166,categories[#All],2,TRUE)</f>
        <v>Road Bikes</v>
      </c>
    </row>
    <row r="167" spans="1:7" x14ac:dyDescent="0.3">
      <c r="A167">
        <v>166</v>
      </c>
      <c r="B167" t="s">
        <v>5465</v>
      </c>
      <c r="C167">
        <v>9</v>
      </c>
      <c r="D167">
        <v>7</v>
      </c>
      <c r="E167">
        <v>2018</v>
      </c>
      <c r="F167">
        <v>749.99</v>
      </c>
      <c r="G167" t="str">
        <f>VLOOKUP(products!D167,categories[#All],2,TRUE)</f>
        <v>Road Bikes</v>
      </c>
    </row>
    <row r="168" spans="1:7" x14ac:dyDescent="0.3">
      <c r="A168">
        <v>167</v>
      </c>
      <c r="B168" t="s">
        <v>5466</v>
      </c>
      <c r="C168">
        <v>8</v>
      </c>
      <c r="D168">
        <v>7</v>
      </c>
      <c r="E168">
        <v>2018</v>
      </c>
      <c r="F168">
        <v>749.99</v>
      </c>
      <c r="G168" t="str">
        <f>VLOOKUP(products!D168,categories[#All],2,TRUE)</f>
        <v>Road Bikes</v>
      </c>
    </row>
    <row r="169" spans="1:7" x14ac:dyDescent="0.3">
      <c r="A169">
        <v>168</v>
      </c>
      <c r="B169" t="s">
        <v>5467</v>
      </c>
      <c r="C169">
        <v>8</v>
      </c>
      <c r="D169">
        <v>7</v>
      </c>
      <c r="E169">
        <v>2018</v>
      </c>
      <c r="F169">
        <v>1549</v>
      </c>
      <c r="G169" t="str">
        <f>VLOOKUP(products!D169,categories[#All],2,TRUE)</f>
        <v>Road Bikes</v>
      </c>
    </row>
    <row r="170" spans="1:7" x14ac:dyDescent="0.3">
      <c r="A170">
        <v>169</v>
      </c>
      <c r="B170" t="s">
        <v>5468</v>
      </c>
      <c r="C170">
        <v>9</v>
      </c>
      <c r="D170">
        <v>7</v>
      </c>
      <c r="E170">
        <v>2018</v>
      </c>
      <c r="F170">
        <v>6499.99</v>
      </c>
      <c r="G170" t="str">
        <f>VLOOKUP(products!D170,categories[#All],2,TRUE)</f>
        <v>Road Bikes</v>
      </c>
    </row>
    <row r="171" spans="1:7" x14ac:dyDescent="0.3">
      <c r="A171">
        <v>170</v>
      </c>
      <c r="B171" t="s">
        <v>5469</v>
      </c>
      <c r="C171">
        <v>9</v>
      </c>
      <c r="D171">
        <v>7</v>
      </c>
      <c r="E171">
        <v>2018</v>
      </c>
      <c r="F171">
        <v>1299.99</v>
      </c>
      <c r="G171" t="str">
        <f>VLOOKUP(products!D171,categories[#All],2,TRUE)</f>
        <v>Road Bikes</v>
      </c>
    </row>
    <row r="172" spans="1:7" x14ac:dyDescent="0.3">
      <c r="A172">
        <v>171</v>
      </c>
      <c r="B172" t="s">
        <v>5470</v>
      </c>
      <c r="C172">
        <v>9</v>
      </c>
      <c r="D172">
        <v>7</v>
      </c>
      <c r="E172">
        <v>2018</v>
      </c>
      <c r="F172">
        <v>3199.99</v>
      </c>
      <c r="G172" t="str">
        <f>VLOOKUP(products!D172,categories[#All],2,TRUE)</f>
        <v>Road Bikes</v>
      </c>
    </row>
    <row r="173" spans="1:7" x14ac:dyDescent="0.3">
      <c r="A173">
        <v>172</v>
      </c>
      <c r="B173" t="s">
        <v>5471</v>
      </c>
      <c r="C173">
        <v>9</v>
      </c>
      <c r="D173">
        <v>7</v>
      </c>
      <c r="E173">
        <v>2018</v>
      </c>
      <c r="F173">
        <v>3199.99</v>
      </c>
      <c r="G173" t="str">
        <f>VLOOKUP(products!D173,categories[#All],2,TRUE)</f>
        <v>Road Bikes</v>
      </c>
    </row>
    <row r="174" spans="1:7" x14ac:dyDescent="0.3">
      <c r="A174">
        <v>173</v>
      </c>
      <c r="B174" t="s">
        <v>5472</v>
      </c>
      <c r="C174">
        <v>9</v>
      </c>
      <c r="D174">
        <v>7</v>
      </c>
      <c r="E174">
        <v>2018</v>
      </c>
      <c r="F174">
        <v>3199.99</v>
      </c>
      <c r="G174" t="str">
        <f>VLOOKUP(products!D174,categories[#All],2,TRUE)</f>
        <v>Road Bikes</v>
      </c>
    </row>
    <row r="175" spans="1:7" x14ac:dyDescent="0.3">
      <c r="A175">
        <v>174</v>
      </c>
      <c r="B175" t="s">
        <v>5473</v>
      </c>
      <c r="C175">
        <v>9</v>
      </c>
      <c r="D175">
        <v>7</v>
      </c>
      <c r="E175">
        <v>2018</v>
      </c>
      <c r="F175">
        <v>3199.99</v>
      </c>
      <c r="G175" t="str">
        <f>VLOOKUP(products!D175,categories[#All],2,TRUE)</f>
        <v>Road Bikes</v>
      </c>
    </row>
    <row r="176" spans="1:7" x14ac:dyDescent="0.3">
      <c r="A176">
        <v>175</v>
      </c>
      <c r="B176" t="s">
        <v>5474</v>
      </c>
      <c r="C176">
        <v>9</v>
      </c>
      <c r="D176">
        <v>7</v>
      </c>
      <c r="E176">
        <v>2018</v>
      </c>
      <c r="F176">
        <v>3199.99</v>
      </c>
      <c r="G176" t="str">
        <f>VLOOKUP(products!D176,categories[#All],2,TRUE)</f>
        <v>Road Bikes</v>
      </c>
    </row>
    <row r="177" spans="1:7" x14ac:dyDescent="0.3">
      <c r="A177">
        <v>176</v>
      </c>
      <c r="B177" t="s">
        <v>5475</v>
      </c>
      <c r="C177">
        <v>9</v>
      </c>
      <c r="D177">
        <v>7</v>
      </c>
      <c r="E177">
        <v>2018</v>
      </c>
      <c r="F177">
        <v>3199.99</v>
      </c>
      <c r="G177" t="str">
        <f>VLOOKUP(products!D177,categories[#All],2,TRUE)</f>
        <v>Road Bikes</v>
      </c>
    </row>
    <row r="178" spans="1:7" x14ac:dyDescent="0.3">
      <c r="A178">
        <v>177</v>
      </c>
      <c r="B178" t="s">
        <v>5476</v>
      </c>
      <c r="C178">
        <v>9</v>
      </c>
      <c r="D178">
        <v>7</v>
      </c>
      <c r="E178">
        <v>2018</v>
      </c>
      <c r="F178">
        <v>5499.99</v>
      </c>
      <c r="G178" t="str">
        <f>VLOOKUP(products!D178,categories[#All],2,TRUE)</f>
        <v>Road Bikes</v>
      </c>
    </row>
    <row r="179" spans="1:7" x14ac:dyDescent="0.3">
      <c r="A179">
        <v>178</v>
      </c>
      <c r="B179" t="s">
        <v>5477</v>
      </c>
      <c r="C179">
        <v>9</v>
      </c>
      <c r="D179">
        <v>7</v>
      </c>
      <c r="E179">
        <v>2018</v>
      </c>
      <c r="F179">
        <v>749.99</v>
      </c>
      <c r="G179" t="str">
        <f>VLOOKUP(products!D179,categories[#All],2,TRUE)</f>
        <v>Road Bikes</v>
      </c>
    </row>
    <row r="180" spans="1:7" x14ac:dyDescent="0.3">
      <c r="A180">
        <v>179</v>
      </c>
      <c r="B180" t="s">
        <v>5478</v>
      </c>
      <c r="C180">
        <v>9</v>
      </c>
      <c r="D180">
        <v>7</v>
      </c>
      <c r="E180">
        <v>2018</v>
      </c>
      <c r="F180">
        <v>919.99</v>
      </c>
      <c r="G180" t="str">
        <f>VLOOKUP(products!D180,categories[#All],2,TRUE)</f>
        <v>Road Bikes</v>
      </c>
    </row>
    <row r="181" spans="1:7" x14ac:dyDescent="0.3">
      <c r="A181">
        <v>180</v>
      </c>
      <c r="B181" t="s">
        <v>5479</v>
      </c>
      <c r="C181">
        <v>9</v>
      </c>
      <c r="D181">
        <v>7</v>
      </c>
      <c r="E181">
        <v>2018</v>
      </c>
      <c r="F181">
        <v>919.99</v>
      </c>
      <c r="G181" t="str">
        <f>VLOOKUP(products!D181,categories[#All],2,TRUE)</f>
        <v>Road Bikes</v>
      </c>
    </row>
    <row r="182" spans="1:7" x14ac:dyDescent="0.3">
      <c r="A182">
        <v>181</v>
      </c>
      <c r="B182" t="s">
        <v>5480</v>
      </c>
      <c r="C182">
        <v>9</v>
      </c>
      <c r="D182">
        <v>7</v>
      </c>
      <c r="E182">
        <v>2018</v>
      </c>
      <c r="F182">
        <v>2199.9899999999998</v>
      </c>
      <c r="G182" t="str">
        <f>VLOOKUP(products!D182,categories[#All],2,TRUE)</f>
        <v>Road Bikes</v>
      </c>
    </row>
    <row r="183" spans="1:7" x14ac:dyDescent="0.3">
      <c r="A183">
        <v>182</v>
      </c>
      <c r="B183" t="s">
        <v>5481</v>
      </c>
      <c r="C183">
        <v>9</v>
      </c>
      <c r="D183">
        <v>7</v>
      </c>
      <c r="E183">
        <v>2018</v>
      </c>
      <c r="F183">
        <v>2499.9899999999998</v>
      </c>
      <c r="G183" t="str">
        <f>VLOOKUP(products!D183,categories[#All],2,TRUE)</f>
        <v>Road Bikes</v>
      </c>
    </row>
    <row r="184" spans="1:7" x14ac:dyDescent="0.3">
      <c r="A184">
        <v>183</v>
      </c>
      <c r="B184" t="s">
        <v>5482</v>
      </c>
      <c r="C184">
        <v>9</v>
      </c>
      <c r="D184">
        <v>7</v>
      </c>
      <c r="E184">
        <v>2018</v>
      </c>
      <c r="F184">
        <v>2199.9899999999998</v>
      </c>
      <c r="G184" t="str">
        <f>VLOOKUP(products!D184,categories[#All],2,TRUE)</f>
        <v>Road Bikes</v>
      </c>
    </row>
    <row r="185" spans="1:7" x14ac:dyDescent="0.3">
      <c r="A185">
        <v>184</v>
      </c>
      <c r="B185" t="s">
        <v>5483</v>
      </c>
      <c r="C185">
        <v>9</v>
      </c>
      <c r="D185">
        <v>7</v>
      </c>
      <c r="E185">
        <v>2018</v>
      </c>
      <c r="F185">
        <v>3499.99</v>
      </c>
      <c r="G185" t="str">
        <f>VLOOKUP(products!D185,categories[#All],2,TRUE)</f>
        <v>Road Bikes</v>
      </c>
    </row>
    <row r="186" spans="1:7" x14ac:dyDescent="0.3">
      <c r="A186">
        <v>185</v>
      </c>
      <c r="B186" t="s">
        <v>5484</v>
      </c>
      <c r="C186">
        <v>9</v>
      </c>
      <c r="D186">
        <v>5</v>
      </c>
      <c r="E186">
        <v>2018</v>
      </c>
      <c r="F186">
        <v>2799.99</v>
      </c>
      <c r="G186" t="str">
        <f>VLOOKUP(products!D186,categories[#All],2,TRUE)</f>
        <v>Electric Bikes</v>
      </c>
    </row>
    <row r="187" spans="1:7" x14ac:dyDescent="0.3">
      <c r="A187">
        <v>186</v>
      </c>
      <c r="B187" t="s">
        <v>5485</v>
      </c>
      <c r="C187">
        <v>9</v>
      </c>
      <c r="D187">
        <v>5</v>
      </c>
      <c r="E187">
        <v>2018</v>
      </c>
      <c r="F187">
        <v>4499.99</v>
      </c>
      <c r="G187" t="str">
        <f>VLOOKUP(products!D187,categories[#All],2,TRUE)</f>
        <v>Electric Bikes</v>
      </c>
    </row>
    <row r="188" spans="1:7" x14ac:dyDescent="0.3">
      <c r="A188">
        <v>187</v>
      </c>
      <c r="B188" t="s">
        <v>5486</v>
      </c>
      <c r="C188">
        <v>9</v>
      </c>
      <c r="D188">
        <v>5</v>
      </c>
      <c r="E188">
        <v>2018</v>
      </c>
      <c r="F188">
        <v>2799.99</v>
      </c>
      <c r="G188" t="str">
        <f>VLOOKUP(products!D188,categories[#All],2,TRUE)</f>
        <v>Electric Bikes</v>
      </c>
    </row>
    <row r="189" spans="1:7" x14ac:dyDescent="0.3">
      <c r="A189">
        <v>188</v>
      </c>
      <c r="B189" t="s">
        <v>5487</v>
      </c>
      <c r="C189">
        <v>9</v>
      </c>
      <c r="D189">
        <v>5</v>
      </c>
      <c r="E189">
        <v>2018</v>
      </c>
      <c r="F189">
        <v>3499.99</v>
      </c>
      <c r="G189" t="str">
        <f>VLOOKUP(products!D189,categories[#All],2,TRUE)</f>
        <v>Electric Bikes</v>
      </c>
    </row>
    <row r="190" spans="1:7" x14ac:dyDescent="0.3">
      <c r="A190">
        <v>189</v>
      </c>
      <c r="B190" t="s">
        <v>5488</v>
      </c>
      <c r="C190">
        <v>9</v>
      </c>
      <c r="D190">
        <v>5</v>
      </c>
      <c r="E190">
        <v>2018</v>
      </c>
      <c r="F190">
        <v>2799.99</v>
      </c>
      <c r="G190" t="str">
        <f>VLOOKUP(products!D190,categories[#All],2,TRUE)</f>
        <v>Electric Bikes</v>
      </c>
    </row>
    <row r="191" spans="1:7" x14ac:dyDescent="0.3">
      <c r="A191">
        <v>190</v>
      </c>
      <c r="B191" t="s">
        <v>5489</v>
      </c>
      <c r="C191">
        <v>9</v>
      </c>
      <c r="D191">
        <v>5</v>
      </c>
      <c r="E191">
        <v>2018</v>
      </c>
      <c r="F191">
        <v>2799.99</v>
      </c>
      <c r="G191" t="str">
        <f>VLOOKUP(products!D191,categories[#All],2,TRUE)</f>
        <v>Electric Bikes</v>
      </c>
    </row>
    <row r="192" spans="1:7" x14ac:dyDescent="0.3">
      <c r="A192">
        <v>191</v>
      </c>
      <c r="B192" t="s">
        <v>5490</v>
      </c>
      <c r="C192">
        <v>1</v>
      </c>
      <c r="D192">
        <v>5</v>
      </c>
      <c r="E192">
        <v>2018</v>
      </c>
      <c r="F192">
        <v>2799.99</v>
      </c>
      <c r="G192" t="str">
        <f>VLOOKUP(products!D192,categories[#All],2,TRUE)</f>
        <v>Electric Bikes</v>
      </c>
    </row>
    <row r="193" spans="1:7" x14ac:dyDescent="0.3">
      <c r="A193">
        <v>192</v>
      </c>
      <c r="B193" t="s">
        <v>5491</v>
      </c>
      <c r="C193">
        <v>1</v>
      </c>
      <c r="D193">
        <v>5</v>
      </c>
      <c r="E193">
        <v>2018</v>
      </c>
      <c r="F193">
        <v>2599.9899999999998</v>
      </c>
      <c r="G193" t="str">
        <f>VLOOKUP(products!D193,categories[#All],2,TRUE)</f>
        <v>Electric Bikes</v>
      </c>
    </row>
    <row r="194" spans="1:7" x14ac:dyDescent="0.3">
      <c r="A194">
        <v>193</v>
      </c>
      <c r="B194" t="s">
        <v>5492</v>
      </c>
      <c r="C194">
        <v>9</v>
      </c>
      <c r="D194">
        <v>5</v>
      </c>
      <c r="E194">
        <v>2018</v>
      </c>
      <c r="F194">
        <v>2799.99</v>
      </c>
      <c r="G194" t="str">
        <f>VLOOKUP(products!D194,categories[#All],2,TRUE)</f>
        <v>Electric Bikes</v>
      </c>
    </row>
    <row r="195" spans="1:7" x14ac:dyDescent="0.3">
      <c r="A195">
        <v>194</v>
      </c>
      <c r="B195" t="s">
        <v>5493</v>
      </c>
      <c r="C195">
        <v>9</v>
      </c>
      <c r="D195">
        <v>5</v>
      </c>
      <c r="E195">
        <v>2018</v>
      </c>
      <c r="F195">
        <v>3499.99</v>
      </c>
      <c r="G195" t="str">
        <f>VLOOKUP(products!D195,categories[#All],2,TRUE)</f>
        <v>Electric Bikes</v>
      </c>
    </row>
    <row r="196" spans="1:7" x14ac:dyDescent="0.3">
      <c r="A196">
        <v>195</v>
      </c>
      <c r="B196" t="s">
        <v>5494</v>
      </c>
      <c r="C196">
        <v>1</v>
      </c>
      <c r="D196">
        <v>5</v>
      </c>
      <c r="E196">
        <v>2018</v>
      </c>
      <c r="F196">
        <v>2599.9899999999998</v>
      </c>
      <c r="G196" t="str">
        <f>VLOOKUP(products!D196,categories[#All],2,TRUE)</f>
        <v>Electric Bikes</v>
      </c>
    </row>
    <row r="197" spans="1:7" x14ac:dyDescent="0.3">
      <c r="A197">
        <v>196</v>
      </c>
      <c r="B197" t="s">
        <v>5495</v>
      </c>
      <c r="C197">
        <v>9</v>
      </c>
      <c r="D197">
        <v>5</v>
      </c>
      <c r="E197">
        <v>2018</v>
      </c>
      <c r="F197">
        <v>2299.9899999999998</v>
      </c>
      <c r="G197" t="str">
        <f>VLOOKUP(products!D197,categories[#All],2,TRUE)</f>
        <v>Electric Bikes</v>
      </c>
    </row>
    <row r="198" spans="1:7" x14ac:dyDescent="0.3">
      <c r="A198">
        <v>197</v>
      </c>
      <c r="B198" t="s">
        <v>5496</v>
      </c>
      <c r="C198">
        <v>9</v>
      </c>
      <c r="D198">
        <v>5</v>
      </c>
      <c r="E198">
        <v>2018</v>
      </c>
      <c r="F198">
        <v>2299.9899999999998</v>
      </c>
      <c r="G198" t="str">
        <f>VLOOKUP(products!D198,categories[#All],2,TRUE)</f>
        <v>Electric Bikes</v>
      </c>
    </row>
    <row r="199" spans="1:7" x14ac:dyDescent="0.3">
      <c r="A199">
        <v>198</v>
      </c>
      <c r="B199" t="s">
        <v>5497</v>
      </c>
      <c r="C199">
        <v>1</v>
      </c>
      <c r="D199">
        <v>5</v>
      </c>
      <c r="E199">
        <v>2018</v>
      </c>
      <c r="F199">
        <v>2999.99</v>
      </c>
      <c r="G199" t="str">
        <f>VLOOKUP(products!D199,categories[#All],2,TRUE)</f>
        <v>Electric Bikes</v>
      </c>
    </row>
    <row r="200" spans="1:7" x14ac:dyDescent="0.3">
      <c r="A200">
        <v>199</v>
      </c>
      <c r="B200" t="s">
        <v>5498</v>
      </c>
      <c r="C200">
        <v>1</v>
      </c>
      <c r="D200">
        <v>5</v>
      </c>
      <c r="E200">
        <v>2018</v>
      </c>
      <c r="F200">
        <v>2999.99</v>
      </c>
      <c r="G200" t="str">
        <f>VLOOKUP(products!D200,categories[#All],2,TRUE)</f>
        <v>Electric Bikes</v>
      </c>
    </row>
    <row r="201" spans="1:7" x14ac:dyDescent="0.3">
      <c r="A201">
        <v>200</v>
      </c>
      <c r="B201" t="s">
        <v>5499</v>
      </c>
      <c r="C201">
        <v>9</v>
      </c>
      <c r="D201">
        <v>5</v>
      </c>
      <c r="E201">
        <v>2018</v>
      </c>
      <c r="F201">
        <v>3499.99</v>
      </c>
      <c r="G201" t="str">
        <f>VLOOKUP(products!D201,categories[#All],2,TRUE)</f>
        <v>Electric Bikes</v>
      </c>
    </row>
    <row r="202" spans="1:7" x14ac:dyDescent="0.3">
      <c r="A202">
        <v>201</v>
      </c>
      <c r="B202" t="s">
        <v>5500</v>
      </c>
      <c r="C202">
        <v>9</v>
      </c>
      <c r="D202">
        <v>5</v>
      </c>
      <c r="E202">
        <v>2018</v>
      </c>
      <c r="F202">
        <v>4499.99</v>
      </c>
      <c r="G202" t="str">
        <f>VLOOKUP(products!D202,categories[#All],2,TRUE)</f>
        <v>Electric Bikes</v>
      </c>
    </row>
    <row r="203" spans="1:7" x14ac:dyDescent="0.3">
      <c r="A203">
        <v>202</v>
      </c>
      <c r="B203" t="s">
        <v>5501</v>
      </c>
      <c r="C203">
        <v>9</v>
      </c>
      <c r="D203">
        <v>5</v>
      </c>
      <c r="E203">
        <v>2018</v>
      </c>
      <c r="F203">
        <v>3499.99</v>
      </c>
      <c r="G203" t="str">
        <f>VLOOKUP(products!D203,categories[#All],2,TRUE)</f>
        <v>Electric Bikes</v>
      </c>
    </row>
    <row r="204" spans="1:7" x14ac:dyDescent="0.3">
      <c r="A204">
        <v>203</v>
      </c>
      <c r="B204" t="s">
        <v>5502</v>
      </c>
      <c r="C204">
        <v>9</v>
      </c>
      <c r="D204">
        <v>5</v>
      </c>
      <c r="E204">
        <v>2018</v>
      </c>
      <c r="F204">
        <v>4999.99</v>
      </c>
      <c r="G204" t="str">
        <f>VLOOKUP(products!D204,categories[#All],2,TRUE)</f>
        <v>Electric Bikes</v>
      </c>
    </row>
    <row r="205" spans="1:7" x14ac:dyDescent="0.3">
      <c r="A205">
        <v>204</v>
      </c>
      <c r="B205" t="s">
        <v>5503</v>
      </c>
      <c r="C205">
        <v>9</v>
      </c>
      <c r="D205">
        <v>5</v>
      </c>
      <c r="E205">
        <v>2018</v>
      </c>
      <c r="F205">
        <v>3599.99</v>
      </c>
      <c r="G205" t="str">
        <f>VLOOKUP(products!D205,categories[#All],2,TRUE)</f>
        <v>Electric Bikes</v>
      </c>
    </row>
    <row r="206" spans="1:7" x14ac:dyDescent="0.3">
      <c r="A206">
        <v>205</v>
      </c>
      <c r="B206" t="s">
        <v>5504</v>
      </c>
      <c r="C206">
        <v>9</v>
      </c>
      <c r="D206">
        <v>5</v>
      </c>
      <c r="E206">
        <v>2018</v>
      </c>
      <c r="F206">
        <v>4999.99</v>
      </c>
      <c r="G206" t="str">
        <f>VLOOKUP(products!D206,categories[#All],2,TRUE)</f>
        <v>Electric Bikes</v>
      </c>
    </row>
    <row r="207" spans="1:7" x14ac:dyDescent="0.3">
      <c r="A207">
        <v>206</v>
      </c>
      <c r="B207" t="s">
        <v>5505</v>
      </c>
      <c r="C207">
        <v>9</v>
      </c>
      <c r="D207">
        <v>4</v>
      </c>
      <c r="E207">
        <v>2018</v>
      </c>
      <c r="F207">
        <v>3299.99</v>
      </c>
      <c r="G207" t="str">
        <f>VLOOKUP(products!D207,categories[#All],2,TRUE)</f>
        <v>Cyclocross Bicycles</v>
      </c>
    </row>
    <row r="208" spans="1:7" x14ac:dyDescent="0.3">
      <c r="A208">
        <v>207</v>
      </c>
      <c r="B208" t="s">
        <v>5506</v>
      </c>
      <c r="C208">
        <v>9</v>
      </c>
      <c r="D208">
        <v>4</v>
      </c>
      <c r="E208">
        <v>2018</v>
      </c>
      <c r="F208">
        <v>3999.99</v>
      </c>
      <c r="G208" t="str">
        <f>VLOOKUP(products!D208,categories[#All],2,TRUE)</f>
        <v>Cyclocross Bicycles</v>
      </c>
    </row>
    <row r="209" spans="1:7" x14ac:dyDescent="0.3">
      <c r="A209">
        <v>208</v>
      </c>
      <c r="B209" t="s">
        <v>5507</v>
      </c>
      <c r="C209">
        <v>9</v>
      </c>
      <c r="D209">
        <v>4</v>
      </c>
      <c r="E209">
        <v>2018</v>
      </c>
      <c r="F209">
        <v>1799.99</v>
      </c>
      <c r="G209" t="str">
        <f>VLOOKUP(products!D209,categories[#All],2,TRUE)</f>
        <v>Cyclocross Bicycles</v>
      </c>
    </row>
    <row r="210" spans="1:7" x14ac:dyDescent="0.3">
      <c r="A210">
        <v>209</v>
      </c>
      <c r="B210" t="s">
        <v>5508</v>
      </c>
      <c r="C210">
        <v>9</v>
      </c>
      <c r="D210">
        <v>4</v>
      </c>
      <c r="E210">
        <v>2018</v>
      </c>
      <c r="F210">
        <v>2999.99</v>
      </c>
      <c r="G210" t="str">
        <f>VLOOKUP(products!D210,categories[#All],2,TRUE)</f>
        <v>Cyclocross Bicycles</v>
      </c>
    </row>
    <row r="211" spans="1:7" x14ac:dyDescent="0.3">
      <c r="A211">
        <v>210</v>
      </c>
      <c r="B211" t="s">
        <v>5467</v>
      </c>
      <c r="C211">
        <v>8</v>
      </c>
      <c r="D211">
        <v>4</v>
      </c>
      <c r="E211">
        <v>2018</v>
      </c>
      <c r="F211">
        <v>1549</v>
      </c>
      <c r="G211" t="str">
        <f>VLOOKUP(products!D211,categories[#All],2,TRUE)</f>
        <v>Cyclocross Bicycles</v>
      </c>
    </row>
    <row r="212" spans="1:7" x14ac:dyDescent="0.3">
      <c r="A212">
        <v>211</v>
      </c>
      <c r="B212" t="s">
        <v>5463</v>
      </c>
      <c r="C212">
        <v>8</v>
      </c>
      <c r="D212">
        <v>4</v>
      </c>
      <c r="E212">
        <v>2018</v>
      </c>
      <c r="F212">
        <v>1549</v>
      </c>
      <c r="G212" t="str">
        <f>VLOOKUP(products!D212,categories[#All],2,TRUE)</f>
        <v>Cyclocross Bicycles</v>
      </c>
    </row>
    <row r="213" spans="1:7" x14ac:dyDescent="0.3">
      <c r="A213">
        <v>212</v>
      </c>
      <c r="B213" t="s">
        <v>5509</v>
      </c>
      <c r="C213">
        <v>1</v>
      </c>
      <c r="D213">
        <v>3</v>
      </c>
      <c r="E213">
        <v>2018</v>
      </c>
      <c r="F213">
        <v>559.99</v>
      </c>
      <c r="G213" t="str">
        <f>VLOOKUP(products!D213,categories[#All],2,TRUE)</f>
        <v>Cruisers Bicycles</v>
      </c>
    </row>
    <row r="214" spans="1:7" x14ac:dyDescent="0.3">
      <c r="A214">
        <v>213</v>
      </c>
      <c r="B214" t="s">
        <v>5510</v>
      </c>
      <c r="C214">
        <v>1</v>
      </c>
      <c r="D214">
        <v>3</v>
      </c>
      <c r="E214">
        <v>2018</v>
      </c>
      <c r="F214">
        <v>269.99</v>
      </c>
      <c r="G214" t="str">
        <f>VLOOKUP(products!D214,categories[#All],2,TRUE)</f>
        <v>Cruisers Bicycles</v>
      </c>
    </row>
    <row r="215" spans="1:7" x14ac:dyDescent="0.3">
      <c r="A215">
        <v>214</v>
      </c>
      <c r="B215" t="s">
        <v>5511</v>
      </c>
      <c r="C215">
        <v>1</v>
      </c>
      <c r="D215">
        <v>3</v>
      </c>
      <c r="E215">
        <v>2018</v>
      </c>
      <c r="F215">
        <v>899.99</v>
      </c>
      <c r="G215" t="str">
        <f>VLOOKUP(products!D215,categories[#All],2,TRUE)</f>
        <v>Cruisers Bicycles</v>
      </c>
    </row>
    <row r="216" spans="1:7" x14ac:dyDescent="0.3">
      <c r="A216">
        <v>215</v>
      </c>
      <c r="B216" t="s">
        <v>5512</v>
      </c>
      <c r="C216">
        <v>1</v>
      </c>
      <c r="D216">
        <v>3</v>
      </c>
      <c r="E216">
        <v>2018</v>
      </c>
      <c r="F216">
        <v>749.99</v>
      </c>
      <c r="G216" t="str">
        <f>VLOOKUP(products!D216,categories[#All],2,TRUE)</f>
        <v>Cruisers Bicycles</v>
      </c>
    </row>
    <row r="217" spans="1:7" x14ac:dyDescent="0.3">
      <c r="A217">
        <v>216</v>
      </c>
      <c r="B217" t="s">
        <v>5513</v>
      </c>
      <c r="C217">
        <v>1</v>
      </c>
      <c r="D217">
        <v>3</v>
      </c>
      <c r="E217">
        <v>2018</v>
      </c>
      <c r="F217">
        <v>899.99</v>
      </c>
      <c r="G217" t="str">
        <f>VLOOKUP(products!D217,categories[#All],2,TRUE)</f>
        <v>Cruisers Bicycles</v>
      </c>
    </row>
    <row r="218" spans="1:7" x14ac:dyDescent="0.3">
      <c r="A218">
        <v>217</v>
      </c>
      <c r="B218" t="s">
        <v>5514</v>
      </c>
      <c r="C218">
        <v>1</v>
      </c>
      <c r="D218">
        <v>3</v>
      </c>
      <c r="E218">
        <v>2018</v>
      </c>
      <c r="F218">
        <v>909.99</v>
      </c>
      <c r="G218" t="str">
        <f>VLOOKUP(products!D218,categories[#All],2,TRUE)</f>
        <v>Cruisers Bicycles</v>
      </c>
    </row>
    <row r="219" spans="1:7" x14ac:dyDescent="0.3">
      <c r="A219">
        <v>218</v>
      </c>
      <c r="B219" t="s">
        <v>5515</v>
      </c>
      <c r="C219">
        <v>1</v>
      </c>
      <c r="D219">
        <v>3</v>
      </c>
      <c r="E219">
        <v>2018</v>
      </c>
      <c r="F219">
        <v>319.99</v>
      </c>
      <c r="G219" t="str">
        <f>VLOOKUP(products!D219,categories[#All],2,TRUE)</f>
        <v>Cruisers Bicycles</v>
      </c>
    </row>
    <row r="220" spans="1:7" x14ac:dyDescent="0.3">
      <c r="A220">
        <v>219</v>
      </c>
      <c r="B220" t="s">
        <v>5516</v>
      </c>
      <c r="C220">
        <v>1</v>
      </c>
      <c r="D220">
        <v>3</v>
      </c>
      <c r="E220">
        <v>2018</v>
      </c>
      <c r="F220">
        <v>639.99</v>
      </c>
      <c r="G220" t="str">
        <f>VLOOKUP(products!D220,categories[#All],2,TRUE)</f>
        <v>Cruisers Bicycles</v>
      </c>
    </row>
    <row r="221" spans="1:7" x14ac:dyDescent="0.3">
      <c r="A221">
        <v>220</v>
      </c>
      <c r="B221" t="s">
        <v>5517</v>
      </c>
      <c r="C221">
        <v>1</v>
      </c>
      <c r="D221">
        <v>3</v>
      </c>
      <c r="E221">
        <v>2018</v>
      </c>
      <c r="F221">
        <v>269.99</v>
      </c>
      <c r="G221" t="str">
        <f>VLOOKUP(products!D221,categories[#All],2,TRUE)</f>
        <v>Cruisers Bicycles</v>
      </c>
    </row>
    <row r="222" spans="1:7" x14ac:dyDescent="0.3">
      <c r="A222">
        <v>221</v>
      </c>
      <c r="B222" t="s">
        <v>5518</v>
      </c>
      <c r="C222">
        <v>1</v>
      </c>
      <c r="D222">
        <v>3</v>
      </c>
      <c r="E222">
        <v>2018</v>
      </c>
      <c r="F222">
        <v>319.99</v>
      </c>
      <c r="G222" t="str">
        <f>VLOOKUP(products!D222,categories[#All],2,TRUE)</f>
        <v>Cruisers Bicycles</v>
      </c>
    </row>
    <row r="223" spans="1:7" x14ac:dyDescent="0.3">
      <c r="A223">
        <v>222</v>
      </c>
      <c r="B223" t="s">
        <v>5519</v>
      </c>
      <c r="C223">
        <v>1</v>
      </c>
      <c r="D223">
        <v>3</v>
      </c>
      <c r="E223">
        <v>2018</v>
      </c>
      <c r="F223">
        <v>269.99</v>
      </c>
      <c r="G223" t="str">
        <f>VLOOKUP(products!D223,categories[#All],2,TRUE)</f>
        <v>Cruisers Bicycles</v>
      </c>
    </row>
    <row r="224" spans="1:7" x14ac:dyDescent="0.3">
      <c r="A224">
        <v>223</v>
      </c>
      <c r="B224" t="s">
        <v>5520</v>
      </c>
      <c r="C224">
        <v>1</v>
      </c>
      <c r="D224">
        <v>3</v>
      </c>
      <c r="E224">
        <v>2018</v>
      </c>
      <c r="F224">
        <v>529.99</v>
      </c>
      <c r="G224" t="str">
        <f>VLOOKUP(products!D224,categories[#All],2,TRUE)</f>
        <v>Cruisers Bicycles</v>
      </c>
    </row>
    <row r="225" spans="1:7" x14ac:dyDescent="0.3">
      <c r="A225">
        <v>224</v>
      </c>
      <c r="B225" t="s">
        <v>5521</v>
      </c>
      <c r="C225">
        <v>1</v>
      </c>
      <c r="D225">
        <v>3</v>
      </c>
      <c r="E225">
        <v>2018</v>
      </c>
      <c r="F225">
        <v>479.99</v>
      </c>
      <c r="G225" t="str">
        <f>VLOOKUP(products!D225,categories[#All],2,TRUE)</f>
        <v>Cruisers Bicycles</v>
      </c>
    </row>
    <row r="226" spans="1:7" x14ac:dyDescent="0.3">
      <c r="A226">
        <v>225</v>
      </c>
      <c r="B226" t="s">
        <v>5522</v>
      </c>
      <c r="C226">
        <v>1</v>
      </c>
      <c r="D226">
        <v>3</v>
      </c>
      <c r="E226">
        <v>2018</v>
      </c>
      <c r="F226">
        <v>959.99</v>
      </c>
      <c r="G226" t="str">
        <f>VLOOKUP(products!D226,categories[#All],2,TRUE)</f>
        <v>Cruisers Bicycles</v>
      </c>
    </row>
    <row r="227" spans="1:7" x14ac:dyDescent="0.3">
      <c r="A227">
        <v>226</v>
      </c>
      <c r="B227" t="s">
        <v>5523</v>
      </c>
      <c r="C227">
        <v>1</v>
      </c>
      <c r="D227">
        <v>3</v>
      </c>
      <c r="E227">
        <v>2018</v>
      </c>
      <c r="F227">
        <v>679.99</v>
      </c>
      <c r="G227" t="str">
        <f>VLOOKUP(products!D227,categories[#All],2,TRUE)</f>
        <v>Cruisers Bicycles</v>
      </c>
    </row>
    <row r="228" spans="1:7" x14ac:dyDescent="0.3">
      <c r="A228">
        <v>227</v>
      </c>
      <c r="B228" t="s">
        <v>5524</v>
      </c>
      <c r="C228">
        <v>1</v>
      </c>
      <c r="D228">
        <v>3</v>
      </c>
      <c r="E228">
        <v>2018</v>
      </c>
      <c r="F228">
        <v>319.99</v>
      </c>
      <c r="G228" t="str">
        <f>VLOOKUP(products!D228,categories[#All],2,TRUE)</f>
        <v>Cruisers Bicycles</v>
      </c>
    </row>
    <row r="229" spans="1:7" x14ac:dyDescent="0.3">
      <c r="A229">
        <v>228</v>
      </c>
      <c r="B229" t="s">
        <v>5525</v>
      </c>
      <c r="C229">
        <v>1</v>
      </c>
      <c r="D229">
        <v>3</v>
      </c>
      <c r="E229">
        <v>2018</v>
      </c>
      <c r="F229">
        <v>319.99</v>
      </c>
      <c r="G229" t="str">
        <f>VLOOKUP(products!D229,categories[#All],2,TRUE)</f>
        <v>Cruisers Bicycles</v>
      </c>
    </row>
    <row r="230" spans="1:7" x14ac:dyDescent="0.3">
      <c r="A230">
        <v>229</v>
      </c>
      <c r="B230" t="s">
        <v>5526</v>
      </c>
      <c r="C230">
        <v>1</v>
      </c>
      <c r="D230">
        <v>3</v>
      </c>
      <c r="E230">
        <v>2018</v>
      </c>
      <c r="F230">
        <v>429.99</v>
      </c>
      <c r="G230" t="str">
        <f>VLOOKUP(products!D230,categories[#All],2,TRUE)</f>
        <v>Cruisers Bicycles</v>
      </c>
    </row>
    <row r="231" spans="1:7" x14ac:dyDescent="0.3">
      <c r="A231">
        <v>230</v>
      </c>
      <c r="B231" t="s">
        <v>5527</v>
      </c>
      <c r="C231">
        <v>1</v>
      </c>
      <c r="D231">
        <v>3</v>
      </c>
      <c r="E231">
        <v>2018</v>
      </c>
      <c r="F231">
        <v>429.99</v>
      </c>
      <c r="G231" t="str">
        <f>VLOOKUP(products!D231,categories[#All],2,TRUE)</f>
        <v>Cruisers Bicycles</v>
      </c>
    </row>
    <row r="232" spans="1:7" x14ac:dyDescent="0.3">
      <c r="A232">
        <v>231</v>
      </c>
      <c r="B232" t="s">
        <v>5528</v>
      </c>
      <c r="C232">
        <v>1</v>
      </c>
      <c r="D232">
        <v>3</v>
      </c>
      <c r="E232">
        <v>2018</v>
      </c>
      <c r="F232">
        <v>529.99</v>
      </c>
      <c r="G232" t="str">
        <f>VLOOKUP(products!D232,categories[#All],2,TRUE)</f>
        <v>Cruisers Bicycles</v>
      </c>
    </row>
    <row r="233" spans="1:7" x14ac:dyDescent="0.3">
      <c r="A233">
        <v>232</v>
      </c>
      <c r="B233" t="s">
        <v>5529</v>
      </c>
      <c r="C233">
        <v>1</v>
      </c>
      <c r="D233">
        <v>3</v>
      </c>
      <c r="E233">
        <v>2018</v>
      </c>
      <c r="F233">
        <v>479.99</v>
      </c>
      <c r="G233" t="str">
        <f>VLOOKUP(products!D233,categories[#All],2,TRUE)</f>
        <v>Cruisers Bicycles</v>
      </c>
    </row>
    <row r="234" spans="1:7" x14ac:dyDescent="0.3">
      <c r="A234">
        <v>233</v>
      </c>
      <c r="B234" t="s">
        <v>5530</v>
      </c>
      <c r="C234">
        <v>1</v>
      </c>
      <c r="D234">
        <v>3</v>
      </c>
      <c r="E234">
        <v>2018</v>
      </c>
      <c r="F234">
        <v>639.99</v>
      </c>
      <c r="G234" t="str">
        <f>VLOOKUP(products!D234,categories[#All],2,TRUE)</f>
        <v>Cruisers Bicycles</v>
      </c>
    </row>
    <row r="235" spans="1:7" x14ac:dyDescent="0.3">
      <c r="A235">
        <v>234</v>
      </c>
      <c r="B235" t="s">
        <v>5531</v>
      </c>
      <c r="C235">
        <v>1</v>
      </c>
      <c r="D235">
        <v>3</v>
      </c>
      <c r="E235">
        <v>2018</v>
      </c>
      <c r="F235">
        <v>899.99</v>
      </c>
      <c r="G235" t="str">
        <f>VLOOKUP(products!D235,categories[#All],2,TRUE)</f>
        <v>Cruisers Bicycles</v>
      </c>
    </row>
    <row r="236" spans="1:7" x14ac:dyDescent="0.3">
      <c r="A236">
        <v>235</v>
      </c>
      <c r="B236" t="s">
        <v>5532</v>
      </c>
      <c r="C236">
        <v>1</v>
      </c>
      <c r="D236">
        <v>3</v>
      </c>
      <c r="E236">
        <v>2018</v>
      </c>
      <c r="F236">
        <v>899.99</v>
      </c>
      <c r="G236" t="str">
        <f>VLOOKUP(products!D236,categories[#All],2,TRUE)</f>
        <v>Cruisers Bicycles</v>
      </c>
    </row>
    <row r="237" spans="1:7" x14ac:dyDescent="0.3">
      <c r="A237">
        <v>236</v>
      </c>
      <c r="B237" t="s">
        <v>5533</v>
      </c>
      <c r="C237">
        <v>1</v>
      </c>
      <c r="D237">
        <v>3</v>
      </c>
      <c r="E237">
        <v>2018</v>
      </c>
      <c r="F237">
        <v>749.99</v>
      </c>
      <c r="G237" t="str">
        <f>VLOOKUP(products!D237,categories[#All],2,TRUE)</f>
        <v>Cruisers Bicycles</v>
      </c>
    </row>
    <row r="238" spans="1:7" x14ac:dyDescent="0.3">
      <c r="A238">
        <v>237</v>
      </c>
      <c r="B238" t="s">
        <v>5534</v>
      </c>
      <c r="C238">
        <v>1</v>
      </c>
      <c r="D238">
        <v>3</v>
      </c>
      <c r="E238">
        <v>2018</v>
      </c>
      <c r="F238">
        <v>849.99</v>
      </c>
      <c r="G238" t="str">
        <f>VLOOKUP(products!D238,categories[#All],2,TRUE)</f>
        <v>Cruisers Bicycles</v>
      </c>
    </row>
    <row r="239" spans="1:7" x14ac:dyDescent="0.3">
      <c r="A239">
        <v>238</v>
      </c>
      <c r="B239" t="s">
        <v>5535</v>
      </c>
      <c r="C239">
        <v>1</v>
      </c>
      <c r="D239">
        <v>3</v>
      </c>
      <c r="E239">
        <v>2018</v>
      </c>
      <c r="F239">
        <v>749.99</v>
      </c>
      <c r="G239" t="str">
        <f>VLOOKUP(products!D239,categories[#All],2,TRUE)</f>
        <v>Cruisers Bicycles</v>
      </c>
    </row>
    <row r="240" spans="1:7" x14ac:dyDescent="0.3">
      <c r="A240">
        <v>239</v>
      </c>
      <c r="B240" t="s">
        <v>5536</v>
      </c>
      <c r="C240">
        <v>1</v>
      </c>
      <c r="D240">
        <v>3</v>
      </c>
      <c r="E240">
        <v>2018</v>
      </c>
      <c r="F240">
        <v>749.99</v>
      </c>
      <c r="G240" t="str">
        <f>VLOOKUP(products!D240,categories[#All],2,TRUE)</f>
        <v>Cruisers Bicycles</v>
      </c>
    </row>
    <row r="241" spans="1:7" x14ac:dyDescent="0.3">
      <c r="A241">
        <v>240</v>
      </c>
      <c r="B241" t="s">
        <v>5537</v>
      </c>
      <c r="C241">
        <v>1</v>
      </c>
      <c r="D241">
        <v>3</v>
      </c>
      <c r="E241">
        <v>2018</v>
      </c>
      <c r="F241">
        <v>899.99</v>
      </c>
      <c r="G241" t="str">
        <f>VLOOKUP(products!D241,categories[#All],2,TRUE)</f>
        <v>Cruisers Bicycles</v>
      </c>
    </row>
    <row r="242" spans="1:7" x14ac:dyDescent="0.3">
      <c r="A242">
        <v>241</v>
      </c>
      <c r="B242" t="s">
        <v>5538</v>
      </c>
      <c r="C242">
        <v>1</v>
      </c>
      <c r="D242">
        <v>3</v>
      </c>
      <c r="E242">
        <v>2018</v>
      </c>
      <c r="F242">
        <v>749.99</v>
      </c>
      <c r="G242" t="str">
        <f>VLOOKUP(products!D242,categories[#All],2,TRUE)</f>
        <v>Cruisers Bicycles</v>
      </c>
    </row>
    <row r="243" spans="1:7" x14ac:dyDescent="0.3">
      <c r="A243">
        <v>242</v>
      </c>
      <c r="B243" t="s">
        <v>5539</v>
      </c>
      <c r="C243">
        <v>1</v>
      </c>
      <c r="D243">
        <v>3</v>
      </c>
      <c r="E243">
        <v>2018</v>
      </c>
      <c r="F243">
        <v>699.99</v>
      </c>
      <c r="G243" t="str">
        <f>VLOOKUP(products!D243,categories[#All],2,TRUE)</f>
        <v>Cruisers Bicycles</v>
      </c>
    </row>
    <row r="244" spans="1:7" x14ac:dyDescent="0.3">
      <c r="A244">
        <v>243</v>
      </c>
      <c r="B244" t="s">
        <v>5540</v>
      </c>
      <c r="C244">
        <v>1</v>
      </c>
      <c r="D244">
        <v>3</v>
      </c>
      <c r="E244">
        <v>2018</v>
      </c>
      <c r="F244">
        <v>679.99</v>
      </c>
      <c r="G244" t="str">
        <f>VLOOKUP(products!D244,categories[#All],2,TRUE)</f>
        <v>Cruisers Bicycles</v>
      </c>
    </row>
    <row r="245" spans="1:7" x14ac:dyDescent="0.3">
      <c r="A245">
        <v>244</v>
      </c>
      <c r="B245" t="s">
        <v>5541</v>
      </c>
      <c r="C245">
        <v>1</v>
      </c>
      <c r="D245">
        <v>3</v>
      </c>
      <c r="E245">
        <v>2018</v>
      </c>
      <c r="F245">
        <v>559.99</v>
      </c>
      <c r="G245" t="str">
        <f>VLOOKUP(products!D245,categories[#All],2,TRUE)</f>
        <v>Cruisers Bicycles</v>
      </c>
    </row>
    <row r="246" spans="1:7" x14ac:dyDescent="0.3">
      <c r="A246">
        <v>245</v>
      </c>
      <c r="B246" t="s">
        <v>5542</v>
      </c>
      <c r="C246">
        <v>1</v>
      </c>
      <c r="D246">
        <v>3</v>
      </c>
      <c r="E246">
        <v>2018</v>
      </c>
      <c r="F246">
        <v>659.99</v>
      </c>
      <c r="G246" t="str">
        <f>VLOOKUP(products!D246,categories[#All],2,TRUE)</f>
        <v>Cruisers Bicycles</v>
      </c>
    </row>
    <row r="247" spans="1:7" x14ac:dyDescent="0.3">
      <c r="A247">
        <v>246</v>
      </c>
      <c r="B247" t="s">
        <v>5543</v>
      </c>
      <c r="C247">
        <v>1</v>
      </c>
      <c r="D247">
        <v>3</v>
      </c>
      <c r="E247">
        <v>2018</v>
      </c>
      <c r="F247">
        <v>639.99</v>
      </c>
      <c r="G247" t="str">
        <f>VLOOKUP(products!D247,categories[#All],2,TRUE)</f>
        <v>Cruisers Bicycles</v>
      </c>
    </row>
    <row r="248" spans="1:7" x14ac:dyDescent="0.3">
      <c r="A248">
        <v>247</v>
      </c>
      <c r="B248" t="s">
        <v>5544</v>
      </c>
      <c r="C248">
        <v>1</v>
      </c>
      <c r="D248">
        <v>3</v>
      </c>
      <c r="E248">
        <v>2018</v>
      </c>
      <c r="F248">
        <v>599.99</v>
      </c>
      <c r="G248" t="str">
        <f>VLOOKUP(products!D248,categories[#All],2,TRUE)</f>
        <v>Cruisers Bicycles</v>
      </c>
    </row>
    <row r="249" spans="1:7" x14ac:dyDescent="0.3">
      <c r="A249">
        <v>248</v>
      </c>
      <c r="B249" t="s">
        <v>5545</v>
      </c>
      <c r="C249">
        <v>1</v>
      </c>
      <c r="D249">
        <v>3</v>
      </c>
      <c r="E249">
        <v>2018</v>
      </c>
      <c r="F249">
        <v>599.99</v>
      </c>
      <c r="G249" t="str">
        <f>VLOOKUP(products!D249,categories[#All],2,TRUE)</f>
        <v>Cruisers Bicycles</v>
      </c>
    </row>
    <row r="250" spans="1:7" x14ac:dyDescent="0.3">
      <c r="A250">
        <v>249</v>
      </c>
      <c r="B250" t="s">
        <v>5546</v>
      </c>
      <c r="C250">
        <v>1</v>
      </c>
      <c r="D250">
        <v>3</v>
      </c>
      <c r="E250">
        <v>2018</v>
      </c>
      <c r="F250">
        <v>749.99</v>
      </c>
      <c r="G250" t="str">
        <f>VLOOKUP(products!D250,categories[#All],2,TRUE)</f>
        <v>Cruisers Bicycles</v>
      </c>
    </row>
    <row r="251" spans="1:7" x14ac:dyDescent="0.3">
      <c r="A251">
        <v>250</v>
      </c>
      <c r="B251" t="s">
        <v>5491</v>
      </c>
      <c r="C251">
        <v>1</v>
      </c>
      <c r="D251">
        <v>3</v>
      </c>
      <c r="E251">
        <v>2018</v>
      </c>
      <c r="F251">
        <v>2599.9899999999998</v>
      </c>
      <c r="G251" t="str">
        <f>VLOOKUP(products!D251,categories[#All],2,TRUE)</f>
        <v>Cruisers Bicycles</v>
      </c>
    </row>
    <row r="252" spans="1:7" x14ac:dyDescent="0.3">
      <c r="A252">
        <v>251</v>
      </c>
      <c r="B252" t="s">
        <v>5497</v>
      </c>
      <c r="C252">
        <v>1</v>
      </c>
      <c r="D252">
        <v>3</v>
      </c>
      <c r="E252">
        <v>2018</v>
      </c>
      <c r="F252">
        <v>2999.99</v>
      </c>
      <c r="G252" t="str">
        <f>VLOOKUP(products!D252,categories[#All],2,TRUE)</f>
        <v>Cruisers Bicycles</v>
      </c>
    </row>
    <row r="253" spans="1:7" x14ac:dyDescent="0.3">
      <c r="A253">
        <v>252</v>
      </c>
      <c r="B253" t="s">
        <v>5498</v>
      </c>
      <c r="C253">
        <v>1</v>
      </c>
      <c r="D253">
        <v>3</v>
      </c>
      <c r="E253">
        <v>2018</v>
      </c>
      <c r="F253">
        <v>2999.99</v>
      </c>
      <c r="G253" t="str">
        <f>VLOOKUP(products!D253,categories[#All],2,TRUE)</f>
        <v>Cruisers Bicycles</v>
      </c>
    </row>
    <row r="254" spans="1:7" x14ac:dyDescent="0.3">
      <c r="A254">
        <v>253</v>
      </c>
      <c r="B254" t="s">
        <v>5494</v>
      </c>
      <c r="C254">
        <v>1</v>
      </c>
      <c r="D254">
        <v>3</v>
      </c>
      <c r="E254">
        <v>2018</v>
      </c>
      <c r="F254">
        <v>2599.9899999999998</v>
      </c>
      <c r="G254" t="str">
        <f>VLOOKUP(products!D254,categories[#All],2,TRUE)</f>
        <v>Cruisers Bicycles</v>
      </c>
    </row>
    <row r="255" spans="1:7" x14ac:dyDescent="0.3">
      <c r="A255">
        <v>254</v>
      </c>
      <c r="B255" t="s">
        <v>5547</v>
      </c>
      <c r="C255">
        <v>1</v>
      </c>
      <c r="D255">
        <v>3</v>
      </c>
      <c r="E255">
        <v>2018</v>
      </c>
      <c r="F255">
        <v>749.99</v>
      </c>
      <c r="G255" t="str">
        <f>VLOOKUP(products!D255,categories[#All],2,TRUE)</f>
        <v>Cruisers Bicycles</v>
      </c>
    </row>
    <row r="256" spans="1:7" x14ac:dyDescent="0.3">
      <c r="A256">
        <v>255</v>
      </c>
      <c r="B256" t="s">
        <v>5548</v>
      </c>
      <c r="C256">
        <v>1</v>
      </c>
      <c r="D256">
        <v>3</v>
      </c>
      <c r="E256">
        <v>2018</v>
      </c>
      <c r="F256">
        <v>899.99</v>
      </c>
      <c r="G256" t="str">
        <f>VLOOKUP(products!D256,categories[#All],2,TRUE)</f>
        <v>Cruisers Bicycles</v>
      </c>
    </row>
    <row r="257" spans="1:7" x14ac:dyDescent="0.3">
      <c r="A257">
        <v>256</v>
      </c>
      <c r="B257" t="s">
        <v>5549</v>
      </c>
      <c r="C257">
        <v>1</v>
      </c>
      <c r="D257">
        <v>3</v>
      </c>
      <c r="E257">
        <v>2018</v>
      </c>
      <c r="F257">
        <v>899.99</v>
      </c>
      <c r="G257" t="str">
        <f>VLOOKUP(products!D257,categories[#All],2,TRUE)</f>
        <v>Cruisers Bicycles</v>
      </c>
    </row>
    <row r="258" spans="1:7" x14ac:dyDescent="0.3">
      <c r="A258">
        <v>257</v>
      </c>
      <c r="B258" t="s">
        <v>5550</v>
      </c>
      <c r="C258">
        <v>1</v>
      </c>
      <c r="D258">
        <v>3</v>
      </c>
      <c r="E258">
        <v>2018</v>
      </c>
      <c r="F258">
        <v>899.99</v>
      </c>
      <c r="G258" t="str">
        <f>VLOOKUP(products!D258,categories[#All],2,TRUE)</f>
        <v>Cruisers Bicycles</v>
      </c>
    </row>
    <row r="259" spans="1:7" x14ac:dyDescent="0.3">
      <c r="A259">
        <v>258</v>
      </c>
      <c r="B259" t="s">
        <v>5551</v>
      </c>
      <c r="C259">
        <v>1</v>
      </c>
      <c r="D259">
        <v>3</v>
      </c>
      <c r="E259">
        <v>2018</v>
      </c>
      <c r="F259">
        <v>1259.9000000000001</v>
      </c>
      <c r="G259" t="str">
        <f>VLOOKUP(products!D259,categories[#All],2,TRUE)</f>
        <v>Cruisers Bicycles</v>
      </c>
    </row>
    <row r="260" spans="1:7" x14ac:dyDescent="0.3">
      <c r="A260">
        <v>259</v>
      </c>
      <c r="B260" t="s">
        <v>5552</v>
      </c>
      <c r="C260">
        <v>1</v>
      </c>
      <c r="D260">
        <v>3</v>
      </c>
      <c r="E260">
        <v>2018</v>
      </c>
      <c r="F260">
        <v>1199.99</v>
      </c>
      <c r="G260" t="str">
        <f>VLOOKUP(products!D260,categories[#All],2,TRUE)</f>
        <v>Cruisers Bicycles</v>
      </c>
    </row>
    <row r="261" spans="1:7" x14ac:dyDescent="0.3">
      <c r="A261">
        <v>260</v>
      </c>
      <c r="B261" t="s">
        <v>5553</v>
      </c>
      <c r="C261">
        <v>1</v>
      </c>
      <c r="D261">
        <v>3</v>
      </c>
      <c r="E261">
        <v>2018</v>
      </c>
      <c r="F261">
        <v>799.99</v>
      </c>
      <c r="G261" t="str">
        <f>VLOOKUP(products!D261,categories[#All],2,TRUE)</f>
        <v>Cruisers Bicycles</v>
      </c>
    </row>
    <row r="262" spans="1:7" x14ac:dyDescent="0.3">
      <c r="A262">
        <v>261</v>
      </c>
      <c r="B262" t="s">
        <v>5554</v>
      </c>
      <c r="C262">
        <v>1</v>
      </c>
      <c r="D262">
        <v>3</v>
      </c>
      <c r="E262">
        <v>2018</v>
      </c>
      <c r="F262">
        <v>899.99</v>
      </c>
      <c r="G262" t="str">
        <f>VLOOKUP(products!D262,categories[#All],2,TRUE)</f>
        <v>Cruisers Bicycles</v>
      </c>
    </row>
    <row r="263" spans="1:7" x14ac:dyDescent="0.3">
      <c r="A263">
        <v>262</v>
      </c>
      <c r="B263" t="s">
        <v>5555</v>
      </c>
      <c r="C263">
        <v>9</v>
      </c>
      <c r="D263">
        <v>1</v>
      </c>
      <c r="E263">
        <v>2018</v>
      </c>
      <c r="F263">
        <v>249.99</v>
      </c>
      <c r="G263" t="str">
        <f>VLOOKUP(products!D263,categories[#All],2,TRUE)</f>
        <v>Children Bicycles</v>
      </c>
    </row>
    <row r="264" spans="1:7" x14ac:dyDescent="0.3">
      <c r="A264">
        <v>263</v>
      </c>
      <c r="B264" t="s">
        <v>5556</v>
      </c>
      <c r="C264">
        <v>6</v>
      </c>
      <c r="D264">
        <v>1</v>
      </c>
      <c r="E264">
        <v>2018</v>
      </c>
      <c r="F264">
        <v>89.99</v>
      </c>
      <c r="G264" t="str">
        <f>VLOOKUP(products!D264,categories[#All],2,TRUE)</f>
        <v>Children Bicycles</v>
      </c>
    </row>
    <row r="265" spans="1:7" x14ac:dyDescent="0.3">
      <c r="A265">
        <v>264</v>
      </c>
      <c r="B265" t="s">
        <v>5557</v>
      </c>
      <c r="C265">
        <v>6</v>
      </c>
      <c r="D265">
        <v>1</v>
      </c>
      <c r="E265">
        <v>2018</v>
      </c>
      <c r="F265">
        <v>249.99</v>
      </c>
      <c r="G265" t="str">
        <f>VLOOKUP(products!D265,categories[#All],2,TRUE)</f>
        <v>Children Bicycles</v>
      </c>
    </row>
    <row r="266" spans="1:7" x14ac:dyDescent="0.3">
      <c r="A266">
        <v>265</v>
      </c>
      <c r="B266" t="s">
        <v>5558</v>
      </c>
      <c r="C266">
        <v>6</v>
      </c>
      <c r="D266">
        <v>1</v>
      </c>
      <c r="E266">
        <v>2018</v>
      </c>
      <c r="F266">
        <v>289.99</v>
      </c>
      <c r="G266" t="str">
        <f>VLOOKUP(products!D266,categories[#All],2,TRUE)</f>
        <v>Children Bicycles</v>
      </c>
    </row>
    <row r="267" spans="1:7" x14ac:dyDescent="0.3">
      <c r="A267">
        <v>266</v>
      </c>
      <c r="B267" t="s">
        <v>5559</v>
      </c>
      <c r="C267">
        <v>9</v>
      </c>
      <c r="D267">
        <v>1</v>
      </c>
      <c r="E267">
        <v>2018</v>
      </c>
      <c r="F267">
        <v>399.99</v>
      </c>
      <c r="G267" t="str">
        <f>VLOOKUP(products!D267,categories[#All],2,TRUE)</f>
        <v>Children Bicycles</v>
      </c>
    </row>
    <row r="268" spans="1:7" x14ac:dyDescent="0.3">
      <c r="A268">
        <v>267</v>
      </c>
      <c r="B268" t="s">
        <v>5560</v>
      </c>
      <c r="C268">
        <v>9</v>
      </c>
      <c r="D268">
        <v>1</v>
      </c>
      <c r="E268">
        <v>2018</v>
      </c>
      <c r="F268">
        <v>199.99</v>
      </c>
      <c r="G268" t="str">
        <f>VLOOKUP(products!D268,categories[#All],2,TRUE)</f>
        <v>Children Bicycles</v>
      </c>
    </row>
    <row r="269" spans="1:7" x14ac:dyDescent="0.3">
      <c r="A269">
        <v>268</v>
      </c>
      <c r="B269" t="s">
        <v>5561</v>
      </c>
      <c r="C269">
        <v>9</v>
      </c>
      <c r="D269">
        <v>1</v>
      </c>
      <c r="E269">
        <v>2018</v>
      </c>
      <c r="F269">
        <v>159.99</v>
      </c>
      <c r="G269" t="str">
        <f>VLOOKUP(products!D269,categories[#All],2,TRUE)</f>
        <v>Children Bicycles</v>
      </c>
    </row>
    <row r="270" spans="1:7" x14ac:dyDescent="0.3">
      <c r="A270">
        <v>269</v>
      </c>
      <c r="B270" t="s">
        <v>5562</v>
      </c>
      <c r="C270">
        <v>9</v>
      </c>
      <c r="D270">
        <v>1</v>
      </c>
      <c r="E270">
        <v>2018</v>
      </c>
      <c r="F270">
        <v>199.99</v>
      </c>
      <c r="G270" t="str">
        <f>VLOOKUP(products!D270,categories[#All],2,TRUE)</f>
        <v>Children Bicycles</v>
      </c>
    </row>
    <row r="271" spans="1:7" x14ac:dyDescent="0.3">
      <c r="A271">
        <v>270</v>
      </c>
      <c r="B271" t="s">
        <v>5563</v>
      </c>
      <c r="C271">
        <v>9</v>
      </c>
      <c r="D271">
        <v>1</v>
      </c>
      <c r="E271">
        <v>2018</v>
      </c>
      <c r="F271">
        <v>209.99</v>
      </c>
      <c r="G271" t="str">
        <f>VLOOKUP(products!D271,categories[#All],2,TRUE)</f>
        <v>Children Bicycles</v>
      </c>
    </row>
    <row r="272" spans="1:7" x14ac:dyDescent="0.3">
      <c r="A272">
        <v>271</v>
      </c>
      <c r="B272" t="s">
        <v>5564</v>
      </c>
      <c r="C272">
        <v>9</v>
      </c>
      <c r="D272">
        <v>1</v>
      </c>
      <c r="E272">
        <v>2018</v>
      </c>
      <c r="F272">
        <v>209.99</v>
      </c>
      <c r="G272" t="str">
        <f>VLOOKUP(products!D272,categories[#All],2,TRUE)</f>
        <v>Children Bicycles</v>
      </c>
    </row>
    <row r="273" spans="1:7" x14ac:dyDescent="0.3">
      <c r="A273">
        <v>272</v>
      </c>
      <c r="B273" t="s">
        <v>5565</v>
      </c>
      <c r="C273">
        <v>9</v>
      </c>
      <c r="D273">
        <v>1</v>
      </c>
      <c r="E273">
        <v>2018</v>
      </c>
      <c r="F273">
        <v>289.99</v>
      </c>
      <c r="G273" t="str">
        <f>VLOOKUP(products!D273,categories[#All],2,TRUE)</f>
        <v>Children Bicycles</v>
      </c>
    </row>
    <row r="274" spans="1:7" x14ac:dyDescent="0.3">
      <c r="A274">
        <v>273</v>
      </c>
      <c r="B274" t="s">
        <v>5566</v>
      </c>
      <c r="C274">
        <v>9</v>
      </c>
      <c r="D274">
        <v>1</v>
      </c>
      <c r="E274">
        <v>2018</v>
      </c>
      <c r="F274">
        <v>289.99</v>
      </c>
      <c r="G274" t="str">
        <f>VLOOKUP(products!D274,categories[#All],2,TRUE)</f>
        <v>Children Bicycles</v>
      </c>
    </row>
    <row r="275" spans="1:7" x14ac:dyDescent="0.3">
      <c r="A275">
        <v>274</v>
      </c>
      <c r="B275" t="s">
        <v>5567</v>
      </c>
      <c r="C275">
        <v>9</v>
      </c>
      <c r="D275">
        <v>1</v>
      </c>
      <c r="E275">
        <v>2018</v>
      </c>
      <c r="F275">
        <v>229.99</v>
      </c>
      <c r="G275" t="str">
        <f>VLOOKUP(products!D275,categories[#All],2,TRUE)</f>
        <v>Children Bicycles</v>
      </c>
    </row>
    <row r="276" spans="1:7" x14ac:dyDescent="0.3">
      <c r="A276">
        <v>275</v>
      </c>
      <c r="B276" t="s">
        <v>5568</v>
      </c>
      <c r="C276">
        <v>9</v>
      </c>
      <c r="D276">
        <v>1</v>
      </c>
      <c r="E276">
        <v>2018</v>
      </c>
      <c r="F276">
        <v>229.99</v>
      </c>
      <c r="G276" t="str">
        <f>VLOOKUP(products!D276,categories[#All],2,TRUE)</f>
        <v>Children Bicycles</v>
      </c>
    </row>
    <row r="277" spans="1:7" x14ac:dyDescent="0.3">
      <c r="A277">
        <v>276</v>
      </c>
      <c r="B277" t="s">
        <v>5569</v>
      </c>
      <c r="C277">
        <v>9</v>
      </c>
      <c r="D277">
        <v>1</v>
      </c>
      <c r="E277">
        <v>2018</v>
      </c>
      <c r="F277">
        <v>319.99</v>
      </c>
      <c r="G277" t="str">
        <f>VLOOKUP(products!D277,categories[#All],2,TRUE)</f>
        <v>Children Bicycles</v>
      </c>
    </row>
    <row r="278" spans="1:7" x14ac:dyDescent="0.3">
      <c r="A278">
        <v>277</v>
      </c>
      <c r="B278" t="s">
        <v>5570</v>
      </c>
      <c r="C278">
        <v>9</v>
      </c>
      <c r="D278">
        <v>1</v>
      </c>
      <c r="E278">
        <v>2018</v>
      </c>
      <c r="F278">
        <v>369.99</v>
      </c>
      <c r="G278" t="str">
        <f>VLOOKUP(products!D278,categories[#All],2,TRUE)</f>
        <v>Children Bicycles</v>
      </c>
    </row>
    <row r="279" spans="1:7" x14ac:dyDescent="0.3">
      <c r="A279">
        <v>278</v>
      </c>
      <c r="B279" t="s">
        <v>5571</v>
      </c>
      <c r="C279">
        <v>9</v>
      </c>
      <c r="D279">
        <v>1</v>
      </c>
      <c r="E279">
        <v>2018</v>
      </c>
      <c r="F279">
        <v>369.99</v>
      </c>
      <c r="G279" t="str">
        <f>VLOOKUP(products!D279,categories[#All],2,TRUE)</f>
        <v>Children Bicycles</v>
      </c>
    </row>
    <row r="280" spans="1:7" x14ac:dyDescent="0.3">
      <c r="A280">
        <v>279</v>
      </c>
      <c r="B280" t="s">
        <v>5572</v>
      </c>
      <c r="C280">
        <v>9</v>
      </c>
      <c r="D280">
        <v>1</v>
      </c>
      <c r="E280">
        <v>2018</v>
      </c>
      <c r="F280">
        <v>319.99</v>
      </c>
      <c r="G280" t="str">
        <f>VLOOKUP(products!D280,categories[#All],2,TRUE)</f>
        <v>Children Bicycles</v>
      </c>
    </row>
    <row r="281" spans="1:7" x14ac:dyDescent="0.3">
      <c r="A281">
        <v>280</v>
      </c>
      <c r="B281" t="s">
        <v>5573</v>
      </c>
      <c r="C281">
        <v>9</v>
      </c>
      <c r="D281">
        <v>1</v>
      </c>
      <c r="E281">
        <v>2018</v>
      </c>
      <c r="F281">
        <v>489.99</v>
      </c>
      <c r="G281" t="str">
        <f>VLOOKUP(products!D281,categories[#All],2,TRUE)</f>
        <v>Children Bicycles</v>
      </c>
    </row>
    <row r="282" spans="1:7" x14ac:dyDescent="0.3">
      <c r="A282">
        <v>281</v>
      </c>
      <c r="B282" t="s">
        <v>5524</v>
      </c>
      <c r="C282">
        <v>1</v>
      </c>
      <c r="D282">
        <v>1</v>
      </c>
      <c r="E282">
        <v>2018</v>
      </c>
      <c r="F282">
        <v>319.99</v>
      </c>
      <c r="G282" t="str">
        <f>VLOOKUP(products!D282,categories[#All],2,TRUE)</f>
        <v>Children Bicycles</v>
      </c>
    </row>
    <row r="283" spans="1:7" x14ac:dyDescent="0.3">
      <c r="A283">
        <v>282</v>
      </c>
      <c r="B283" t="s">
        <v>5574</v>
      </c>
      <c r="C283">
        <v>1</v>
      </c>
      <c r="D283">
        <v>1</v>
      </c>
      <c r="E283">
        <v>2018</v>
      </c>
      <c r="F283">
        <v>279.99</v>
      </c>
      <c r="G283" t="str">
        <f>VLOOKUP(products!D283,categories[#All],2,TRUE)</f>
        <v>Children Bicycles</v>
      </c>
    </row>
    <row r="284" spans="1:7" x14ac:dyDescent="0.3">
      <c r="A284">
        <v>283</v>
      </c>
      <c r="B284" t="s">
        <v>5575</v>
      </c>
      <c r="C284">
        <v>1</v>
      </c>
      <c r="D284">
        <v>1</v>
      </c>
      <c r="E284">
        <v>2018</v>
      </c>
      <c r="F284">
        <v>319.99</v>
      </c>
      <c r="G284" t="str">
        <f>VLOOKUP(products!D284,categories[#All],2,TRUE)</f>
        <v>Children Bicycles</v>
      </c>
    </row>
    <row r="285" spans="1:7" x14ac:dyDescent="0.3">
      <c r="A285">
        <v>284</v>
      </c>
      <c r="B285" t="s">
        <v>5576</v>
      </c>
      <c r="C285">
        <v>1</v>
      </c>
      <c r="D285">
        <v>1</v>
      </c>
      <c r="E285">
        <v>2018</v>
      </c>
      <c r="F285">
        <v>319.99</v>
      </c>
      <c r="G285" t="str">
        <f>VLOOKUP(products!D285,categories[#All],2,TRUE)</f>
        <v>Children Bicycles</v>
      </c>
    </row>
    <row r="286" spans="1:7" x14ac:dyDescent="0.3">
      <c r="A286">
        <v>285</v>
      </c>
      <c r="B286" t="s">
        <v>5577</v>
      </c>
      <c r="C286">
        <v>1</v>
      </c>
      <c r="D286">
        <v>1</v>
      </c>
      <c r="E286">
        <v>2018</v>
      </c>
      <c r="F286">
        <v>279.99</v>
      </c>
      <c r="G286" t="str">
        <f>VLOOKUP(products!D286,categories[#All],2,TRUE)</f>
        <v>Children Bicycles</v>
      </c>
    </row>
    <row r="287" spans="1:7" x14ac:dyDescent="0.3">
      <c r="A287">
        <v>286</v>
      </c>
      <c r="B287" t="s">
        <v>5578</v>
      </c>
      <c r="C287">
        <v>1</v>
      </c>
      <c r="D287">
        <v>1</v>
      </c>
      <c r="E287">
        <v>2018</v>
      </c>
      <c r="F287">
        <v>279.99</v>
      </c>
      <c r="G287" t="str">
        <f>VLOOKUP(products!D287,categories[#All],2,TRUE)</f>
        <v>Children Bicycles</v>
      </c>
    </row>
    <row r="288" spans="1:7" x14ac:dyDescent="0.3">
      <c r="A288">
        <v>287</v>
      </c>
      <c r="B288" t="s">
        <v>5579</v>
      </c>
      <c r="C288">
        <v>1</v>
      </c>
      <c r="D288">
        <v>1</v>
      </c>
      <c r="E288">
        <v>2018</v>
      </c>
      <c r="F288">
        <v>279.99</v>
      </c>
      <c r="G288" t="str">
        <f>VLOOKUP(products!D288,categories[#All],2,TRUE)</f>
        <v>Children Bicycles</v>
      </c>
    </row>
    <row r="289" spans="1:7" x14ac:dyDescent="0.3">
      <c r="A289">
        <v>288</v>
      </c>
      <c r="B289" t="s">
        <v>5580</v>
      </c>
      <c r="C289">
        <v>1</v>
      </c>
      <c r="D289">
        <v>1</v>
      </c>
      <c r="E289">
        <v>2018</v>
      </c>
      <c r="F289">
        <v>389.99</v>
      </c>
      <c r="G289" t="str">
        <f>VLOOKUP(products!D289,categories[#All],2,TRUE)</f>
        <v>Children Bicycles</v>
      </c>
    </row>
    <row r="290" spans="1:7" x14ac:dyDescent="0.3">
      <c r="A290">
        <v>289</v>
      </c>
      <c r="B290" t="s">
        <v>5581</v>
      </c>
      <c r="C290">
        <v>1</v>
      </c>
      <c r="D290">
        <v>1</v>
      </c>
      <c r="E290">
        <v>2018</v>
      </c>
      <c r="F290">
        <v>319.99</v>
      </c>
      <c r="G290" t="str">
        <f>VLOOKUP(products!D290,categories[#All],2,TRUE)</f>
        <v>Children Bicycles</v>
      </c>
    </row>
    <row r="291" spans="1:7" x14ac:dyDescent="0.3">
      <c r="A291">
        <v>290</v>
      </c>
      <c r="B291" t="s">
        <v>5582</v>
      </c>
      <c r="C291">
        <v>1</v>
      </c>
      <c r="D291">
        <v>1</v>
      </c>
      <c r="E291">
        <v>2018</v>
      </c>
      <c r="F291">
        <v>369.99</v>
      </c>
      <c r="G291" t="str">
        <f>VLOOKUP(products!D291,categories[#All],2,TRUE)</f>
        <v>Children Bicycles</v>
      </c>
    </row>
    <row r="292" spans="1:7" x14ac:dyDescent="0.3">
      <c r="A292">
        <v>291</v>
      </c>
      <c r="B292" t="s">
        <v>5583</v>
      </c>
      <c r="C292">
        <v>1</v>
      </c>
      <c r="D292">
        <v>1</v>
      </c>
      <c r="E292">
        <v>2018</v>
      </c>
      <c r="F292">
        <v>319.99</v>
      </c>
      <c r="G292" t="str">
        <f>VLOOKUP(products!D292,categories[#All],2,TRUE)</f>
        <v>Children Bicycles</v>
      </c>
    </row>
    <row r="293" spans="1:7" x14ac:dyDescent="0.3">
      <c r="A293">
        <v>292</v>
      </c>
      <c r="B293" t="s">
        <v>5584</v>
      </c>
      <c r="C293">
        <v>1</v>
      </c>
      <c r="D293">
        <v>1</v>
      </c>
      <c r="E293">
        <v>2018</v>
      </c>
      <c r="F293">
        <v>369.99</v>
      </c>
      <c r="G293" t="str">
        <f>VLOOKUP(products!D293,categories[#All],2,TRUE)</f>
        <v>Children Bicycles</v>
      </c>
    </row>
    <row r="294" spans="1:7" x14ac:dyDescent="0.3">
      <c r="A294">
        <v>293</v>
      </c>
      <c r="B294" t="s">
        <v>5585</v>
      </c>
      <c r="C294">
        <v>1</v>
      </c>
      <c r="D294">
        <v>1</v>
      </c>
      <c r="E294">
        <v>2018</v>
      </c>
      <c r="F294">
        <v>319.99</v>
      </c>
      <c r="G294" t="str">
        <f>VLOOKUP(products!D294,categories[#All],2,TRUE)</f>
        <v>Children Bicycles</v>
      </c>
    </row>
    <row r="295" spans="1:7" x14ac:dyDescent="0.3">
      <c r="A295">
        <v>294</v>
      </c>
      <c r="B295" t="s">
        <v>5586</v>
      </c>
      <c r="C295">
        <v>1</v>
      </c>
      <c r="D295">
        <v>1</v>
      </c>
      <c r="E295">
        <v>2018</v>
      </c>
      <c r="F295">
        <v>369.99</v>
      </c>
      <c r="G295" t="str">
        <f>VLOOKUP(products!D295,categories[#All],2,TRUE)</f>
        <v>Children Bicycles</v>
      </c>
    </row>
    <row r="296" spans="1:7" x14ac:dyDescent="0.3">
      <c r="A296">
        <v>295</v>
      </c>
      <c r="B296" t="s">
        <v>5587</v>
      </c>
      <c r="C296">
        <v>1</v>
      </c>
      <c r="D296">
        <v>1</v>
      </c>
      <c r="E296">
        <v>2018</v>
      </c>
      <c r="F296">
        <v>319.99</v>
      </c>
      <c r="G296" t="str">
        <f>VLOOKUP(products!D296,categories[#All],2,TRUE)</f>
        <v>Children Bicycles</v>
      </c>
    </row>
    <row r="297" spans="1:7" x14ac:dyDescent="0.3">
      <c r="A297">
        <v>296</v>
      </c>
      <c r="B297" t="s">
        <v>5588</v>
      </c>
      <c r="C297">
        <v>1</v>
      </c>
      <c r="D297">
        <v>1</v>
      </c>
      <c r="E297">
        <v>2018</v>
      </c>
      <c r="F297">
        <v>369.99</v>
      </c>
      <c r="G297" t="str">
        <f>VLOOKUP(products!D297,categories[#All],2,TRUE)</f>
        <v>Children Bicycles</v>
      </c>
    </row>
    <row r="298" spans="1:7" x14ac:dyDescent="0.3">
      <c r="A298">
        <v>297</v>
      </c>
      <c r="B298" t="s">
        <v>5589</v>
      </c>
      <c r="C298">
        <v>1</v>
      </c>
      <c r="D298">
        <v>1</v>
      </c>
      <c r="E298">
        <v>2018</v>
      </c>
      <c r="F298">
        <v>279.99</v>
      </c>
      <c r="G298" t="str">
        <f>VLOOKUP(products!D298,categories[#All],2,TRUE)</f>
        <v>Children Bicycles</v>
      </c>
    </row>
    <row r="299" spans="1:7" x14ac:dyDescent="0.3">
      <c r="A299">
        <v>298</v>
      </c>
      <c r="B299" t="s">
        <v>5590</v>
      </c>
      <c r="C299">
        <v>1</v>
      </c>
      <c r="D299">
        <v>1</v>
      </c>
      <c r="E299">
        <v>2018</v>
      </c>
      <c r="F299">
        <v>279.99</v>
      </c>
      <c r="G299" t="str">
        <f>VLOOKUP(products!D299,categories[#All],2,TRUE)</f>
        <v>Children Bicycles</v>
      </c>
    </row>
    <row r="300" spans="1:7" x14ac:dyDescent="0.3">
      <c r="A300">
        <v>299</v>
      </c>
      <c r="B300" t="s">
        <v>5509</v>
      </c>
      <c r="C300">
        <v>1</v>
      </c>
      <c r="D300">
        <v>2</v>
      </c>
      <c r="E300">
        <v>2018</v>
      </c>
      <c r="F300">
        <v>559.99</v>
      </c>
      <c r="G300" t="str">
        <f>VLOOKUP(products!D300,categories[#All],2,TRUE)</f>
        <v>Comfort Bicycles</v>
      </c>
    </row>
    <row r="301" spans="1:7" x14ac:dyDescent="0.3">
      <c r="A301">
        <v>300</v>
      </c>
      <c r="B301" t="s">
        <v>5553</v>
      </c>
      <c r="C301">
        <v>1</v>
      </c>
      <c r="D301">
        <v>2</v>
      </c>
      <c r="E301">
        <v>2018</v>
      </c>
      <c r="F301">
        <v>799.99</v>
      </c>
      <c r="G301" t="str">
        <f>VLOOKUP(products!D301,categories[#All],2,TRUE)</f>
        <v>Comfort Bicycles</v>
      </c>
    </row>
    <row r="302" spans="1:7" x14ac:dyDescent="0.3">
      <c r="A302">
        <v>301</v>
      </c>
      <c r="B302" t="s">
        <v>5554</v>
      </c>
      <c r="C302">
        <v>1</v>
      </c>
      <c r="D302">
        <v>2</v>
      </c>
      <c r="E302">
        <v>2018</v>
      </c>
      <c r="F302">
        <v>899.99</v>
      </c>
      <c r="G302" t="str">
        <f>VLOOKUP(products!D302,categories[#All],2,TRUE)</f>
        <v>Comfort Bicycles</v>
      </c>
    </row>
    <row r="303" spans="1:7" x14ac:dyDescent="0.3">
      <c r="A303">
        <v>302</v>
      </c>
      <c r="B303" t="s">
        <v>5591</v>
      </c>
      <c r="C303">
        <v>1</v>
      </c>
      <c r="D303">
        <v>2</v>
      </c>
      <c r="E303">
        <v>2018</v>
      </c>
      <c r="F303">
        <v>449.99</v>
      </c>
      <c r="G303" t="str">
        <f>VLOOKUP(products!D303,categories[#All],2,TRUE)</f>
        <v>Comfort Bicycles</v>
      </c>
    </row>
    <row r="304" spans="1:7" x14ac:dyDescent="0.3">
      <c r="A304">
        <v>303</v>
      </c>
      <c r="B304" t="s">
        <v>5491</v>
      </c>
      <c r="C304">
        <v>1</v>
      </c>
      <c r="D304">
        <v>2</v>
      </c>
      <c r="E304">
        <v>2018</v>
      </c>
      <c r="F304">
        <v>2599.9899999999998</v>
      </c>
      <c r="G304" t="str">
        <f>VLOOKUP(products!D304,categories[#All],2,TRUE)</f>
        <v>Comfort Bicycles</v>
      </c>
    </row>
    <row r="305" spans="1:7" x14ac:dyDescent="0.3">
      <c r="A305">
        <v>304</v>
      </c>
      <c r="B305" t="s">
        <v>5523</v>
      </c>
      <c r="C305">
        <v>1</v>
      </c>
      <c r="D305">
        <v>2</v>
      </c>
      <c r="E305">
        <v>2018</v>
      </c>
      <c r="F305">
        <v>679.99</v>
      </c>
      <c r="G305" t="str">
        <f>VLOOKUP(products!D305,categories[#All],2,TRUE)</f>
        <v>Comfort Bicycles</v>
      </c>
    </row>
    <row r="306" spans="1:7" x14ac:dyDescent="0.3">
      <c r="A306">
        <v>305</v>
      </c>
      <c r="B306" t="s">
        <v>5547</v>
      </c>
      <c r="C306">
        <v>1</v>
      </c>
      <c r="D306">
        <v>2</v>
      </c>
      <c r="E306">
        <v>2018</v>
      </c>
      <c r="F306">
        <v>749.99</v>
      </c>
      <c r="G306" t="str">
        <f>VLOOKUP(products!D306,categories[#All],2,TRUE)</f>
        <v>Comfort Bicycles</v>
      </c>
    </row>
    <row r="307" spans="1:7" x14ac:dyDescent="0.3">
      <c r="A307">
        <v>306</v>
      </c>
      <c r="B307" t="s">
        <v>5548</v>
      </c>
      <c r="C307">
        <v>1</v>
      </c>
      <c r="D307">
        <v>2</v>
      </c>
      <c r="E307">
        <v>2018</v>
      </c>
      <c r="F307">
        <v>899.99</v>
      </c>
      <c r="G307" t="str">
        <f>VLOOKUP(products!D307,categories[#All],2,TRUE)</f>
        <v>Comfort Bicycles</v>
      </c>
    </row>
    <row r="308" spans="1:7" x14ac:dyDescent="0.3">
      <c r="A308">
        <v>307</v>
      </c>
      <c r="B308" t="s">
        <v>5535</v>
      </c>
      <c r="C308">
        <v>1</v>
      </c>
      <c r="D308">
        <v>2</v>
      </c>
      <c r="E308">
        <v>2018</v>
      </c>
      <c r="F308">
        <v>749.99</v>
      </c>
      <c r="G308" t="str">
        <f>VLOOKUP(products!D308,categories[#All],2,TRUE)</f>
        <v>Comfort Bicycles</v>
      </c>
    </row>
    <row r="309" spans="1:7" x14ac:dyDescent="0.3">
      <c r="A309">
        <v>308</v>
      </c>
      <c r="B309" t="s">
        <v>5536</v>
      </c>
      <c r="C309">
        <v>1</v>
      </c>
      <c r="D309">
        <v>2</v>
      </c>
      <c r="E309">
        <v>2018</v>
      </c>
      <c r="F309">
        <v>749.99</v>
      </c>
      <c r="G309" t="str">
        <f>VLOOKUP(products!D309,categories[#All],2,TRUE)</f>
        <v>Comfort Bicycles</v>
      </c>
    </row>
    <row r="310" spans="1:7" x14ac:dyDescent="0.3">
      <c r="A310">
        <v>309</v>
      </c>
      <c r="B310" t="s">
        <v>5549</v>
      </c>
      <c r="C310">
        <v>1</v>
      </c>
      <c r="D310">
        <v>2</v>
      </c>
      <c r="E310">
        <v>2018</v>
      </c>
      <c r="F310">
        <v>899.99</v>
      </c>
      <c r="G310" t="str">
        <f>VLOOKUP(products!D310,categories[#All],2,TRUE)</f>
        <v>Comfort Bicycles</v>
      </c>
    </row>
    <row r="311" spans="1:7" x14ac:dyDescent="0.3">
      <c r="A311">
        <v>310</v>
      </c>
      <c r="B311" t="s">
        <v>5537</v>
      </c>
      <c r="C311">
        <v>1</v>
      </c>
      <c r="D311">
        <v>2</v>
      </c>
      <c r="E311">
        <v>2018</v>
      </c>
      <c r="F311">
        <v>899.99</v>
      </c>
      <c r="G311" t="str">
        <f>VLOOKUP(products!D311,categories[#All],2,TRUE)</f>
        <v>Comfort Bicycles</v>
      </c>
    </row>
    <row r="312" spans="1:7" x14ac:dyDescent="0.3">
      <c r="A312">
        <v>311</v>
      </c>
      <c r="B312" t="s">
        <v>5538</v>
      </c>
      <c r="C312">
        <v>1</v>
      </c>
      <c r="D312">
        <v>2</v>
      </c>
      <c r="E312">
        <v>2018</v>
      </c>
      <c r="F312">
        <v>749.99</v>
      </c>
      <c r="G312" t="str">
        <f>VLOOKUP(products!D312,categories[#All],2,TRUE)</f>
        <v>Comfort Bicycles</v>
      </c>
    </row>
    <row r="313" spans="1:7" x14ac:dyDescent="0.3">
      <c r="A313">
        <v>312</v>
      </c>
      <c r="B313" t="s">
        <v>5539</v>
      </c>
      <c r="C313">
        <v>1</v>
      </c>
      <c r="D313">
        <v>2</v>
      </c>
      <c r="E313">
        <v>2018</v>
      </c>
      <c r="F313">
        <v>699.99</v>
      </c>
      <c r="G313" t="str">
        <f>VLOOKUP(products!D313,categories[#All],2,TRUE)</f>
        <v>Comfort Bicycles</v>
      </c>
    </row>
    <row r="314" spans="1:7" x14ac:dyDescent="0.3">
      <c r="A314">
        <v>313</v>
      </c>
      <c r="B314" t="s">
        <v>5592</v>
      </c>
      <c r="C314">
        <v>1</v>
      </c>
      <c r="D314">
        <v>2</v>
      </c>
      <c r="E314">
        <v>2018</v>
      </c>
      <c r="F314">
        <v>449.99</v>
      </c>
      <c r="G314" t="str">
        <f>VLOOKUP(products!D314,categories[#All],2,TRUE)</f>
        <v>Comfort Bicycles</v>
      </c>
    </row>
    <row r="315" spans="1:7" x14ac:dyDescent="0.3">
      <c r="A315">
        <v>314</v>
      </c>
      <c r="B315" t="s">
        <v>5540</v>
      </c>
      <c r="C315">
        <v>1</v>
      </c>
      <c r="D315">
        <v>2</v>
      </c>
      <c r="E315">
        <v>2018</v>
      </c>
      <c r="F315">
        <v>679.99</v>
      </c>
      <c r="G315" t="str">
        <f>VLOOKUP(products!D315,categories[#All],2,TRUE)</f>
        <v>Comfort Bicycles</v>
      </c>
    </row>
    <row r="316" spans="1:7" x14ac:dyDescent="0.3">
      <c r="A316">
        <v>315</v>
      </c>
      <c r="B316" t="s">
        <v>5541</v>
      </c>
      <c r="C316">
        <v>1</v>
      </c>
      <c r="D316">
        <v>2</v>
      </c>
      <c r="E316">
        <v>2018</v>
      </c>
      <c r="F316">
        <v>559.99</v>
      </c>
      <c r="G316" t="str">
        <f>VLOOKUP(products!D316,categories[#All],2,TRUE)</f>
        <v>Comfort Bicycles</v>
      </c>
    </row>
    <row r="317" spans="1:7" x14ac:dyDescent="0.3">
      <c r="A317">
        <v>316</v>
      </c>
      <c r="B317" t="s">
        <v>5593</v>
      </c>
      <c r="C317">
        <v>9</v>
      </c>
      <c r="D317">
        <v>7</v>
      </c>
      <c r="E317">
        <v>2019</v>
      </c>
      <c r="F317">
        <v>1699.99</v>
      </c>
      <c r="G317" t="str">
        <f>VLOOKUP(products!D317,categories[#All],2,TRUE)</f>
        <v>Road Bikes</v>
      </c>
    </row>
    <row r="318" spans="1:7" x14ac:dyDescent="0.3">
      <c r="A318">
        <v>317</v>
      </c>
      <c r="B318" t="s">
        <v>5594</v>
      </c>
      <c r="C318">
        <v>9</v>
      </c>
      <c r="D318">
        <v>7</v>
      </c>
      <c r="E318">
        <v>2019</v>
      </c>
      <c r="F318">
        <v>1999.99</v>
      </c>
      <c r="G318" t="str">
        <f>VLOOKUP(products!D318,categories[#All],2,TRUE)</f>
        <v>Road Bikes</v>
      </c>
    </row>
    <row r="319" spans="1:7" x14ac:dyDescent="0.3">
      <c r="A319">
        <v>318</v>
      </c>
      <c r="B319" t="s">
        <v>5595</v>
      </c>
      <c r="C319">
        <v>9</v>
      </c>
      <c r="D319">
        <v>7</v>
      </c>
      <c r="E319">
        <v>2019</v>
      </c>
      <c r="F319">
        <v>1999.99</v>
      </c>
      <c r="G319" t="str">
        <f>VLOOKUP(products!D319,categories[#All],2,TRUE)</f>
        <v>Road Bikes</v>
      </c>
    </row>
    <row r="320" spans="1:7" x14ac:dyDescent="0.3">
      <c r="A320">
        <v>319</v>
      </c>
      <c r="B320" t="s">
        <v>5596</v>
      </c>
      <c r="C320">
        <v>9</v>
      </c>
      <c r="D320">
        <v>7</v>
      </c>
      <c r="E320">
        <v>2019</v>
      </c>
      <c r="F320">
        <v>2799.99</v>
      </c>
      <c r="G320" t="str">
        <f>VLOOKUP(products!D320,categories[#All],2,TRUE)</f>
        <v>Road Bikes</v>
      </c>
    </row>
    <row r="321" spans="1:7" x14ac:dyDescent="0.3">
      <c r="A321">
        <v>320</v>
      </c>
      <c r="B321" t="s">
        <v>5597</v>
      </c>
      <c r="C321">
        <v>9</v>
      </c>
      <c r="D321">
        <v>7</v>
      </c>
      <c r="E321">
        <v>2019</v>
      </c>
      <c r="F321">
        <v>3799.99</v>
      </c>
      <c r="G321" t="str">
        <f>VLOOKUP(products!D321,categories[#All],2,TRUE)</f>
        <v>Road Bikes</v>
      </c>
    </row>
    <row r="322" spans="1:7" x14ac:dyDescent="0.3">
      <c r="A322">
        <v>321</v>
      </c>
      <c r="B322" t="s">
        <v>5598</v>
      </c>
      <c r="C322">
        <v>9</v>
      </c>
      <c r="D322">
        <v>7</v>
      </c>
      <c r="E322">
        <v>2019</v>
      </c>
      <c r="F322">
        <v>3199.99</v>
      </c>
      <c r="G322" t="str">
        <f>VLOOKUP(products!D322,categories[#All],2,TRUE)</f>
        <v>Road Bikes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82B7A-AF0E-4291-9352-7754B45F5F51}">
  <dimension ref="A1:H4"/>
  <sheetViews>
    <sheetView workbookViewId="0">
      <selection activeCell="D16" sqref="D16"/>
    </sheetView>
  </sheetViews>
  <sheetFormatPr defaultRowHeight="14.4" x14ac:dyDescent="0.3"/>
  <cols>
    <col min="1" max="1" width="11" bestFit="1" customWidth="1"/>
    <col min="2" max="2" width="15.5546875" bestFit="1" customWidth="1"/>
    <col min="3" max="3" width="13.6640625" bestFit="1" customWidth="1"/>
    <col min="4" max="4" width="21.5546875" bestFit="1" customWidth="1"/>
    <col min="5" max="5" width="19.33203125" bestFit="1" customWidth="1"/>
    <col min="6" max="6" width="10.33203125" bestFit="1" customWidth="1"/>
    <col min="7" max="7" width="8" bestFit="1" customWidth="1"/>
    <col min="8" max="8" width="11.6640625" bestFit="1" customWidth="1"/>
  </cols>
  <sheetData>
    <row r="1" spans="1:8" x14ac:dyDescent="0.3">
      <c r="A1" t="s">
        <v>5246</v>
      </c>
      <c r="B1" t="s">
        <v>5610</v>
      </c>
      <c r="C1" t="s">
        <v>5611</v>
      </c>
      <c r="D1" t="s">
        <v>4</v>
      </c>
      <c r="E1" t="s">
        <v>5</v>
      </c>
      <c r="F1" t="s">
        <v>6</v>
      </c>
      <c r="G1" t="s">
        <v>7</v>
      </c>
      <c r="H1" t="s">
        <v>5612</v>
      </c>
    </row>
    <row r="2" spans="1:8" x14ac:dyDescent="0.3">
      <c r="A2">
        <v>1</v>
      </c>
      <c r="B2" t="s">
        <v>5613</v>
      </c>
      <c r="C2" t="s">
        <v>5614</v>
      </c>
      <c r="D2" t="s">
        <v>5615</v>
      </c>
      <c r="E2" t="s">
        <v>5616</v>
      </c>
      <c r="F2" t="s">
        <v>908</v>
      </c>
      <c r="G2" t="s">
        <v>21</v>
      </c>
      <c r="H2">
        <v>95060</v>
      </c>
    </row>
    <row r="3" spans="1:8" x14ac:dyDescent="0.3">
      <c r="A3">
        <v>2</v>
      </c>
      <c r="B3" t="s">
        <v>5617</v>
      </c>
      <c r="C3" t="s">
        <v>5618</v>
      </c>
      <c r="D3" t="s">
        <v>5619</v>
      </c>
      <c r="E3" t="s">
        <v>5620</v>
      </c>
      <c r="F3" t="s">
        <v>55</v>
      </c>
      <c r="G3" t="s">
        <v>15</v>
      </c>
      <c r="H3">
        <v>11432</v>
      </c>
    </row>
    <row r="4" spans="1:8" x14ac:dyDescent="0.3">
      <c r="A4">
        <v>3</v>
      </c>
      <c r="B4" t="s">
        <v>5621</v>
      </c>
      <c r="C4" t="s">
        <v>5284</v>
      </c>
      <c r="D4" t="s">
        <v>5622</v>
      </c>
      <c r="E4" t="s">
        <v>5623</v>
      </c>
      <c r="F4" t="s">
        <v>348</v>
      </c>
      <c r="G4" t="s">
        <v>80</v>
      </c>
      <c r="H4">
        <v>75088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50DF9-C195-4E2E-A5AB-08CD207B6319}">
  <dimension ref="A1:I1446"/>
  <sheetViews>
    <sheetView workbookViewId="0"/>
  </sheetViews>
  <sheetFormatPr defaultRowHeight="14.4" x14ac:dyDescent="0.3"/>
  <cols>
    <col min="1" max="1" width="14.88671875" bestFit="1" customWidth="1"/>
    <col min="2" max="2" width="13.44140625" bestFit="1" customWidth="1"/>
    <col min="3" max="3" width="13.109375" bestFit="1" customWidth="1"/>
    <col min="4" max="4" width="13.6640625" bestFit="1" customWidth="1"/>
    <col min="5" max="5" width="35.109375" bestFit="1" customWidth="1"/>
    <col min="6" max="6" width="29.44140625" bestFit="1" customWidth="1"/>
    <col min="7" max="7" width="22.109375" bestFit="1" customWidth="1"/>
    <col min="8" max="8" width="8" bestFit="1" customWidth="1"/>
    <col min="9" max="9" width="11.332031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>
        <v>14127</v>
      </c>
    </row>
    <row r="3" spans="1:9" x14ac:dyDescent="0.3">
      <c r="A3">
        <v>2</v>
      </c>
      <c r="B3" t="s">
        <v>16</v>
      </c>
      <c r="C3" t="s">
        <v>17</v>
      </c>
      <c r="D3" t="s">
        <v>11</v>
      </c>
      <c r="E3" t="s">
        <v>18</v>
      </c>
      <c r="F3" t="s">
        <v>19</v>
      </c>
      <c r="G3" t="s">
        <v>20</v>
      </c>
      <c r="H3" t="s">
        <v>21</v>
      </c>
      <c r="I3">
        <v>95008</v>
      </c>
    </row>
    <row r="4" spans="1:9" x14ac:dyDescent="0.3">
      <c r="A4">
        <v>3</v>
      </c>
      <c r="B4" t="s">
        <v>22</v>
      </c>
      <c r="C4" t="s">
        <v>23</v>
      </c>
      <c r="D4" t="s">
        <v>11</v>
      </c>
      <c r="E4" t="s">
        <v>24</v>
      </c>
      <c r="F4" t="s">
        <v>25</v>
      </c>
      <c r="G4" t="s">
        <v>26</v>
      </c>
      <c r="H4" t="s">
        <v>21</v>
      </c>
      <c r="I4">
        <v>90278</v>
      </c>
    </row>
    <row r="5" spans="1:9" x14ac:dyDescent="0.3">
      <c r="A5">
        <v>4</v>
      </c>
      <c r="B5" t="s">
        <v>27</v>
      </c>
      <c r="C5" t="s">
        <v>28</v>
      </c>
      <c r="D5" t="s">
        <v>11</v>
      </c>
      <c r="E5" t="s">
        <v>29</v>
      </c>
      <c r="F5" t="s">
        <v>30</v>
      </c>
      <c r="G5" t="s">
        <v>31</v>
      </c>
      <c r="H5" t="s">
        <v>15</v>
      </c>
      <c r="I5">
        <v>11553</v>
      </c>
    </row>
    <row r="6" spans="1:9" x14ac:dyDescent="0.3">
      <c r="A6">
        <v>5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 t="s">
        <v>37</v>
      </c>
      <c r="H6" t="s">
        <v>21</v>
      </c>
      <c r="I6">
        <v>95820</v>
      </c>
    </row>
    <row r="7" spans="1:9" x14ac:dyDescent="0.3">
      <c r="A7">
        <v>6</v>
      </c>
      <c r="B7" t="s">
        <v>38</v>
      </c>
      <c r="C7" t="s">
        <v>39</v>
      </c>
      <c r="D7" t="s">
        <v>11</v>
      </c>
      <c r="E7" t="s">
        <v>40</v>
      </c>
      <c r="F7" t="s">
        <v>41</v>
      </c>
      <c r="G7" t="s">
        <v>42</v>
      </c>
      <c r="H7" t="s">
        <v>15</v>
      </c>
      <c r="I7">
        <v>14450</v>
      </c>
    </row>
    <row r="8" spans="1:9" x14ac:dyDescent="0.3">
      <c r="A8">
        <v>7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  <c r="G8" t="s">
        <v>48</v>
      </c>
      <c r="H8" t="s">
        <v>15</v>
      </c>
      <c r="I8">
        <v>14215</v>
      </c>
    </row>
    <row r="9" spans="1:9" x14ac:dyDescent="0.3">
      <c r="A9">
        <v>8</v>
      </c>
      <c r="B9" t="s">
        <v>49</v>
      </c>
      <c r="C9" t="s">
        <v>50</v>
      </c>
      <c r="D9" t="s">
        <v>11</v>
      </c>
      <c r="E9" t="s">
        <v>51</v>
      </c>
      <c r="F9" t="s">
        <v>52</v>
      </c>
      <c r="G9" t="s">
        <v>53</v>
      </c>
      <c r="H9" t="s">
        <v>15</v>
      </c>
      <c r="I9">
        <v>11372</v>
      </c>
    </row>
    <row r="10" spans="1:9" x14ac:dyDescent="0.3">
      <c r="A10">
        <v>9</v>
      </c>
      <c r="B10" t="s">
        <v>54</v>
      </c>
      <c r="C10" t="s">
        <v>55</v>
      </c>
      <c r="D10" t="s">
        <v>11</v>
      </c>
      <c r="E10" t="s">
        <v>56</v>
      </c>
      <c r="F10" t="s">
        <v>57</v>
      </c>
      <c r="G10" t="s">
        <v>58</v>
      </c>
      <c r="H10" t="s">
        <v>15</v>
      </c>
      <c r="I10">
        <v>11050</v>
      </c>
    </row>
    <row r="11" spans="1:9" x14ac:dyDescent="0.3">
      <c r="A11">
        <v>10</v>
      </c>
      <c r="B11" t="s">
        <v>59</v>
      </c>
      <c r="C11" t="s">
        <v>60</v>
      </c>
      <c r="D11" t="s">
        <v>11</v>
      </c>
      <c r="E11" t="s">
        <v>61</v>
      </c>
      <c r="F11" t="s">
        <v>62</v>
      </c>
      <c r="G11" t="s">
        <v>63</v>
      </c>
      <c r="H11" t="s">
        <v>15</v>
      </c>
      <c r="I11">
        <v>10950</v>
      </c>
    </row>
    <row r="12" spans="1:9" x14ac:dyDescent="0.3">
      <c r="A12">
        <v>11</v>
      </c>
      <c r="B12" t="s">
        <v>64</v>
      </c>
      <c r="C12" t="s">
        <v>65</v>
      </c>
      <c r="D12" t="s">
        <v>11</v>
      </c>
      <c r="E12" t="s">
        <v>66</v>
      </c>
      <c r="F12" t="s">
        <v>67</v>
      </c>
      <c r="G12" t="s">
        <v>68</v>
      </c>
      <c r="H12" t="s">
        <v>15</v>
      </c>
      <c r="I12">
        <v>10952</v>
      </c>
    </row>
    <row r="13" spans="1:9" x14ac:dyDescent="0.3">
      <c r="A13">
        <v>12</v>
      </c>
      <c r="B13" t="s">
        <v>69</v>
      </c>
      <c r="C13" t="s">
        <v>70</v>
      </c>
      <c r="D13" t="s">
        <v>71</v>
      </c>
      <c r="E13" t="s">
        <v>72</v>
      </c>
      <c r="F13" t="s">
        <v>73</v>
      </c>
      <c r="G13" t="s">
        <v>74</v>
      </c>
      <c r="H13" t="s">
        <v>15</v>
      </c>
      <c r="I13">
        <v>11550</v>
      </c>
    </row>
    <row r="14" spans="1:9" x14ac:dyDescent="0.3">
      <c r="A14">
        <v>13</v>
      </c>
      <c r="B14" t="s">
        <v>75</v>
      </c>
      <c r="C14" t="s">
        <v>76</v>
      </c>
      <c r="D14" t="s">
        <v>11</v>
      </c>
      <c r="E14" t="s">
        <v>77</v>
      </c>
      <c r="F14" t="s">
        <v>78</v>
      </c>
      <c r="G14" t="s">
        <v>79</v>
      </c>
      <c r="H14" t="s">
        <v>80</v>
      </c>
      <c r="I14">
        <v>75604</v>
      </c>
    </row>
    <row r="15" spans="1:9" x14ac:dyDescent="0.3">
      <c r="A15">
        <v>14</v>
      </c>
      <c r="B15" t="s">
        <v>81</v>
      </c>
      <c r="C15" t="s">
        <v>82</v>
      </c>
      <c r="D15" t="s">
        <v>11</v>
      </c>
      <c r="E15" t="s">
        <v>83</v>
      </c>
      <c r="F15" t="s">
        <v>84</v>
      </c>
      <c r="G15" t="s">
        <v>85</v>
      </c>
      <c r="H15" t="s">
        <v>80</v>
      </c>
      <c r="I15">
        <v>75126</v>
      </c>
    </row>
    <row r="16" spans="1:9" x14ac:dyDescent="0.3">
      <c r="A16">
        <v>15</v>
      </c>
      <c r="B16" t="s">
        <v>86</v>
      </c>
      <c r="C16" t="s">
        <v>87</v>
      </c>
      <c r="D16" t="s">
        <v>11</v>
      </c>
      <c r="E16" t="s">
        <v>88</v>
      </c>
      <c r="F16" t="s">
        <v>89</v>
      </c>
      <c r="G16" t="s">
        <v>90</v>
      </c>
      <c r="H16" t="s">
        <v>15</v>
      </c>
      <c r="I16">
        <v>12901</v>
      </c>
    </row>
    <row r="17" spans="1:9" x14ac:dyDescent="0.3">
      <c r="A17">
        <v>16</v>
      </c>
      <c r="B17" t="s">
        <v>91</v>
      </c>
      <c r="C17" t="s">
        <v>92</v>
      </c>
      <c r="D17" t="s">
        <v>93</v>
      </c>
      <c r="E17" t="s">
        <v>94</v>
      </c>
      <c r="F17" t="s">
        <v>95</v>
      </c>
      <c r="G17" t="s">
        <v>96</v>
      </c>
      <c r="H17" t="s">
        <v>15</v>
      </c>
      <c r="I17">
        <v>10002</v>
      </c>
    </row>
    <row r="18" spans="1:9" x14ac:dyDescent="0.3">
      <c r="A18">
        <v>17</v>
      </c>
      <c r="B18" t="s">
        <v>97</v>
      </c>
      <c r="C18" t="s">
        <v>98</v>
      </c>
      <c r="D18" t="s">
        <v>11</v>
      </c>
      <c r="E18" t="s">
        <v>99</v>
      </c>
      <c r="F18" t="s">
        <v>100</v>
      </c>
      <c r="G18" t="s">
        <v>101</v>
      </c>
      <c r="H18" t="s">
        <v>15</v>
      </c>
      <c r="I18">
        <v>10583</v>
      </c>
    </row>
    <row r="19" spans="1:9" x14ac:dyDescent="0.3">
      <c r="A19">
        <v>18</v>
      </c>
      <c r="B19" t="s">
        <v>102</v>
      </c>
      <c r="C19" t="s">
        <v>103</v>
      </c>
      <c r="D19" t="s">
        <v>11</v>
      </c>
      <c r="E19" t="s">
        <v>104</v>
      </c>
      <c r="F19" t="s">
        <v>105</v>
      </c>
      <c r="G19" t="s">
        <v>106</v>
      </c>
      <c r="H19" t="s">
        <v>15</v>
      </c>
      <c r="I19">
        <v>14424</v>
      </c>
    </row>
    <row r="20" spans="1:9" x14ac:dyDescent="0.3">
      <c r="A20">
        <v>19</v>
      </c>
      <c r="B20" t="s">
        <v>107</v>
      </c>
      <c r="C20" t="s">
        <v>108</v>
      </c>
      <c r="D20" t="s">
        <v>11</v>
      </c>
      <c r="E20" t="s">
        <v>109</v>
      </c>
      <c r="F20" t="s">
        <v>110</v>
      </c>
      <c r="G20" t="s">
        <v>14</v>
      </c>
      <c r="H20" t="s">
        <v>15</v>
      </c>
      <c r="I20">
        <v>14127</v>
      </c>
    </row>
    <row r="21" spans="1:9" x14ac:dyDescent="0.3">
      <c r="A21">
        <v>20</v>
      </c>
      <c r="B21" t="s">
        <v>111</v>
      </c>
      <c r="C21" t="s">
        <v>112</v>
      </c>
      <c r="D21" t="s">
        <v>11</v>
      </c>
      <c r="E21" t="s">
        <v>113</v>
      </c>
      <c r="F21" t="s">
        <v>114</v>
      </c>
      <c r="G21" t="s">
        <v>115</v>
      </c>
      <c r="H21" t="s">
        <v>80</v>
      </c>
      <c r="I21">
        <v>77478</v>
      </c>
    </row>
    <row r="22" spans="1:9" x14ac:dyDescent="0.3">
      <c r="A22">
        <v>21</v>
      </c>
      <c r="B22" t="s">
        <v>116</v>
      </c>
      <c r="C22" t="s">
        <v>117</v>
      </c>
      <c r="D22" t="s">
        <v>11</v>
      </c>
      <c r="E22" t="s">
        <v>118</v>
      </c>
      <c r="F22" t="s">
        <v>119</v>
      </c>
      <c r="G22" t="s">
        <v>120</v>
      </c>
      <c r="H22" t="s">
        <v>80</v>
      </c>
      <c r="I22">
        <v>77904</v>
      </c>
    </row>
    <row r="23" spans="1:9" x14ac:dyDescent="0.3">
      <c r="A23">
        <v>22</v>
      </c>
      <c r="B23" t="s">
        <v>121</v>
      </c>
      <c r="C23" t="s">
        <v>122</v>
      </c>
      <c r="D23" t="s">
        <v>11</v>
      </c>
      <c r="E23" t="s">
        <v>123</v>
      </c>
      <c r="F23" t="s">
        <v>124</v>
      </c>
      <c r="G23" t="s">
        <v>125</v>
      </c>
      <c r="H23" t="s">
        <v>15</v>
      </c>
      <c r="I23">
        <v>11731</v>
      </c>
    </row>
    <row r="24" spans="1:9" x14ac:dyDescent="0.3">
      <c r="A24">
        <v>23</v>
      </c>
      <c r="B24" t="s">
        <v>126</v>
      </c>
      <c r="C24" t="s">
        <v>127</v>
      </c>
      <c r="D24" t="s">
        <v>11</v>
      </c>
      <c r="E24" t="s">
        <v>128</v>
      </c>
      <c r="F24" t="s">
        <v>129</v>
      </c>
      <c r="G24" t="s">
        <v>130</v>
      </c>
      <c r="H24" t="s">
        <v>15</v>
      </c>
      <c r="I24">
        <v>11423</v>
      </c>
    </row>
    <row r="25" spans="1:9" x14ac:dyDescent="0.3">
      <c r="A25">
        <v>24</v>
      </c>
      <c r="B25" t="s">
        <v>131</v>
      </c>
      <c r="C25" t="s">
        <v>132</v>
      </c>
      <c r="D25" t="s">
        <v>11</v>
      </c>
      <c r="E25" t="s">
        <v>133</v>
      </c>
      <c r="F25" t="s">
        <v>134</v>
      </c>
      <c r="G25" t="s">
        <v>135</v>
      </c>
      <c r="H25" t="s">
        <v>21</v>
      </c>
      <c r="I25">
        <v>95301</v>
      </c>
    </row>
    <row r="26" spans="1:9" x14ac:dyDescent="0.3">
      <c r="A26">
        <v>25</v>
      </c>
      <c r="B26" t="s">
        <v>136</v>
      </c>
      <c r="C26" t="s">
        <v>137</v>
      </c>
      <c r="D26" t="s">
        <v>11</v>
      </c>
      <c r="E26" t="s">
        <v>138</v>
      </c>
      <c r="F26" t="s">
        <v>139</v>
      </c>
      <c r="G26" t="s">
        <v>140</v>
      </c>
      <c r="H26" t="s">
        <v>15</v>
      </c>
      <c r="I26">
        <v>10541</v>
      </c>
    </row>
    <row r="27" spans="1:9" x14ac:dyDescent="0.3">
      <c r="A27">
        <v>26</v>
      </c>
      <c r="B27" t="s">
        <v>141</v>
      </c>
      <c r="C27" t="s">
        <v>142</v>
      </c>
      <c r="D27" t="s">
        <v>143</v>
      </c>
      <c r="E27" t="s">
        <v>144</v>
      </c>
      <c r="F27" t="s">
        <v>145</v>
      </c>
      <c r="G27" t="s">
        <v>146</v>
      </c>
      <c r="H27" t="s">
        <v>15</v>
      </c>
      <c r="I27">
        <v>11561</v>
      </c>
    </row>
    <row r="28" spans="1:9" x14ac:dyDescent="0.3">
      <c r="A28">
        <v>27</v>
      </c>
      <c r="B28" t="s">
        <v>147</v>
      </c>
      <c r="C28" t="s">
        <v>148</v>
      </c>
      <c r="D28" t="s">
        <v>11</v>
      </c>
      <c r="E28" t="s">
        <v>149</v>
      </c>
      <c r="F28" t="s">
        <v>150</v>
      </c>
      <c r="G28" t="s">
        <v>151</v>
      </c>
      <c r="H28" t="s">
        <v>15</v>
      </c>
      <c r="I28">
        <v>11104</v>
      </c>
    </row>
    <row r="29" spans="1:9" x14ac:dyDescent="0.3">
      <c r="A29">
        <v>28</v>
      </c>
      <c r="B29" t="s">
        <v>152</v>
      </c>
      <c r="C29" t="s">
        <v>153</v>
      </c>
      <c r="D29" t="s">
        <v>11</v>
      </c>
      <c r="E29" t="s">
        <v>154</v>
      </c>
      <c r="F29" t="s">
        <v>155</v>
      </c>
      <c r="G29" t="s">
        <v>156</v>
      </c>
      <c r="H29" t="s">
        <v>15</v>
      </c>
      <c r="I29">
        <v>10562</v>
      </c>
    </row>
    <row r="30" spans="1:9" x14ac:dyDescent="0.3">
      <c r="A30">
        <v>29</v>
      </c>
      <c r="B30" t="s">
        <v>157</v>
      </c>
      <c r="C30" t="s">
        <v>158</v>
      </c>
      <c r="D30" t="s">
        <v>11</v>
      </c>
      <c r="E30" t="s">
        <v>159</v>
      </c>
      <c r="F30" t="s">
        <v>160</v>
      </c>
      <c r="G30" t="s">
        <v>140</v>
      </c>
      <c r="H30" t="s">
        <v>15</v>
      </c>
      <c r="I30">
        <v>10541</v>
      </c>
    </row>
    <row r="31" spans="1:9" x14ac:dyDescent="0.3">
      <c r="A31">
        <v>30</v>
      </c>
      <c r="B31" t="s">
        <v>161</v>
      </c>
      <c r="C31" t="s">
        <v>162</v>
      </c>
      <c r="D31" t="s">
        <v>11</v>
      </c>
      <c r="E31" t="s">
        <v>163</v>
      </c>
      <c r="F31" t="s">
        <v>164</v>
      </c>
      <c r="G31" t="s">
        <v>165</v>
      </c>
      <c r="H31" t="s">
        <v>21</v>
      </c>
      <c r="I31">
        <v>90505</v>
      </c>
    </row>
    <row r="32" spans="1:9" x14ac:dyDescent="0.3">
      <c r="A32">
        <v>31</v>
      </c>
      <c r="B32" t="s">
        <v>166</v>
      </c>
      <c r="C32" t="s">
        <v>167</v>
      </c>
      <c r="D32" t="s">
        <v>168</v>
      </c>
      <c r="E32" t="s">
        <v>169</v>
      </c>
      <c r="F32" t="s">
        <v>170</v>
      </c>
      <c r="G32" t="s">
        <v>171</v>
      </c>
      <c r="H32" t="s">
        <v>21</v>
      </c>
      <c r="I32">
        <v>94603</v>
      </c>
    </row>
    <row r="33" spans="1:9" x14ac:dyDescent="0.3">
      <c r="A33">
        <v>32</v>
      </c>
      <c r="B33" t="s">
        <v>172</v>
      </c>
      <c r="C33" t="s">
        <v>173</v>
      </c>
      <c r="D33" t="s">
        <v>11</v>
      </c>
      <c r="E33" t="s">
        <v>174</v>
      </c>
      <c r="F33" t="s">
        <v>175</v>
      </c>
      <c r="G33" t="s">
        <v>176</v>
      </c>
      <c r="H33" t="s">
        <v>21</v>
      </c>
      <c r="I33">
        <v>92831</v>
      </c>
    </row>
    <row r="34" spans="1:9" x14ac:dyDescent="0.3">
      <c r="A34">
        <v>33</v>
      </c>
      <c r="B34" t="s">
        <v>177</v>
      </c>
      <c r="C34" t="s">
        <v>178</v>
      </c>
      <c r="D34" t="s">
        <v>11</v>
      </c>
      <c r="E34" t="s">
        <v>179</v>
      </c>
      <c r="F34" t="s">
        <v>180</v>
      </c>
      <c r="G34" t="s">
        <v>181</v>
      </c>
      <c r="H34" t="s">
        <v>21</v>
      </c>
      <c r="I34">
        <v>90274</v>
      </c>
    </row>
    <row r="35" spans="1:9" x14ac:dyDescent="0.3">
      <c r="A35">
        <v>34</v>
      </c>
      <c r="B35" t="s">
        <v>182</v>
      </c>
      <c r="C35" t="s">
        <v>183</v>
      </c>
      <c r="D35" t="s">
        <v>11</v>
      </c>
      <c r="E35" t="s">
        <v>184</v>
      </c>
      <c r="F35" t="s">
        <v>185</v>
      </c>
      <c r="G35" t="s">
        <v>125</v>
      </c>
      <c r="H35" t="s">
        <v>15</v>
      </c>
      <c r="I35">
        <v>11731</v>
      </c>
    </row>
    <row r="36" spans="1:9" x14ac:dyDescent="0.3">
      <c r="A36">
        <v>35</v>
      </c>
      <c r="B36" t="s">
        <v>186</v>
      </c>
      <c r="C36" t="s">
        <v>187</v>
      </c>
      <c r="D36" t="s">
        <v>11</v>
      </c>
      <c r="E36" t="s">
        <v>188</v>
      </c>
      <c r="F36" t="s">
        <v>189</v>
      </c>
      <c r="G36" t="s">
        <v>190</v>
      </c>
      <c r="H36" t="s">
        <v>15</v>
      </c>
      <c r="I36">
        <v>13027</v>
      </c>
    </row>
    <row r="37" spans="1:9" x14ac:dyDescent="0.3">
      <c r="A37">
        <v>36</v>
      </c>
      <c r="B37" t="s">
        <v>191</v>
      </c>
      <c r="C37" t="s">
        <v>192</v>
      </c>
      <c r="D37" t="s">
        <v>11</v>
      </c>
      <c r="E37" t="s">
        <v>193</v>
      </c>
      <c r="F37" t="s">
        <v>194</v>
      </c>
      <c r="G37" t="s">
        <v>195</v>
      </c>
      <c r="H37" t="s">
        <v>15</v>
      </c>
      <c r="I37">
        <v>13090</v>
      </c>
    </row>
    <row r="38" spans="1:9" x14ac:dyDescent="0.3">
      <c r="A38">
        <v>37</v>
      </c>
      <c r="B38" t="s">
        <v>196</v>
      </c>
      <c r="C38" t="s">
        <v>197</v>
      </c>
      <c r="D38" t="s">
        <v>11</v>
      </c>
      <c r="E38" t="s">
        <v>198</v>
      </c>
      <c r="F38" t="s">
        <v>199</v>
      </c>
      <c r="G38" t="s">
        <v>200</v>
      </c>
      <c r="H38" t="s">
        <v>15</v>
      </c>
      <c r="I38">
        <v>11378</v>
      </c>
    </row>
    <row r="39" spans="1:9" x14ac:dyDescent="0.3">
      <c r="A39">
        <v>38</v>
      </c>
      <c r="B39" t="s">
        <v>201</v>
      </c>
      <c r="C39" t="s">
        <v>202</v>
      </c>
      <c r="D39" t="s">
        <v>11</v>
      </c>
      <c r="E39" t="s">
        <v>203</v>
      </c>
      <c r="F39" t="s">
        <v>204</v>
      </c>
      <c r="G39" t="s">
        <v>205</v>
      </c>
      <c r="H39" t="s">
        <v>15</v>
      </c>
      <c r="I39">
        <v>11102</v>
      </c>
    </row>
    <row r="40" spans="1:9" x14ac:dyDescent="0.3">
      <c r="A40">
        <v>39</v>
      </c>
      <c r="B40" t="s">
        <v>206</v>
      </c>
      <c r="C40" t="s">
        <v>207</v>
      </c>
      <c r="D40" t="s">
        <v>208</v>
      </c>
      <c r="E40" t="s">
        <v>209</v>
      </c>
      <c r="F40" t="s">
        <v>210</v>
      </c>
      <c r="G40" t="s">
        <v>211</v>
      </c>
      <c r="H40" t="s">
        <v>15</v>
      </c>
      <c r="I40">
        <v>14086</v>
      </c>
    </row>
    <row r="41" spans="1:9" x14ac:dyDescent="0.3">
      <c r="A41">
        <v>40</v>
      </c>
      <c r="B41" t="s">
        <v>212</v>
      </c>
      <c r="C41" t="s">
        <v>213</v>
      </c>
      <c r="D41" t="s">
        <v>11</v>
      </c>
      <c r="E41" t="s">
        <v>214</v>
      </c>
      <c r="F41" t="s">
        <v>215</v>
      </c>
      <c r="G41" t="s">
        <v>216</v>
      </c>
      <c r="H41" t="s">
        <v>21</v>
      </c>
      <c r="I41">
        <v>91316</v>
      </c>
    </row>
    <row r="42" spans="1:9" x14ac:dyDescent="0.3">
      <c r="A42">
        <v>41</v>
      </c>
      <c r="B42" t="s">
        <v>217</v>
      </c>
      <c r="C42" t="s">
        <v>218</v>
      </c>
      <c r="D42" t="s">
        <v>11</v>
      </c>
      <c r="E42" t="s">
        <v>219</v>
      </c>
      <c r="F42" t="s">
        <v>220</v>
      </c>
      <c r="G42" t="s">
        <v>221</v>
      </c>
      <c r="H42" t="s">
        <v>15</v>
      </c>
      <c r="I42">
        <v>12804</v>
      </c>
    </row>
    <row r="43" spans="1:9" x14ac:dyDescent="0.3">
      <c r="A43">
        <v>42</v>
      </c>
      <c r="B43" t="s">
        <v>222</v>
      </c>
      <c r="C43" t="s">
        <v>223</v>
      </c>
      <c r="D43" t="s">
        <v>11</v>
      </c>
      <c r="E43" t="s">
        <v>224</v>
      </c>
      <c r="F43" t="s">
        <v>225</v>
      </c>
      <c r="G43" t="s">
        <v>226</v>
      </c>
      <c r="H43" t="s">
        <v>15</v>
      </c>
      <c r="I43">
        <v>11418</v>
      </c>
    </row>
    <row r="44" spans="1:9" x14ac:dyDescent="0.3">
      <c r="A44">
        <v>43</v>
      </c>
      <c r="B44" t="s">
        <v>227</v>
      </c>
      <c r="C44" t="s">
        <v>228</v>
      </c>
      <c r="D44" t="s">
        <v>229</v>
      </c>
      <c r="E44" t="s">
        <v>230</v>
      </c>
      <c r="F44" t="s">
        <v>231</v>
      </c>
      <c r="G44" t="s">
        <v>232</v>
      </c>
      <c r="H44" t="s">
        <v>80</v>
      </c>
      <c r="I44">
        <v>77016</v>
      </c>
    </row>
    <row r="45" spans="1:9" x14ac:dyDescent="0.3">
      <c r="A45">
        <v>44</v>
      </c>
      <c r="B45" t="s">
        <v>233</v>
      </c>
      <c r="C45" t="s">
        <v>234</v>
      </c>
      <c r="D45" t="s">
        <v>11</v>
      </c>
      <c r="E45" t="s">
        <v>235</v>
      </c>
      <c r="F45" t="s">
        <v>236</v>
      </c>
      <c r="G45" t="s">
        <v>237</v>
      </c>
      <c r="H45" t="s">
        <v>15</v>
      </c>
      <c r="I45">
        <v>11003</v>
      </c>
    </row>
    <row r="46" spans="1:9" x14ac:dyDescent="0.3">
      <c r="A46">
        <v>45</v>
      </c>
      <c r="B46" t="s">
        <v>238</v>
      </c>
      <c r="C46" t="s">
        <v>239</v>
      </c>
      <c r="D46" t="s">
        <v>11</v>
      </c>
      <c r="E46" t="s">
        <v>240</v>
      </c>
      <c r="F46" t="s">
        <v>241</v>
      </c>
      <c r="G46" t="s">
        <v>242</v>
      </c>
      <c r="H46" t="s">
        <v>15</v>
      </c>
      <c r="I46">
        <v>11714</v>
      </c>
    </row>
    <row r="47" spans="1:9" x14ac:dyDescent="0.3">
      <c r="A47">
        <v>46</v>
      </c>
      <c r="B47" t="s">
        <v>243</v>
      </c>
      <c r="C47" t="s">
        <v>244</v>
      </c>
      <c r="D47" t="s">
        <v>11</v>
      </c>
      <c r="E47" t="s">
        <v>245</v>
      </c>
      <c r="F47" t="s">
        <v>246</v>
      </c>
      <c r="G47" t="s">
        <v>216</v>
      </c>
      <c r="H47" t="s">
        <v>21</v>
      </c>
      <c r="I47">
        <v>91316</v>
      </c>
    </row>
    <row r="48" spans="1:9" x14ac:dyDescent="0.3">
      <c r="A48">
        <v>47</v>
      </c>
      <c r="B48" t="s">
        <v>247</v>
      </c>
      <c r="C48" t="s">
        <v>248</v>
      </c>
      <c r="D48" t="s">
        <v>11</v>
      </c>
      <c r="E48" t="s">
        <v>249</v>
      </c>
      <c r="F48" t="s">
        <v>250</v>
      </c>
      <c r="G48" t="s">
        <v>251</v>
      </c>
      <c r="H48" t="s">
        <v>21</v>
      </c>
      <c r="I48">
        <v>94580</v>
      </c>
    </row>
    <row r="49" spans="1:9" x14ac:dyDescent="0.3">
      <c r="A49">
        <v>48</v>
      </c>
      <c r="B49" t="s">
        <v>252</v>
      </c>
      <c r="C49" t="s">
        <v>253</v>
      </c>
      <c r="D49" t="s">
        <v>11</v>
      </c>
      <c r="E49" t="s">
        <v>254</v>
      </c>
      <c r="F49" t="s">
        <v>255</v>
      </c>
      <c r="G49" t="s">
        <v>195</v>
      </c>
      <c r="H49" t="s">
        <v>15</v>
      </c>
      <c r="I49">
        <v>13090</v>
      </c>
    </row>
    <row r="50" spans="1:9" x14ac:dyDescent="0.3">
      <c r="A50">
        <v>49</v>
      </c>
      <c r="B50" t="s">
        <v>256</v>
      </c>
      <c r="C50" t="s">
        <v>44</v>
      </c>
      <c r="D50" t="s">
        <v>11</v>
      </c>
      <c r="E50" t="s">
        <v>257</v>
      </c>
      <c r="F50" t="s">
        <v>258</v>
      </c>
      <c r="G50" t="s">
        <v>42</v>
      </c>
      <c r="H50" t="s">
        <v>15</v>
      </c>
      <c r="I50">
        <v>14450</v>
      </c>
    </row>
    <row r="51" spans="1:9" x14ac:dyDescent="0.3">
      <c r="A51">
        <v>50</v>
      </c>
      <c r="B51" t="s">
        <v>259</v>
      </c>
      <c r="C51" t="s">
        <v>260</v>
      </c>
      <c r="D51" t="s">
        <v>11</v>
      </c>
      <c r="E51" t="s">
        <v>261</v>
      </c>
      <c r="F51" t="s">
        <v>262</v>
      </c>
      <c r="G51" t="s">
        <v>115</v>
      </c>
      <c r="H51" t="s">
        <v>80</v>
      </c>
      <c r="I51">
        <v>77478</v>
      </c>
    </row>
    <row r="52" spans="1:9" x14ac:dyDescent="0.3">
      <c r="A52">
        <v>51</v>
      </c>
      <c r="B52" t="s">
        <v>263</v>
      </c>
      <c r="C52" t="s">
        <v>264</v>
      </c>
      <c r="D52" t="s">
        <v>11</v>
      </c>
      <c r="E52" t="s">
        <v>265</v>
      </c>
      <c r="F52" t="s">
        <v>266</v>
      </c>
      <c r="G52" t="s">
        <v>267</v>
      </c>
      <c r="H52" t="s">
        <v>15</v>
      </c>
      <c r="I52">
        <v>11566</v>
      </c>
    </row>
    <row r="53" spans="1:9" x14ac:dyDescent="0.3">
      <c r="A53">
        <v>52</v>
      </c>
      <c r="B53" t="s">
        <v>268</v>
      </c>
      <c r="C53" t="s">
        <v>269</v>
      </c>
      <c r="D53" t="s">
        <v>11</v>
      </c>
      <c r="E53" t="s">
        <v>270</v>
      </c>
      <c r="F53" t="s">
        <v>271</v>
      </c>
      <c r="G53" t="s">
        <v>272</v>
      </c>
      <c r="H53" t="s">
        <v>15</v>
      </c>
      <c r="I53">
        <v>11369</v>
      </c>
    </row>
    <row r="54" spans="1:9" x14ac:dyDescent="0.3">
      <c r="A54">
        <v>53</v>
      </c>
      <c r="B54" t="s">
        <v>273</v>
      </c>
      <c r="C54" t="s">
        <v>274</v>
      </c>
      <c r="D54" t="s">
        <v>11</v>
      </c>
      <c r="E54" t="s">
        <v>275</v>
      </c>
      <c r="F54" t="s">
        <v>276</v>
      </c>
      <c r="G54" t="s">
        <v>277</v>
      </c>
      <c r="H54" t="s">
        <v>21</v>
      </c>
      <c r="I54">
        <v>91740</v>
      </c>
    </row>
    <row r="55" spans="1:9" x14ac:dyDescent="0.3">
      <c r="A55">
        <v>54</v>
      </c>
      <c r="B55" t="s">
        <v>278</v>
      </c>
      <c r="C55" t="s">
        <v>279</v>
      </c>
      <c r="D55" t="s">
        <v>11</v>
      </c>
      <c r="E55" t="s">
        <v>280</v>
      </c>
      <c r="F55" t="s">
        <v>281</v>
      </c>
      <c r="G55" t="s">
        <v>282</v>
      </c>
      <c r="H55" t="s">
        <v>15</v>
      </c>
      <c r="I55">
        <v>13501</v>
      </c>
    </row>
    <row r="56" spans="1:9" x14ac:dyDescent="0.3">
      <c r="A56">
        <v>55</v>
      </c>
      <c r="B56" t="s">
        <v>283</v>
      </c>
      <c r="C56" t="s">
        <v>248</v>
      </c>
      <c r="D56" t="s">
        <v>11</v>
      </c>
      <c r="E56" t="s">
        <v>284</v>
      </c>
      <c r="F56" t="s">
        <v>285</v>
      </c>
      <c r="G56" t="s">
        <v>267</v>
      </c>
      <c r="H56" t="s">
        <v>15</v>
      </c>
      <c r="I56">
        <v>11566</v>
      </c>
    </row>
    <row r="57" spans="1:9" x14ac:dyDescent="0.3">
      <c r="A57">
        <v>56</v>
      </c>
      <c r="B57" t="s">
        <v>286</v>
      </c>
      <c r="C57" t="s">
        <v>287</v>
      </c>
      <c r="D57" t="s">
        <v>288</v>
      </c>
      <c r="E57" t="s">
        <v>289</v>
      </c>
      <c r="F57" t="s">
        <v>290</v>
      </c>
      <c r="G57" t="s">
        <v>232</v>
      </c>
      <c r="H57" t="s">
        <v>80</v>
      </c>
      <c r="I57">
        <v>77016</v>
      </c>
    </row>
    <row r="58" spans="1:9" x14ac:dyDescent="0.3">
      <c r="A58">
        <v>57</v>
      </c>
      <c r="B58" t="s">
        <v>291</v>
      </c>
      <c r="C58" t="s">
        <v>292</v>
      </c>
      <c r="D58" t="s">
        <v>11</v>
      </c>
      <c r="E58" t="s">
        <v>293</v>
      </c>
      <c r="F58" t="s">
        <v>294</v>
      </c>
      <c r="G58" t="s">
        <v>295</v>
      </c>
      <c r="H58" t="s">
        <v>15</v>
      </c>
      <c r="I58">
        <v>10451</v>
      </c>
    </row>
    <row r="59" spans="1:9" x14ac:dyDescent="0.3">
      <c r="A59">
        <v>58</v>
      </c>
      <c r="B59" t="s">
        <v>296</v>
      </c>
      <c r="C59" t="s">
        <v>297</v>
      </c>
      <c r="D59" t="s">
        <v>11</v>
      </c>
      <c r="E59" t="s">
        <v>298</v>
      </c>
      <c r="F59" t="s">
        <v>299</v>
      </c>
      <c r="G59" t="s">
        <v>300</v>
      </c>
      <c r="H59" t="s">
        <v>15</v>
      </c>
      <c r="I59">
        <v>11722</v>
      </c>
    </row>
    <row r="60" spans="1:9" x14ac:dyDescent="0.3">
      <c r="A60">
        <v>59</v>
      </c>
      <c r="B60" t="s">
        <v>43</v>
      </c>
      <c r="C60" t="s">
        <v>301</v>
      </c>
      <c r="D60" t="s">
        <v>11</v>
      </c>
      <c r="E60" t="s">
        <v>302</v>
      </c>
      <c r="F60" t="s">
        <v>303</v>
      </c>
      <c r="G60" t="s">
        <v>304</v>
      </c>
      <c r="H60" t="s">
        <v>15</v>
      </c>
      <c r="I60">
        <v>11570</v>
      </c>
    </row>
    <row r="61" spans="1:9" x14ac:dyDescent="0.3">
      <c r="A61">
        <v>60</v>
      </c>
      <c r="B61" t="s">
        <v>305</v>
      </c>
      <c r="C61" t="s">
        <v>306</v>
      </c>
      <c r="D61" t="s">
        <v>11</v>
      </c>
      <c r="E61" t="s">
        <v>307</v>
      </c>
      <c r="F61" t="s">
        <v>308</v>
      </c>
      <c r="G61" t="s">
        <v>309</v>
      </c>
      <c r="H61" t="s">
        <v>21</v>
      </c>
      <c r="I61">
        <v>94070</v>
      </c>
    </row>
    <row r="62" spans="1:9" x14ac:dyDescent="0.3">
      <c r="A62">
        <v>61</v>
      </c>
      <c r="B62" t="s">
        <v>310</v>
      </c>
      <c r="C62" t="s">
        <v>311</v>
      </c>
      <c r="D62" t="s">
        <v>11</v>
      </c>
      <c r="E62" t="s">
        <v>312</v>
      </c>
      <c r="F62" t="s">
        <v>313</v>
      </c>
      <c r="G62" t="s">
        <v>314</v>
      </c>
      <c r="H62" t="s">
        <v>80</v>
      </c>
      <c r="I62">
        <v>76901</v>
      </c>
    </row>
    <row r="63" spans="1:9" x14ac:dyDescent="0.3">
      <c r="A63">
        <v>62</v>
      </c>
      <c r="B63" t="s">
        <v>315</v>
      </c>
      <c r="C63" t="s">
        <v>316</v>
      </c>
      <c r="D63" t="s">
        <v>11</v>
      </c>
      <c r="E63" t="s">
        <v>317</v>
      </c>
      <c r="F63" t="s">
        <v>318</v>
      </c>
      <c r="G63" t="s">
        <v>272</v>
      </c>
      <c r="H63" t="s">
        <v>15</v>
      </c>
      <c r="I63">
        <v>11369</v>
      </c>
    </row>
    <row r="64" spans="1:9" x14ac:dyDescent="0.3">
      <c r="A64">
        <v>63</v>
      </c>
      <c r="B64" t="s">
        <v>319</v>
      </c>
      <c r="C64" t="s">
        <v>320</v>
      </c>
      <c r="D64" t="s">
        <v>11</v>
      </c>
      <c r="E64" t="s">
        <v>321</v>
      </c>
      <c r="F64" t="s">
        <v>322</v>
      </c>
      <c r="G64" t="s">
        <v>323</v>
      </c>
      <c r="H64" t="s">
        <v>15</v>
      </c>
      <c r="I64">
        <v>11701</v>
      </c>
    </row>
    <row r="65" spans="1:9" x14ac:dyDescent="0.3">
      <c r="A65">
        <v>64</v>
      </c>
      <c r="B65" t="s">
        <v>324</v>
      </c>
      <c r="C65" t="s">
        <v>325</v>
      </c>
      <c r="D65" t="s">
        <v>11</v>
      </c>
      <c r="E65" t="s">
        <v>326</v>
      </c>
      <c r="F65" t="s">
        <v>327</v>
      </c>
      <c r="G65" t="s">
        <v>328</v>
      </c>
      <c r="H65" t="s">
        <v>80</v>
      </c>
      <c r="I65">
        <v>75115</v>
      </c>
    </row>
    <row r="66" spans="1:9" x14ac:dyDescent="0.3">
      <c r="A66">
        <v>65</v>
      </c>
      <c r="B66" t="s">
        <v>329</v>
      </c>
      <c r="C66" t="s">
        <v>330</v>
      </c>
      <c r="D66" t="s">
        <v>11</v>
      </c>
      <c r="E66" t="s">
        <v>331</v>
      </c>
      <c r="F66" t="s">
        <v>332</v>
      </c>
      <c r="G66" t="s">
        <v>333</v>
      </c>
      <c r="H66" t="s">
        <v>15</v>
      </c>
      <c r="I66">
        <v>13440</v>
      </c>
    </row>
    <row r="67" spans="1:9" x14ac:dyDescent="0.3">
      <c r="A67">
        <v>66</v>
      </c>
      <c r="B67" t="s">
        <v>334</v>
      </c>
      <c r="C67" t="s">
        <v>335</v>
      </c>
      <c r="D67" t="s">
        <v>11</v>
      </c>
      <c r="E67" t="s">
        <v>336</v>
      </c>
      <c r="F67" t="s">
        <v>337</v>
      </c>
      <c r="G67" t="s">
        <v>338</v>
      </c>
      <c r="H67" t="s">
        <v>80</v>
      </c>
      <c r="I67">
        <v>75043</v>
      </c>
    </row>
    <row r="68" spans="1:9" x14ac:dyDescent="0.3">
      <c r="A68">
        <v>67</v>
      </c>
      <c r="B68" t="s">
        <v>339</v>
      </c>
      <c r="C68" t="s">
        <v>340</v>
      </c>
      <c r="D68" t="s">
        <v>341</v>
      </c>
      <c r="E68" t="s">
        <v>342</v>
      </c>
      <c r="F68" t="s">
        <v>343</v>
      </c>
      <c r="G68" t="s">
        <v>37</v>
      </c>
      <c r="H68" t="s">
        <v>21</v>
      </c>
      <c r="I68">
        <v>95820</v>
      </c>
    </row>
    <row r="69" spans="1:9" x14ac:dyDescent="0.3">
      <c r="A69">
        <v>68</v>
      </c>
      <c r="B69" t="s">
        <v>344</v>
      </c>
      <c r="C69" t="s">
        <v>345</v>
      </c>
      <c r="D69" t="s">
        <v>11</v>
      </c>
      <c r="E69" t="s">
        <v>346</v>
      </c>
      <c r="F69" t="s">
        <v>347</v>
      </c>
      <c r="G69" t="s">
        <v>348</v>
      </c>
      <c r="H69" t="s">
        <v>80</v>
      </c>
      <c r="I69">
        <v>75088</v>
      </c>
    </row>
    <row r="70" spans="1:9" x14ac:dyDescent="0.3">
      <c r="A70">
        <v>69</v>
      </c>
      <c r="B70" t="s">
        <v>349</v>
      </c>
      <c r="C70" t="s">
        <v>350</v>
      </c>
      <c r="D70" t="s">
        <v>11</v>
      </c>
      <c r="E70" t="s">
        <v>351</v>
      </c>
      <c r="F70" t="s">
        <v>352</v>
      </c>
      <c r="G70" t="s">
        <v>353</v>
      </c>
      <c r="H70" t="s">
        <v>21</v>
      </c>
      <c r="I70">
        <v>95677</v>
      </c>
    </row>
    <row r="71" spans="1:9" x14ac:dyDescent="0.3">
      <c r="A71">
        <v>70</v>
      </c>
      <c r="B71" t="s">
        <v>354</v>
      </c>
      <c r="C71" t="s">
        <v>355</v>
      </c>
      <c r="D71" t="s">
        <v>11</v>
      </c>
      <c r="E71" t="s">
        <v>356</v>
      </c>
      <c r="F71" t="s">
        <v>357</v>
      </c>
      <c r="G71" t="s">
        <v>272</v>
      </c>
      <c r="H71" t="s">
        <v>15</v>
      </c>
      <c r="I71">
        <v>11369</v>
      </c>
    </row>
    <row r="72" spans="1:9" x14ac:dyDescent="0.3">
      <c r="A72">
        <v>71</v>
      </c>
      <c r="B72" t="s">
        <v>358</v>
      </c>
      <c r="C72" t="s">
        <v>359</v>
      </c>
      <c r="D72" t="s">
        <v>11</v>
      </c>
      <c r="E72" t="s">
        <v>360</v>
      </c>
      <c r="F72" t="s">
        <v>361</v>
      </c>
      <c r="G72" t="s">
        <v>295</v>
      </c>
      <c r="H72" t="s">
        <v>15</v>
      </c>
      <c r="I72">
        <v>10451</v>
      </c>
    </row>
    <row r="73" spans="1:9" x14ac:dyDescent="0.3">
      <c r="A73">
        <v>72</v>
      </c>
      <c r="B73" t="s">
        <v>362</v>
      </c>
      <c r="C73" t="s">
        <v>363</v>
      </c>
      <c r="D73" t="s">
        <v>11</v>
      </c>
      <c r="E73" t="s">
        <v>364</v>
      </c>
      <c r="F73" t="s">
        <v>365</v>
      </c>
      <c r="G73" t="s">
        <v>366</v>
      </c>
      <c r="H73" t="s">
        <v>21</v>
      </c>
      <c r="I73">
        <v>91733</v>
      </c>
    </row>
    <row r="74" spans="1:9" x14ac:dyDescent="0.3">
      <c r="A74">
        <v>73</v>
      </c>
      <c r="B74" t="s">
        <v>367</v>
      </c>
      <c r="C74" t="s">
        <v>368</v>
      </c>
      <c r="D74" t="s">
        <v>11</v>
      </c>
      <c r="E74" t="s">
        <v>369</v>
      </c>
      <c r="F74" t="s">
        <v>370</v>
      </c>
      <c r="G74" t="s">
        <v>195</v>
      </c>
      <c r="H74" t="s">
        <v>15</v>
      </c>
      <c r="I74">
        <v>13090</v>
      </c>
    </row>
    <row r="75" spans="1:9" x14ac:dyDescent="0.3">
      <c r="A75">
        <v>74</v>
      </c>
      <c r="B75" t="s">
        <v>371</v>
      </c>
      <c r="C75" t="s">
        <v>372</v>
      </c>
      <c r="D75" t="s">
        <v>11</v>
      </c>
      <c r="E75" t="s">
        <v>373</v>
      </c>
      <c r="F75" t="s">
        <v>374</v>
      </c>
      <c r="G75" t="s">
        <v>375</v>
      </c>
      <c r="H75" t="s">
        <v>15</v>
      </c>
      <c r="I75">
        <v>14120</v>
      </c>
    </row>
    <row r="76" spans="1:9" x14ac:dyDescent="0.3">
      <c r="A76">
        <v>75</v>
      </c>
      <c r="B76" t="s">
        <v>376</v>
      </c>
      <c r="C76" t="s">
        <v>377</v>
      </c>
      <c r="D76" t="s">
        <v>11</v>
      </c>
      <c r="E76" t="s">
        <v>378</v>
      </c>
      <c r="F76" t="s">
        <v>379</v>
      </c>
      <c r="G76" t="s">
        <v>323</v>
      </c>
      <c r="H76" t="s">
        <v>15</v>
      </c>
      <c r="I76">
        <v>11701</v>
      </c>
    </row>
    <row r="77" spans="1:9" x14ac:dyDescent="0.3">
      <c r="A77">
        <v>76</v>
      </c>
      <c r="B77" t="s">
        <v>380</v>
      </c>
      <c r="C77" t="s">
        <v>381</v>
      </c>
      <c r="D77" t="s">
        <v>11</v>
      </c>
      <c r="E77" t="s">
        <v>382</v>
      </c>
      <c r="F77" t="s">
        <v>383</v>
      </c>
      <c r="G77" t="s">
        <v>384</v>
      </c>
      <c r="H77" t="s">
        <v>15</v>
      </c>
      <c r="I77">
        <v>11776</v>
      </c>
    </row>
    <row r="78" spans="1:9" x14ac:dyDescent="0.3">
      <c r="A78">
        <v>77</v>
      </c>
      <c r="B78" t="s">
        <v>385</v>
      </c>
      <c r="C78" t="s">
        <v>386</v>
      </c>
      <c r="D78" t="s">
        <v>11</v>
      </c>
      <c r="E78" t="s">
        <v>387</v>
      </c>
      <c r="F78" t="s">
        <v>388</v>
      </c>
      <c r="G78" t="s">
        <v>389</v>
      </c>
      <c r="H78" t="s">
        <v>80</v>
      </c>
      <c r="I78">
        <v>75080</v>
      </c>
    </row>
    <row r="79" spans="1:9" x14ac:dyDescent="0.3">
      <c r="A79">
        <v>78</v>
      </c>
      <c r="B79" t="s">
        <v>390</v>
      </c>
      <c r="C79" t="s">
        <v>391</v>
      </c>
      <c r="D79" t="s">
        <v>11</v>
      </c>
      <c r="E79" t="s">
        <v>392</v>
      </c>
      <c r="F79" t="s">
        <v>393</v>
      </c>
      <c r="G79" t="s">
        <v>181</v>
      </c>
      <c r="H79" t="s">
        <v>21</v>
      </c>
      <c r="I79">
        <v>90274</v>
      </c>
    </row>
    <row r="80" spans="1:9" x14ac:dyDescent="0.3">
      <c r="A80">
        <v>79</v>
      </c>
      <c r="B80" t="s">
        <v>394</v>
      </c>
      <c r="C80" t="s">
        <v>395</v>
      </c>
      <c r="D80" t="s">
        <v>11</v>
      </c>
      <c r="E80" t="s">
        <v>396</v>
      </c>
      <c r="F80" t="s">
        <v>397</v>
      </c>
      <c r="G80" t="s">
        <v>55</v>
      </c>
      <c r="H80" t="s">
        <v>15</v>
      </c>
      <c r="I80">
        <v>11510</v>
      </c>
    </row>
    <row r="81" spans="1:9" x14ac:dyDescent="0.3">
      <c r="A81">
        <v>80</v>
      </c>
      <c r="B81" t="s">
        <v>398</v>
      </c>
      <c r="C81" t="s">
        <v>399</v>
      </c>
      <c r="D81" t="s">
        <v>400</v>
      </c>
      <c r="E81" t="s">
        <v>401</v>
      </c>
      <c r="F81" t="s">
        <v>402</v>
      </c>
      <c r="G81" t="s">
        <v>48</v>
      </c>
      <c r="H81" t="s">
        <v>15</v>
      </c>
      <c r="I81">
        <v>14215</v>
      </c>
    </row>
    <row r="82" spans="1:9" x14ac:dyDescent="0.3">
      <c r="A82">
        <v>81</v>
      </c>
      <c r="B82" t="s">
        <v>403</v>
      </c>
      <c r="C82" t="s">
        <v>404</v>
      </c>
      <c r="D82" t="s">
        <v>11</v>
      </c>
      <c r="E82" t="s">
        <v>405</v>
      </c>
      <c r="F82" t="s">
        <v>406</v>
      </c>
      <c r="G82" t="s">
        <v>251</v>
      </c>
      <c r="H82" t="s">
        <v>21</v>
      </c>
      <c r="I82">
        <v>94580</v>
      </c>
    </row>
    <row r="83" spans="1:9" x14ac:dyDescent="0.3">
      <c r="A83">
        <v>82</v>
      </c>
      <c r="B83" t="s">
        <v>407</v>
      </c>
      <c r="C83" t="s">
        <v>408</v>
      </c>
      <c r="D83" t="s">
        <v>11</v>
      </c>
      <c r="E83" t="s">
        <v>409</v>
      </c>
      <c r="F83" t="s">
        <v>410</v>
      </c>
      <c r="G83" t="s">
        <v>411</v>
      </c>
      <c r="H83" t="s">
        <v>21</v>
      </c>
      <c r="I83">
        <v>92236</v>
      </c>
    </row>
    <row r="84" spans="1:9" x14ac:dyDescent="0.3">
      <c r="A84">
        <v>83</v>
      </c>
      <c r="B84" t="s">
        <v>412</v>
      </c>
      <c r="C84" t="s">
        <v>413</v>
      </c>
      <c r="D84" t="s">
        <v>11</v>
      </c>
      <c r="E84" t="s">
        <v>414</v>
      </c>
      <c r="F84" t="s">
        <v>415</v>
      </c>
      <c r="G84" t="s">
        <v>101</v>
      </c>
      <c r="H84" t="s">
        <v>15</v>
      </c>
      <c r="I84">
        <v>10583</v>
      </c>
    </row>
    <row r="85" spans="1:9" x14ac:dyDescent="0.3">
      <c r="A85">
        <v>84</v>
      </c>
      <c r="B85" t="s">
        <v>416</v>
      </c>
      <c r="C85" t="s">
        <v>417</v>
      </c>
      <c r="D85" t="s">
        <v>11</v>
      </c>
      <c r="E85" t="s">
        <v>418</v>
      </c>
      <c r="F85" t="s">
        <v>419</v>
      </c>
      <c r="G85" t="s">
        <v>420</v>
      </c>
      <c r="H85" t="s">
        <v>15</v>
      </c>
      <c r="I85">
        <v>11757</v>
      </c>
    </row>
    <row r="86" spans="1:9" x14ac:dyDescent="0.3">
      <c r="A86">
        <v>85</v>
      </c>
      <c r="B86" t="s">
        <v>421</v>
      </c>
      <c r="C86" t="s">
        <v>422</v>
      </c>
      <c r="D86" t="s">
        <v>11</v>
      </c>
      <c r="E86" t="s">
        <v>423</v>
      </c>
      <c r="F86" t="s">
        <v>424</v>
      </c>
      <c r="G86" t="s">
        <v>425</v>
      </c>
      <c r="H86" t="s">
        <v>15</v>
      </c>
      <c r="I86">
        <v>11746</v>
      </c>
    </row>
    <row r="87" spans="1:9" x14ac:dyDescent="0.3">
      <c r="A87">
        <v>86</v>
      </c>
      <c r="B87" t="s">
        <v>426</v>
      </c>
      <c r="C87" t="s">
        <v>427</v>
      </c>
      <c r="D87" t="s">
        <v>11</v>
      </c>
      <c r="E87" t="s">
        <v>428</v>
      </c>
      <c r="F87" t="s">
        <v>429</v>
      </c>
      <c r="G87" t="s">
        <v>430</v>
      </c>
      <c r="H87" t="s">
        <v>15</v>
      </c>
      <c r="I87">
        <v>13126</v>
      </c>
    </row>
    <row r="88" spans="1:9" x14ac:dyDescent="0.3">
      <c r="A88">
        <v>87</v>
      </c>
      <c r="B88" t="s">
        <v>431</v>
      </c>
      <c r="C88" t="s">
        <v>432</v>
      </c>
      <c r="D88" t="s">
        <v>11</v>
      </c>
      <c r="E88" t="s">
        <v>433</v>
      </c>
      <c r="F88" t="s">
        <v>434</v>
      </c>
      <c r="G88" t="s">
        <v>435</v>
      </c>
      <c r="H88" t="s">
        <v>21</v>
      </c>
      <c r="I88">
        <v>91010</v>
      </c>
    </row>
    <row r="89" spans="1:9" x14ac:dyDescent="0.3">
      <c r="A89">
        <v>88</v>
      </c>
      <c r="B89" t="s">
        <v>436</v>
      </c>
      <c r="C89" t="s">
        <v>437</v>
      </c>
      <c r="D89" t="s">
        <v>11</v>
      </c>
      <c r="E89" t="s">
        <v>438</v>
      </c>
      <c r="F89" t="s">
        <v>439</v>
      </c>
      <c r="G89" t="s">
        <v>130</v>
      </c>
      <c r="H89" t="s">
        <v>15</v>
      </c>
      <c r="I89">
        <v>11423</v>
      </c>
    </row>
    <row r="90" spans="1:9" x14ac:dyDescent="0.3">
      <c r="A90">
        <v>89</v>
      </c>
      <c r="B90" t="s">
        <v>440</v>
      </c>
      <c r="C90" t="s">
        <v>441</v>
      </c>
      <c r="D90" t="s">
        <v>11</v>
      </c>
      <c r="E90" t="s">
        <v>442</v>
      </c>
      <c r="F90" t="s">
        <v>443</v>
      </c>
      <c r="G90" t="s">
        <v>444</v>
      </c>
      <c r="H90" t="s">
        <v>21</v>
      </c>
      <c r="I90">
        <v>91784</v>
      </c>
    </row>
    <row r="91" spans="1:9" x14ac:dyDescent="0.3">
      <c r="A91">
        <v>90</v>
      </c>
      <c r="B91" t="s">
        <v>445</v>
      </c>
      <c r="C91" t="s">
        <v>446</v>
      </c>
      <c r="D91" t="s">
        <v>11</v>
      </c>
      <c r="E91" t="s">
        <v>447</v>
      </c>
      <c r="F91" t="s">
        <v>448</v>
      </c>
      <c r="G91" t="s">
        <v>449</v>
      </c>
      <c r="H91" t="s">
        <v>15</v>
      </c>
      <c r="I91">
        <v>11010</v>
      </c>
    </row>
    <row r="92" spans="1:9" x14ac:dyDescent="0.3">
      <c r="A92">
        <v>91</v>
      </c>
      <c r="B92" t="s">
        <v>450</v>
      </c>
      <c r="C92" t="s">
        <v>451</v>
      </c>
      <c r="D92" t="s">
        <v>452</v>
      </c>
      <c r="E92" t="s">
        <v>453</v>
      </c>
      <c r="F92" t="s">
        <v>454</v>
      </c>
      <c r="G92" t="s">
        <v>455</v>
      </c>
      <c r="H92" t="s">
        <v>21</v>
      </c>
      <c r="I92">
        <v>92111</v>
      </c>
    </row>
    <row r="93" spans="1:9" x14ac:dyDescent="0.3">
      <c r="A93">
        <v>92</v>
      </c>
      <c r="B93" t="s">
        <v>456</v>
      </c>
      <c r="C93" t="s">
        <v>457</v>
      </c>
      <c r="D93" t="s">
        <v>11</v>
      </c>
      <c r="E93" t="s">
        <v>458</v>
      </c>
      <c r="F93" t="s">
        <v>459</v>
      </c>
      <c r="G93" t="s">
        <v>460</v>
      </c>
      <c r="H93" t="s">
        <v>15</v>
      </c>
      <c r="I93">
        <v>11735</v>
      </c>
    </row>
    <row r="94" spans="1:9" x14ac:dyDescent="0.3">
      <c r="A94">
        <v>93</v>
      </c>
      <c r="B94" t="s">
        <v>461</v>
      </c>
      <c r="C94" t="s">
        <v>462</v>
      </c>
      <c r="D94" t="s">
        <v>463</v>
      </c>
      <c r="E94" t="s">
        <v>464</v>
      </c>
      <c r="F94" t="s">
        <v>465</v>
      </c>
      <c r="G94" t="s">
        <v>466</v>
      </c>
      <c r="H94" t="s">
        <v>15</v>
      </c>
      <c r="I94">
        <v>12180</v>
      </c>
    </row>
    <row r="95" spans="1:9" x14ac:dyDescent="0.3">
      <c r="A95">
        <v>94</v>
      </c>
      <c r="B95" t="s">
        <v>467</v>
      </c>
      <c r="C95" t="s">
        <v>468</v>
      </c>
      <c r="D95" t="s">
        <v>11</v>
      </c>
      <c r="E95" t="s">
        <v>469</v>
      </c>
      <c r="F95" t="s">
        <v>470</v>
      </c>
      <c r="G95" t="s">
        <v>190</v>
      </c>
      <c r="H95" t="s">
        <v>15</v>
      </c>
      <c r="I95">
        <v>13027</v>
      </c>
    </row>
    <row r="96" spans="1:9" x14ac:dyDescent="0.3">
      <c r="A96">
        <v>95</v>
      </c>
      <c r="B96" t="s">
        <v>471</v>
      </c>
      <c r="C96" t="s">
        <v>472</v>
      </c>
      <c r="D96" t="s">
        <v>11</v>
      </c>
      <c r="E96" t="s">
        <v>473</v>
      </c>
      <c r="F96" t="s">
        <v>474</v>
      </c>
      <c r="G96" t="s">
        <v>475</v>
      </c>
      <c r="H96" t="s">
        <v>15</v>
      </c>
      <c r="I96">
        <v>12866</v>
      </c>
    </row>
    <row r="97" spans="1:9" x14ac:dyDescent="0.3">
      <c r="A97">
        <v>96</v>
      </c>
      <c r="B97" t="s">
        <v>476</v>
      </c>
      <c r="C97" t="s">
        <v>477</v>
      </c>
      <c r="D97" t="s">
        <v>11</v>
      </c>
      <c r="E97" t="s">
        <v>478</v>
      </c>
      <c r="F97" t="s">
        <v>479</v>
      </c>
      <c r="G97" t="s">
        <v>480</v>
      </c>
      <c r="H97" t="s">
        <v>15</v>
      </c>
      <c r="I97">
        <v>11361</v>
      </c>
    </row>
    <row r="98" spans="1:9" x14ac:dyDescent="0.3">
      <c r="A98">
        <v>97</v>
      </c>
      <c r="B98" t="s">
        <v>481</v>
      </c>
      <c r="C98" t="s">
        <v>482</v>
      </c>
      <c r="D98" t="s">
        <v>11</v>
      </c>
      <c r="E98" t="s">
        <v>483</v>
      </c>
      <c r="F98" t="s">
        <v>484</v>
      </c>
      <c r="G98" t="s">
        <v>485</v>
      </c>
      <c r="H98" t="s">
        <v>21</v>
      </c>
      <c r="I98">
        <v>95993</v>
      </c>
    </row>
    <row r="99" spans="1:9" x14ac:dyDescent="0.3">
      <c r="A99">
        <v>98</v>
      </c>
      <c r="B99" t="s">
        <v>486</v>
      </c>
      <c r="C99" t="s">
        <v>487</v>
      </c>
      <c r="D99" t="s">
        <v>11</v>
      </c>
      <c r="E99" t="s">
        <v>488</v>
      </c>
      <c r="F99" t="s">
        <v>489</v>
      </c>
      <c r="G99" t="s">
        <v>90</v>
      </c>
      <c r="H99" t="s">
        <v>15</v>
      </c>
      <c r="I99">
        <v>12901</v>
      </c>
    </row>
    <row r="100" spans="1:9" x14ac:dyDescent="0.3">
      <c r="A100">
        <v>99</v>
      </c>
      <c r="B100" t="s">
        <v>490</v>
      </c>
      <c r="C100" t="s">
        <v>491</v>
      </c>
      <c r="D100" t="s">
        <v>11</v>
      </c>
      <c r="E100" t="s">
        <v>492</v>
      </c>
      <c r="F100" t="s">
        <v>493</v>
      </c>
      <c r="G100" t="s">
        <v>63</v>
      </c>
      <c r="H100" t="s">
        <v>15</v>
      </c>
      <c r="I100">
        <v>10950</v>
      </c>
    </row>
    <row r="101" spans="1:9" x14ac:dyDescent="0.3">
      <c r="A101">
        <v>100</v>
      </c>
      <c r="B101" t="s">
        <v>494</v>
      </c>
      <c r="C101" t="s">
        <v>472</v>
      </c>
      <c r="D101" t="s">
        <v>11</v>
      </c>
      <c r="E101" t="s">
        <v>495</v>
      </c>
      <c r="F101" t="s">
        <v>496</v>
      </c>
      <c r="G101" t="s">
        <v>497</v>
      </c>
      <c r="H101" t="s">
        <v>15</v>
      </c>
      <c r="I101">
        <v>11725</v>
      </c>
    </row>
    <row r="102" spans="1:9" x14ac:dyDescent="0.3">
      <c r="A102">
        <v>101</v>
      </c>
      <c r="B102" t="s">
        <v>498</v>
      </c>
      <c r="C102" t="s">
        <v>499</v>
      </c>
      <c r="D102" t="s">
        <v>11</v>
      </c>
      <c r="E102" t="s">
        <v>500</v>
      </c>
      <c r="F102" t="s">
        <v>501</v>
      </c>
      <c r="G102" t="s">
        <v>101</v>
      </c>
      <c r="H102" t="s">
        <v>15</v>
      </c>
      <c r="I102">
        <v>10583</v>
      </c>
    </row>
    <row r="103" spans="1:9" x14ac:dyDescent="0.3">
      <c r="A103">
        <v>102</v>
      </c>
      <c r="B103" t="s">
        <v>502</v>
      </c>
      <c r="C103" t="s">
        <v>503</v>
      </c>
      <c r="D103" t="s">
        <v>11</v>
      </c>
      <c r="E103" t="s">
        <v>504</v>
      </c>
      <c r="F103" t="s">
        <v>505</v>
      </c>
      <c r="G103" t="s">
        <v>106</v>
      </c>
      <c r="H103" t="s">
        <v>15</v>
      </c>
      <c r="I103">
        <v>14424</v>
      </c>
    </row>
    <row r="104" spans="1:9" x14ac:dyDescent="0.3">
      <c r="A104">
        <v>103</v>
      </c>
      <c r="B104" t="s">
        <v>506</v>
      </c>
      <c r="C104" t="s">
        <v>507</v>
      </c>
      <c r="D104" t="s">
        <v>11</v>
      </c>
      <c r="E104" t="s">
        <v>508</v>
      </c>
      <c r="F104" t="s">
        <v>509</v>
      </c>
      <c r="G104" t="s">
        <v>510</v>
      </c>
      <c r="H104" t="s">
        <v>15</v>
      </c>
      <c r="I104">
        <v>11791</v>
      </c>
    </row>
    <row r="105" spans="1:9" x14ac:dyDescent="0.3">
      <c r="A105">
        <v>104</v>
      </c>
      <c r="B105" t="s">
        <v>511</v>
      </c>
      <c r="C105" t="s">
        <v>512</v>
      </c>
      <c r="D105" t="s">
        <v>11</v>
      </c>
      <c r="E105" t="s">
        <v>513</v>
      </c>
      <c r="F105" t="s">
        <v>514</v>
      </c>
      <c r="G105" t="s">
        <v>20</v>
      </c>
      <c r="H105" t="s">
        <v>21</v>
      </c>
      <c r="I105">
        <v>95008</v>
      </c>
    </row>
    <row r="106" spans="1:9" x14ac:dyDescent="0.3">
      <c r="A106">
        <v>105</v>
      </c>
      <c r="B106" t="s">
        <v>515</v>
      </c>
      <c r="C106" t="s">
        <v>516</v>
      </c>
      <c r="D106" t="s">
        <v>11</v>
      </c>
      <c r="E106" t="s">
        <v>517</v>
      </c>
      <c r="F106" t="s">
        <v>518</v>
      </c>
      <c r="G106" t="s">
        <v>519</v>
      </c>
      <c r="H106" t="s">
        <v>15</v>
      </c>
      <c r="I106">
        <v>11421</v>
      </c>
    </row>
    <row r="107" spans="1:9" x14ac:dyDescent="0.3">
      <c r="A107">
        <v>106</v>
      </c>
      <c r="B107" t="s">
        <v>520</v>
      </c>
      <c r="C107" t="s">
        <v>521</v>
      </c>
      <c r="D107" t="s">
        <v>11</v>
      </c>
      <c r="E107" t="s">
        <v>522</v>
      </c>
      <c r="F107" t="s">
        <v>523</v>
      </c>
      <c r="G107" t="s">
        <v>524</v>
      </c>
      <c r="H107" t="s">
        <v>15</v>
      </c>
      <c r="I107">
        <v>11373</v>
      </c>
    </row>
    <row r="108" spans="1:9" x14ac:dyDescent="0.3">
      <c r="A108">
        <v>107</v>
      </c>
      <c r="B108" t="s">
        <v>525</v>
      </c>
      <c r="C108" t="s">
        <v>526</v>
      </c>
      <c r="D108" t="s">
        <v>11</v>
      </c>
      <c r="E108" t="s">
        <v>527</v>
      </c>
      <c r="F108" t="s">
        <v>528</v>
      </c>
      <c r="G108" t="s">
        <v>300</v>
      </c>
      <c r="H108" t="s">
        <v>15</v>
      </c>
      <c r="I108">
        <v>11722</v>
      </c>
    </row>
    <row r="109" spans="1:9" x14ac:dyDescent="0.3">
      <c r="A109">
        <v>108</v>
      </c>
      <c r="B109" t="s">
        <v>529</v>
      </c>
      <c r="C109" t="s">
        <v>530</v>
      </c>
      <c r="D109" t="s">
        <v>11</v>
      </c>
      <c r="E109" t="s">
        <v>531</v>
      </c>
      <c r="F109" t="s">
        <v>532</v>
      </c>
      <c r="G109" t="s">
        <v>533</v>
      </c>
      <c r="H109" t="s">
        <v>15</v>
      </c>
      <c r="I109">
        <v>11001</v>
      </c>
    </row>
    <row r="110" spans="1:9" x14ac:dyDescent="0.3">
      <c r="A110">
        <v>109</v>
      </c>
      <c r="B110" t="s">
        <v>534</v>
      </c>
      <c r="C110" t="s">
        <v>535</v>
      </c>
      <c r="D110" t="s">
        <v>536</v>
      </c>
      <c r="E110" t="s">
        <v>537</v>
      </c>
      <c r="F110" t="s">
        <v>538</v>
      </c>
      <c r="G110" t="s">
        <v>539</v>
      </c>
      <c r="H110" t="s">
        <v>21</v>
      </c>
      <c r="I110">
        <v>95127</v>
      </c>
    </row>
    <row r="111" spans="1:9" x14ac:dyDescent="0.3">
      <c r="A111">
        <v>110</v>
      </c>
      <c r="B111" t="s">
        <v>540</v>
      </c>
      <c r="C111" t="s">
        <v>541</v>
      </c>
      <c r="D111" t="s">
        <v>542</v>
      </c>
      <c r="E111" t="s">
        <v>543</v>
      </c>
      <c r="F111" t="s">
        <v>544</v>
      </c>
      <c r="G111" t="s">
        <v>545</v>
      </c>
      <c r="H111" t="s">
        <v>21</v>
      </c>
      <c r="I111">
        <v>92806</v>
      </c>
    </row>
    <row r="112" spans="1:9" x14ac:dyDescent="0.3">
      <c r="A112">
        <v>111</v>
      </c>
      <c r="B112" t="s">
        <v>546</v>
      </c>
      <c r="C112" t="s">
        <v>547</v>
      </c>
      <c r="D112" t="s">
        <v>11</v>
      </c>
      <c r="E112" t="s">
        <v>548</v>
      </c>
      <c r="F112" t="s">
        <v>549</v>
      </c>
      <c r="G112" t="s">
        <v>14</v>
      </c>
      <c r="H112" t="s">
        <v>15</v>
      </c>
      <c r="I112">
        <v>14127</v>
      </c>
    </row>
    <row r="113" spans="1:9" x14ac:dyDescent="0.3">
      <c r="A113">
        <v>112</v>
      </c>
      <c r="B113" t="s">
        <v>550</v>
      </c>
      <c r="C113" t="s">
        <v>330</v>
      </c>
      <c r="D113" t="s">
        <v>11</v>
      </c>
      <c r="E113" t="s">
        <v>551</v>
      </c>
      <c r="F113" t="s">
        <v>552</v>
      </c>
      <c r="G113" t="s">
        <v>553</v>
      </c>
      <c r="H113" t="s">
        <v>15</v>
      </c>
      <c r="I113">
        <v>11552</v>
      </c>
    </row>
    <row r="114" spans="1:9" x14ac:dyDescent="0.3">
      <c r="A114">
        <v>113</v>
      </c>
      <c r="B114" t="s">
        <v>554</v>
      </c>
      <c r="C114" t="s">
        <v>555</v>
      </c>
      <c r="D114" t="s">
        <v>11</v>
      </c>
      <c r="E114" t="s">
        <v>556</v>
      </c>
      <c r="F114" t="s">
        <v>557</v>
      </c>
      <c r="G114" t="s">
        <v>460</v>
      </c>
      <c r="H114" t="s">
        <v>15</v>
      </c>
      <c r="I114">
        <v>11735</v>
      </c>
    </row>
    <row r="115" spans="1:9" x14ac:dyDescent="0.3">
      <c r="A115">
        <v>114</v>
      </c>
      <c r="B115" t="s">
        <v>558</v>
      </c>
      <c r="C115" t="s">
        <v>559</v>
      </c>
      <c r="D115" t="s">
        <v>11</v>
      </c>
      <c r="E115" t="s">
        <v>560</v>
      </c>
      <c r="F115" t="s">
        <v>561</v>
      </c>
      <c r="G115" t="s">
        <v>323</v>
      </c>
      <c r="H115" t="s">
        <v>15</v>
      </c>
      <c r="I115">
        <v>11701</v>
      </c>
    </row>
    <row r="116" spans="1:9" x14ac:dyDescent="0.3">
      <c r="A116">
        <v>115</v>
      </c>
      <c r="B116" t="s">
        <v>562</v>
      </c>
      <c r="C116" t="s">
        <v>563</v>
      </c>
      <c r="D116" t="s">
        <v>11</v>
      </c>
      <c r="E116" t="s">
        <v>564</v>
      </c>
      <c r="F116" t="s">
        <v>565</v>
      </c>
      <c r="G116" t="s">
        <v>63</v>
      </c>
      <c r="H116" t="s">
        <v>15</v>
      </c>
      <c r="I116">
        <v>10950</v>
      </c>
    </row>
    <row r="117" spans="1:9" x14ac:dyDescent="0.3">
      <c r="A117">
        <v>116</v>
      </c>
      <c r="B117" t="s">
        <v>566</v>
      </c>
      <c r="C117" t="s">
        <v>567</v>
      </c>
      <c r="D117" t="s">
        <v>11</v>
      </c>
      <c r="E117" t="s">
        <v>568</v>
      </c>
      <c r="F117" t="s">
        <v>569</v>
      </c>
      <c r="G117" t="s">
        <v>570</v>
      </c>
      <c r="H117" t="s">
        <v>80</v>
      </c>
      <c r="I117">
        <v>76039</v>
      </c>
    </row>
    <row r="118" spans="1:9" x14ac:dyDescent="0.3">
      <c r="A118">
        <v>117</v>
      </c>
      <c r="B118" t="s">
        <v>571</v>
      </c>
      <c r="C118" t="s">
        <v>572</v>
      </c>
      <c r="D118" t="s">
        <v>11</v>
      </c>
      <c r="E118" t="s">
        <v>573</v>
      </c>
      <c r="F118" t="s">
        <v>574</v>
      </c>
      <c r="G118" t="s">
        <v>115</v>
      </c>
      <c r="H118" t="s">
        <v>80</v>
      </c>
      <c r="I118">
        <v>77478</v>
      </c>
    </row>
    <row r="119" spans="1:9" x14ac:dyDescent="0.3">
      <c r="A119">
        <v>118</v>
      </c>
      <c r="B119" t="s">
        <v>575</v>
      </c>
      <c r="C119" t="s">
        <v>576</v>
      </c>
      <c r="D119" t="s">
        <v>11</v>
      </c>
      <c r="E119" t="s">
        <v>577</v>
      </c>
      <c r="F119" t="s">
        <v>578</v>
      </c>
      <c r="G119" t="s">
        <v>579</v>
      </c>
      <c r="H119" t="s">
        <v>15</v>
      </c>
      <c r="I119">
        <v>14534</v>
      </c>
    </row>
    <row r="120" spans="1:9" x14ac:dyDescent="0.3">
      <c r="A120">
        <v>119</v>
      </c>
      <c r="B120" t="s">
        <v>558</v>
      </c>
      <c r="C120" t="s">
        <v>580</v>
      </c>
      <c r="D120" t="s">
        <v>11</v>
      </c>
      <c r="E120" t="s">
        <v>581</v>
      </c>
      <c r="F120" t="s">
        <v>582</v>
      </c>
      <c r="G120" t="s">
        <v>314</v>
      </c>
      <c r="H120" t="s">
        <v>80</v>
      </c>
      <c r="I120">
        <v>76901</v>
      </c>
    </row>
    <row r="121" spans="1:9" x14ac:dyDescent="0.3">
      <c r="A121">
        <v>120</v>
      </c>
      <c r="B121" t="s">
        <v>583</v>
      </c>
      <c r="C121" t="s">
        <v>584</v>
      </c>
      <c r="D121" t="s">
        <v>585</v>
      </c>
      <c r="E121" t="s">
        <v>586</v>
      </c>
      <c r="F121" t="s">
        <v>587</v>
      </c>
      <c r="G121" t="s">
        <v>588</v>
      </c>
      <c r="H121" t="s">
        <v>21</v>
      </c>
      <c r="I121">
        <v>93706</v>
      </c>
    </row>
    <row r="122" spans="1:9" x14ac:dyDescent="0.3">
      <c r="A122">
        <v>121</v>
      </c>
      <c r="B122" t="s">
        <v>589</v>
      </c>
      <c r="C122" t="s">
        <v>590</v>
      </c>
      <c r="D122" t="s">
        <v>11</v>
      </c>
      <c r="E122" t="s">
        <v>591</v>
      </c>
      <c r="F122" t="s">
        <v>592</v>
      </c>
      <c r="G122" t="s">
        <v>181</v>
      </c>
      <c r="H122" t="s">
        <v>21</v>
      </c>
      <c r="I122">
        <v>90274</v>
      </c>
    </row>
    <row r="123" spans="1:9" x14ac:dyDescent="0.3">
      <c r="A123">
        <v>122</v>
      </c>
      <c r="B123" t="s">
        <v>593</v>
      </c>
      <c r="C123" t="s">
        <v>228</v>
      </c>
      <c r="D123" t="s">
        <v>11</v>
      </c>
      <c r="E123" t="s">
        <v>594</v>
      </c>
      <c r="F123" t="s">
        <v>595</v>
      </c>
      <c r="G123" t="s">
        <v>596</v>
      </c>
      <c r="H123" t="s">
        <v>15</v>
      </c>
      <c r="I123">
        <v>11414</v>
      </c>
    </row>
    <row r="124" spans="1:9" x14ac:dyDescent="0.3">
      <c r="A124">
        <v>123</v>
      </c>
      <c r="B124" t="s">
        <v>597</v>
      </c>
      <c r="C124" t="s">
        <v>598</v>
      </c>
      <c r="D124" t="s">
        <v>599</v>
      </c>
      <c r="E124" t="s">
        <v>600</v>
      </c>
      <c r="F124" t="s">
        <v>601</v>
      </c>
      <c r="G124" t="s">
        <v>602</v>
      </c>
      <c r="H124" t="s">
        <v>80</v>
      </c>
      <c r="I124">
        <v>78418</v>
      </c>
    </row>
    <row r="125" spans="1:9" x14ac:dyDescent="0.3">
      <c r="A125">
        <v>124</v>
      </c>
      <c r="B125" t="s">
        <v>603</v>
      </c>
      <c r="C125" t="s">
        <v>604</v>
      </c>
      <c r="D125" t="s">
        <v>11</v>
      </c>
      <c r="E125" t="s">
        <v>605</v>
      </c>
      <c r="F125" t="s">
        <v>606</v>
      </c>
      <c r="G125" t="s">
        <v>366</v>
      </c>
      <c r="H125" t="s">
        <v>21</v>
      </c>
      <c r="I125">
        <v>91733</v>
      </c>
    </row>
    <row r="126" spans="1:9" x14ac:dyDescent="0.3">
      <c r="A126">
        <v>125</v>
      </c>
      <c r="B126" t="s">
        <v>607</v>
      </c>
      <c r="C126" t="s">
        <v>608</v>
      </c>
      <c r="D126" t="s">
        <v>11</v>
      </c>
      <c r="E126" t="s">
        <v>609</v>
      </c>
      <c r="F126" t="s">
        <v>610</v>
      </c>
      <c r="G126" t="s">
        <v>106</v>
      </c>
      <c r="H126" t="s">
        <v>15</v>
      </c>
      <c r="I126">
        <v>14424</v>
      </c>
    </row>
    <row r="127" spans="1:9" x14ac:dyDescent="0.3">
      <c r="A127">
        <v>126</v>
      </c>
      <c r="B127" t="s">
        <v>611</v>
      </c>
      <c r="C127" t="s">
        <v>612</v>
      </c>
      <c r="D127" t="s">
        <v>11</v>
      </c>
      <c r="E127" t="s">
        <v>613</v>
      </c>
      <c r="F127" t="s">
        <v>614</v>
      </c>
      <c r="G127" t="s">
        <v>615</v>
      </c>
      <c r="H127" t="s">
        <v>15</v>
      </c>
      <c r="I127">
        <v>12550</v>
      </c>
    </row>
    <row r="128" spans="1:9" x14ac:dyDescent="0.3">
      <c r="A128">
        <v>127</v>
      </c>
      <c r="B128" t="s">
        <v>616</v>
      </c>
      <c r="C128" t="s">
        <v>617</v>
      </c>
      <c r="D128" t="s">
        <v>11</v>
      </c>
      <c r="E128" t="s">
        <v>618</v>
      </c>
      <c r="F128" t="s">
        <v>619</v>
      </c>
      <c r="G128" t="s">
        <v>200</v>
      </c>
      <c r="H128" t="s">
        <v>15</v>
      </c>
      <c r="I128">
        <v>11378</v>
      </c>
    </row>
    <row r="129" spans="1:9" x14ac:dyDescent="0.3">
      <c r="A129">
        <v>128</v>
      </c>
      <c r="B129" t="s">
        <v>620</v>
      </c>
      <c r="C129" t="s">
        <v>621</v>
      </c>
      <c r="D129" t="s">
        <v>11</v>
      </c>
      <c r="E129" t="s">
        <v>622</v>
      </c>
      <c r="F129" t="s">
        <v>623</v>
      </c>
      <c r="G129" t="s">
        <v>90</v>
      </c>
      <c r="H129" t="s">
        <v>15</v>
      </c>
      <c r="I129">
        <v>12901</v>
      </c>
    </row>
    <row r="130" spans="1:9" x14ac:dyDescent="0.3">
      <c r="A130">
        <v>129</v>
      </c>
      <c r="B130" t="s">
        <v>624</v>
      </c>
      <c r="C130" t="s">
        <v>612</v>
      </c>
      <c r="D130" t="s">
        <v>11</v>
      </c>
      <c r="E130" t="s">
        <v>625</v>
      </c>
      <c r="F130" t="s">
        <v>626</v>
      </c>
      <c r="G130" t="s">
        <v>627</v>
      </c>
      <c r="H130" t="s">
        <v>15</v>
      </c>
      <c r="I130">
        <v>14094</v>
      </c>
    </row>
    <row r="131" spans="1:9" x14ac:dyDescent="0.3">
      <c r="A131">
        <v>130</v>
      </c>
      <c r="B131" t="s">
        <v>628</v>
      </c>
      <c r="C131" t="s">
        <v>629</v>
      </c>
      <c r="D131" t="s">
        <v>630</v>
      </c>
      <c r="E131" t="s">
        <v>631</v>
      </c>
      <c r="F131" t="s">
        <v>632</v>
      </c>
      <c r="G131" t="s">
        <v>466</v>
      </c>
      <c r="H131" t="s">
        <v>15</v>
      </c>
      <c r="I131">
        <v>12180</v>
      </c>
    </row>
    <row r="132" spans="1:9" x14ac:dyDescent="0.3">
      <c r="A132">
        <v>131</v>
      </c>
      <c r="B132" t="s">
        <v>633</v>
      </c>
      <c r="C132" t="s">
        <v>634</v>
      </c>
      <c r="D132" t="s">
        <v>11</v>
      </c>
      <c r="E132" t="s">
        <v>635</v>
      </c>
      <c r="F132" t="s">
        <v>636</v>
      </c>
      <c r="G132" t="s">
        <v>510</v>
      </c>
      <c r="H132" t="s">
        <v>15</v>
      </c>
      <c r="I132">
        <v>11791</v>
      </c>
    </row>
    <row r="133" spans="1:9" x14ac:dyDescent="0.3">
      <c r="A133">
        <v>132</v>
      </c>
      <c r="B133" t="s">
        <v>637</v>
      </c>
      <c r="C133" t="s">
        <v>638</v>
      </c>
      <c r="D133" t="s">
        <v>11</v>
      </c>
      <c r="E133" t="s">
        <v>639</v>
      </c>
      <c r="F133" t="s">
        <v>640</v>
      </c>
      <c r="G133" t="s">
        <v>641</v>
      </c>
      <c r="H133" t="s">
        <v>15</v>
      </c>
      <c r="I133">
        <v>14075</v>
      </c>
    </row>
    <row r="134" spans="1:9" x14ac:dyDescent="0.3">
      <c r="A134">
        <v>133</v>
      </c>
      <c r="B134" t="s">
        <v>642</v>
      </c>
      <c r="C134" t="s">
        <v>643</v>
      </c>
      <c r="D134" t="s">
        <v>11</v>
      </c>
      <c r="E134" t="s">
        <v>644</v>
      </c>
      <c r="F134" t="s">
        <v>645</v>
      </c>
      <c r="G134" t="s">
        <v>646</v>
      </c>
      <c r="H134" t="s">
        <v>15</v>
      </c>
      <c r="I134">
        <v>11727</v>
      </c>
    </row>
    <row r="135" spans="1:9" x14ac:dyDescent="0.3">
      <c r="A135">
        <v>134</v>
      </c>
      <c r="B135" t="s">
        <v>647</v>
      </c>
      <c r="C135" t="s">
        <v>648</v>
      </c>
      <c r="D135" t="s">
        <v>649</v>
      </c>
      <c r="E135" t="s">
        <v>650</v>
      </c>
      <c r="F135" t="s">
        <v>651</v>
      </c>
      <c r="G135" t="s">
        <v>74</v>
      </c>
      <c r="H135" t="s">
        <v>15</v>
      </c>
      <c r="I135">
        <v>11550</v>
      </c>
    </row>
    <row r="136" spans="1:9" x14ac:dyDescent="0.3">
      <c r="A136">
        <v>135</v>
      </c>
      <c r="B136" t="s">
        <v>652</v>
      </c>
      <c r="C136" t="s">
        <v>253</v>
      </c>
      <c r="D136" t="s">
        <v>653</v>
      </c>
      <c r="E136" t="s">
        <v>654</v>
      </c>
      <c r="F136" t="s">
        <v>655</v>
      </c>
      <c r="G136" t="s">
        <v>232</v>
      </c>
      <c r="H136" t="s">
        <v>80</v>
      </c>
      <c r="I136">
        <v>77016</v>
      </c>
    </row>
    <row r="137" spans="1:9" x14ac:dyDescent="0.3">
      <c r="A137">
        <v>136</v>
      </c>
      <c r="B137" t="s">
        <v>656</v>
      </c>
      <c r="C137" t="s">
        <v>395</v>
      </c>
      <c r="D137" t="s">
        <v>11</v>
      </c>
      <c r="E137" t="s">
        <v>657</v>
      </c>
      <c r="F137" t="s">
        <v>658</v>
      </c>
      <c r="G137" t="s">
        <v>85</v>
      </c>
      <c r="H137" t="s">
        <v>80</v>
      </c>
      <c r="I137">
        <v>75126</v>
      </c>
    </row>
    <row r="138" spans="1:9" x14ac:dyDescent="0.3">
      <c r="A138">
        <v>137</v>
      </c>
      <c r="B138" t="s">
        <v>659</v>
      </c>
      <c r="C138" t="s">
        <v>660</v>
      </c>
      <c r="D138" t="s">
        <v>11</v>
      </c>
      <c r="E138" t="s">
        <v>661</v>
      </c>
      <c r="F138" t="s">
        <v>662</v>
      </c>
      <c r="G138" t="s">
        <v>663</v>
      </c>
      <c r="H138" t="s">
        <v>15</v>
      </c>
      <c r="I138">
        <v>11758</v>
      </c>
    </row>
    <row r="139" spans="1:9" x14ac:dyDescent="0.3">
      <c r="A139">
        <v>138</v>
      </c>
      <c r="B139" t="s">
        <v>664</v>
      </c>
      <c r="C139" t="s">
        <v>665</v>
      </c>
      <c r="D139" t="s">
        <v>666</v>
      </c>
      <c r="E139" t="s">
        <v>667</v>
      </c>
      <c r="F139" t="s">
        <v>668</v>
      </c>
      <c r="G139" t="s">
        <v>545</v>
      </c>
      <c r="H139" t="s">
        <v>21</v>
      </c>
      <c r="I139">
        <v>92806</v>
      </c>
    </row>
    <row r="140" spans="1:9" x14ac:dyDescent="0.3">
      <c r="A140">
        <v>139</v>
      </c>
      <c r="B140" t="s">
        <v>669</v>
      </c>
      <c r="C140" t="s">
        <v>670</v>
      </c>
      <c r="D140" t="s">
        <v>11</v>
      </c>
      <c r="E140" t="s">
        <v>671</v>
      </c>
      <c r="F140" t="s">
        <v>672</v>
      </c>
      <c r="G140" t="s">
        <v>673</v>
      </c>
      <c r="H140" t="s">
        <v>15</v>
      </c>
      <c r="I140">
        <v>10977</v>
      </c>
    </row>
    <row r="141" spans="1:9" x14ac:dyDescent="0.3">
      <c r="A141">
        <v>140</v>
      </c>
      <c r="B141" t="s">
        <v>674</v>
      </c>
      <c r="C141" t="s">
        <v>675</v>
      </c>
      <c r="D141" t="s">
        <v>11</v>
      </c>
      <c r="E141" t="s">
        <v>676</v>
      </c>
      <c r="F141" t="s">
        <v>677</v>
      </c>
      <c r="G141" t="s">
        <v>272</v>
      </c>
      <c r="H141" t="s">
        <v>15</v>
      </c>
      <c r="I141">
        <v>11369</v>
      </c>
    </row>
    <row r="142" spans="1:9" x14ac:dyDescent="0.3">
      <c r="A142">
        <v>141</v>
      </c>
      <c r="B142" t="s">
        <v>678</v>
      </c>
      <c r="C142" t="s">
        <v>679</v>
      </c>
      <c r="D142" t="s">
        <v>11</v>
      </c>
      <c r="E142" t="s">
        <v>680</v>
      </c>
      <c r="F142" t="s">
        <v>681</v>
      </c>
      <c r="G142" t="s">
        <v>682</v>
      </c>
      <c r="H142" t="s">
        <v>15</v>
      </c>
      <c r="I142">
        <v>11412</v>
      </c>
    </row>
    <row r="143" spans="1:9" x14ac:dyDescent="0.3">
      <c r="A143">
        <v>142</v>
      </c>
      <c r="B143" t="s">
        <v>683</v>
      </c>
      <c r="C143" t="s">
        <v>684</v>
      </c>
      <c r="D143" t="s">
        <v>11</v>
      </c>
      <c r="E143" t="s">
        <v>685</v>
      </c>
      <c r="F143" t="s">
        <v>686</v>
      </c>
      <c r="G143" t="s">
        <v>553</v>
      </c>
      <c r="H143" t="s">
        <v>15</v>
      </c>
      <c r="I143">
        <v>11552</v>
      </c>
    </row>
    <row r="144" spans="1:9" x14ac:dyDescent="0.3">
      <c r="A144">
        <v>143</v>
      </c>
      <c r="B144" t="s">
        <v>687</v>
      </c>
      <c r="C144" t="s">
        <v>688</v>
      </c>
      <c r="D144" t="s">
        <v>11</v>
      </c>
      <c r="E144" t="s">
        <v>689</v>
      </c>
      <c r="F144" t="s">
        <v>690</v>
      </c>
      <c r="G144" t="s">
        <v>53</v>
      </c>
      <c r="H144" t="s">
        <v>15</v>
      </c>
      <c r="I144">
        <v>11372</v>
      </c>
    </row>
    <row r="145" spans="1:9" x14ac:dyDescent="0.3">
      <c r="A145">
        <v>144</v>
      </c>
      <c r="B145" t="s">
        <v>691</v>
      </c>
      <c r="C145" t="s">
        <v>692</v>
      </c>
      <c r="D145" t="s">
        <v>11</v>
      </c>
      <c r="E145" t="s">
        <v>693</v>
      </c>
      <c r="F145" t="s">
        <v>694</v>
      </c>
      <c r="G145" t="s">
        <v>695</v>
      </c>
      <c r="H145" t="s">
        <v>15</v>
      </c>
      <c r="I145">
        <v>10573</v>
      </c>
    </row>
    <row r="146" spans="1:9" x14ac:dyDescent="0.3">
      <c r="A146">
        <v>145</v>
      </c>
      <c r="B146" t="s">
        <v>696</v>
      </c>
      <c r="C146" t="s">
        <v>697</v>
      </c>
      <c r="D146" t="s">
        <v>11</v>
      </c>
      <c r="E146" t="s">
        <v>698</v>
      </c>
      <c r="F146" t="s">
        <v>699</v>
      </c>
      <c r="G146" t="s">
        <v>700</v>
      </c>
      <c r="H146" t="s">
        <v>15</v>
      </c>
      <c r="I146">
        <v>10301</v>
      </c>
    </row>
    <row r="147" spans="1:9" x14ac:dyDescent="0.3">
      <c r="A147">
        <v>146</v>
      </c>
      <c r="B147" t="s">
        <v>701</v>
      </c>
      <c r="C147" t="s">
        <v>702</v>
      </c>
      <c r="D147" t="s">
        <v>11</v>
      </c>
      <c r="E147" t="s">
        <v>703</v>
      </c>
      <c r="F147" t="s">
        <v>704</v>
      </c>
      <c r="G147" t="s">
        <v>475</v>
      </c>
      <c r="H147" t="s">
        <v>15</v>
      </c>
      <c r="I147">
        <v>12866</v>
      </c>
    </row>
    <row r="148" spans="1:9" x14ac:dyDescent="0.3">
      <c r="A148">
        <v>147</v>
      </c>
      <c r="B148" t="s">
        <v>705</v>
      </c>
      <c r="C148" t="s">
        <v>706</v>
      </c>
      <c r="D148" t="s">
        <v>11</v>
      </c>
      <c r="E148" t="s">
        <v>707</v>
      </c>
      <c r="F148" t="s">
        <v>708</v>
      </c>
      <c r="G148" t="s">
        <v>709</v>
      </c>
      <c r="H148" t="s">
        <v>15</v>
      </c>
      <c r="I148">
        <v>11787</v>
      </c>
    </row>
    <row r="149" spans="1:9" x14ac:dyDescent="0.3">
      <c r="A149">
        <v>148</v>
      </c>
      <c r="B149" t="s">
        <v>710</v>
      </c>
      <c r="C149" t="s">
        <v>711</v>
      </c>
      <c r="D149" t="s">
        <v>11</v>
      </c>
      <c r="E149" t="s">
        <v>712</v>
      </c>
      <c r="F149" t="s">
        <v>713</v>
      </c>
      <c r="G149" t="s">
        <v>226</v>
      </c>
      <c r="H149" t="s">
        <v>15</v>
      </c>
      <c r="I149">
        <v>11418</v>
      </c>
    </row>
    <row r="150" spans="1:9" x14ac:dyDescent="0.3">
      <c r="A150">
        <v>149</v>
      </c>
      <c r="B150" t="s">
        <v>714</v>
      </c>
      <c r="C150" t="s">
        <v>715</v>
      </c>
      <c r="D150" t="s">
        <v>11</v>
      </c>
      <c r="E150" t="s">
        <v>716</v>
      </c>
      <c r="F150" t="s">
        <v>717</v>
      </c>
      <c r="G150" t="s">
        <v>673</v>
      </c>
      <c r="H150" t="s">
        <v>15</v>
      </c>
      <c r="I150">
        <v>10977</v>
      </c>
    </row>
    <row r="151" spans="1:9" x14ac:dyDescent="0.3">
      <c r="A151">
        <v>150</v>
      </c>
      <c r="B151" t="s">
        <v>718</v>
      </c>
      <c r="C151" t="s">
        <v>719</v>
      </c>
      <c r="D151" t="s">
        <v>11</v>
      </c>
      <c r="E151" t="s">
        <v>720</v>
      </c>
      <c r="F151" t="s">
        <v>721</v>
      </c>
      <c r="G151" t="s">
        <v>722</v>
      </c>
      <c r="H151" t="s">
        <v>15</v>
      </c>
      <c r="I151">
        <v>11743</v>
      </c>
    </row>
    <row r="152" spans="1:9" x14ac:dyDescent="0.3">
      <c r="A152">
        <v>151</v>
      </c>
      <c r="B152" t="s">
        <v>723</v>
      </c>
      <c r="C152" t="s">
        <v>724</v>
      </c>
      <c r="D152" t="s">
        <v>11</v>
      </c>
      <c r="E152" t="s">
        <v>725</v>
      </c>
      <c r="F152" t="s">
        <v>726</v>
      </c>
      <c r="G152" t="s">
        <v>135</v>
      </c>
      <c r="H152" t="s">
        <v>21</v>
      </c>
      <c r="I152">
        <v>95301</v>
      </c>
    </row>
    <row r="153" spans="1:9" x14ac:dyDescent="0.3">
      <c r="A153">
        <v>152</v>
      </c>
      <c r="B153" t="s">
        <v>727</v>
      </c>
      <c r="C153" t="s">
        <v>728</v>
      </c>
      <c r="D153" t="s">
        <v>11</v>
      </c>
      <c r="E153" t="s">
        <v>729</v>
      </c>
      <c r="F153" t="s">
        <v>730</v>
      </c>
      <c r="G153" t="s">
        <v>731</v>
      </c>
      <c r="H153" t="s">
        <v>15</v>
      </c>
      <c r="I153">
        <v>11803</v>
      </c>
    </row>
    <row r="154" spans="1:9" x14ac:dyDescent="0.3">
      <c r="A154">
        <v>153</v>
      </c>
      <c r="B154" t="s">
        <v>732</v>
      </c>
      <c r="C154" t="s">
        <v>733</v>
      </c>
      <c r="D154" t="s">
        <v>11</v>
      </c>
      <c r="E154" t="s">
        <v>734</v>
      </c>
      <c r="F154" t="s">
        <v>735</v>
      </c>
      <c r="G154" t="s">
        <v>314</v>
      </c>
      <c r="H154" t="s">
        <v>80</v>
      </c>
      <c r="I154">
        <v>76901</v>
      </c>
    </row>
    <row r="155" spans="1:9" x14ac:dyDescent="0.3">
      <c r="A155">
        <v>154</v>
      </c>
      <c r="B155" t="s">
        <v>736</v>
      </c>
      <c r="C155" t="s">
        <v>737</v>
      </c>
      <c r="D155" t="s">
        <v>11</v>
      </c>
      <c r="E155" t="s">
        <v>738</v>
      </c>
      <c r="F155" t="s">
        <v>739</v>
      </c>
      <c r="G155" t="s">
        <v>740</v>
      </c>
      <c r="H155" t="s">
        <v>80</v>
      </c>
      <c r="I155">
        <v>78023</v>
      </c>
    </row>
    <row r="156" spans="1:9" x14ac:dyDescent="0.3">
      <c r="A156">
        <v>155</v>
      </c>
      <c r="B156" t="s">
        <v>741</v>
      </c>
      <c r="C156" t="s">
        <v>742</v>
      </c>
      <c r="D156" t="s">
        <v>11</v>
      </c>
      <c r="E156" t="s">
        <v>743</v>
      </c>
      <c r="F156" t="s">
        <v>744</v>
      </c>
      <c r="G156" t="s">
        <v>745</v>
      </c>
      <c r="H156" t="s">
        <v>15</v>
      </c>
      <c r="I156">
        <v>11706</v>
      </c>
    </row>
    <row r="157" spans="1:9" x14ac:dyDescent="0.3">
      <c r="A157">
        <v>156</v>
      </c>
      <c r="B157" t="s">
        <v>746</v>
      </c>
      <c r="C157" t="s">
        <v>747</v>
      </c>
      <c r="D157" t="s">
        <v>11</v>
      </c>
      <c r="E157" t="s">
        <v>748</v>
      </c>
      <c r="F157" t="s">
        <v>749</v>
      </c>
      <c r="G157" t="s">
        <v>750</v>
      </c>
      <c r="H157" t="s">
        <v>15</v>
      </c>
      <c r="I157">
        <v>11795</v>
      </c>
    </row>
    <row r="158" spans="1:9" x14ac:dyDescent="0.3">
      <c r="A158">
        <v>157</v>
      </c>
      <c r="B158" t="s">
        <v>751</v>
      </c>
      <c r="C158" t="s">
        <v>752</v>
      </c>
      <c r="D158" t="s">
        <v>11</v>
      </c>
      <c r="E158" t="s">
        <v>753</v>
      </c>
      <c r="F158" t="s">
        <v>754</v>
      </c>
      <c r="G158" t="s">
        <v>755</v>
      </c>
      <c r="H158" t="s">
        <v>21</v>
      </c>
      <c r="I158">
        <v>92220</v>
      </c>
    </row>
    <row r="159" spans="1:9" x14ac:dyDescent="0.3">
      <c r="A159">
        <v>158</v>
      </c>
      <c r="B159" t="s">
        <v>756</v>
      </c>
      <c r="C159" t="s">
        <v>350</v>
      </c>
      <c r="D159" t="s">
        <v>11</v>
      </c>
      <c r="E159" t="s">
        <v>757</v>
      </c>
      <c r="F159" t="s">
        <v>758</v>
      </c>
      <c r="G159" t="s">
        <v>673</v>
      </c>
      <c r="H159" t="s">
        <v>15</v>
      </c>
      <c r="I159">
        <v>10977</v>
      </c>
    </row>
    <row r="160" spans="1:9" x14ac:dyDescent="0.3">
      <c r="A160">
        <v>159</v>
      </c>
      <c r="B160" t="s">
        <v>759</v>
      </c>
      <c r="C160" t="s">
        <v>760</v>
      </c>
      <c r="D160" t="s">
        <v>11</v>
      </c>
      <c r="E160" t="s">
        <v>761</v>
      </c>
      <c r="F160" t="s">
        <v>762</v>
      </c>
      <c r="G160" t="s">
        <v>338</v>
      </c>
      <c r="H160" t="s">
        <v>80</v>
      </c>
      <c r="I160">
        <v>75043</v>
      </c>
    </row>
    <row r="161" spans="1:9" x14ac:dyDescent="0.3">
      <c r="A161">
        <v>160</v>
      </c>
      <c r="B161" t="s">
        <v>763</v>
      </c>
      <c r="C161" t="s">
        <v>764</v>
      </c>
      <c r="D161" t="s">
        <v>11</v>
      </c>
      <c r="E161" t="s">
        <v>765</v>
      </c>
      <c r="F161" t="s">
        <v>766</v>
      </c>
      <c r="G161" t="s">
        <v>348</v>
      </c>
      <c r="H161" t="s">
        <v>80</v>
      </c>
      <c r="I161">
        <v>75088</v>
      </c>
    </row>
    <row r="162" spans="1:9" x14ac:dyDescent="0.3">
      <c r="A162">
        <v>161</v>
      </c>
      <c r="B162" t="s">
        <v>767</v>
      </c>
      <c r="C162" t="s">
        <v>768</v>
      </c>
      <c r="D162" t="s">
        <v>11</v>
      </c>
      <c r="E162" t="s">
        <v>769</v>
      </c>
      <c r="F162" t="s">
        <v>770</v>
      </c>
      <c r="G162" t="s">
        <v>709</v>
      </c>
      <c r="H162" t="s">
        <v>15</v>
      </c>
      <c r="I162">
        <v>11787</v>
      </c>
    </row>
    <row r="163" spans="1:9" x14ac:dyDescent="0.3">
      <c r="A163">
        <v>162</v>
      </c>
      <c r="B163" t="s">
        <v>771</v>
      </c>
      <c r="C163" t="s">
        <v>772</v>
      </c>
      <c r="D163" t="s">
        <v>11</v>
      </c>
      <c r="E163" t="s">
        <v>773</v>
      </c>
      <c r="F163" t="s">
        <v>774</v>
      </c>
      <c r="G163" t="s">
        <v>615</v>
      </c>
      <c r="H163" t="s">
        <v>15</v>
      </c>
      <c r="I163">
        <v>12550</v>
      </c>
    </row>
    <row r="164" spans="1:9" x14ac:dyDescent="0.3">
      <c r="A164">
        <v>163</v>
      </c>
      <c r="B164" t="s">
        <v>775</v>
      </c>
      <c r="C164" t="s">
        <v>776</v>
      </c>
      <c r="D164" t="s">
        <v>11</v>
      </c>
      <c r="E164" t="s">
        <v>777</v>
      </c>
      <c r="F164" t="s">
        <v>778</v>
      </c>
      <c r="G164" t="s">
        <v>333</v>
      </c>
      <c r="H164" t="s">
        <v>15</v>
      </c>
      <c r="I164">
        <v>13440</v>
      </c>
    </row>
    <row r="165" spans="1:9" x14ac:dyDescent="0.3">
      <c r="A165">
        <v>164</v>
      </c>
      <c r="B165" t="s">
        <v>779</v>
      </c>
      <c r="C165" t="s">
        <v>780</v>
      </c>
      <c r="D165" t="s">
        <v>11</v>
      </c>
      <c r="E165" t="s">
        <v>781</v>
      </c>
      <c r="F165" t="s">
        <v>782</v>
      </c>
      <c r="G165" t="s">
        <v>783</v>
      </c>
      <c r="H165" t="s">
        <v>15</v>
      </c>
      <c r="I165">
        <v>11377</v>
      </c>
    </row>
    <row r="166" spans="1:9" x14ac:dyDescent="0.3">
      <c r="A166">
        <v>165</v>
      </c>
      <c r="B166" t="s">
        <v>784</v>
      </c>
      <c r="C166" t="s">
        <v>785</v>
      </c>
      <c r="D166" t="s">
        <v>786</v>
      </c>
      <c r="E166" t="s">
        <v>787</v>
      </c>
      <c r="F166" t="s">
        <v>788</v>
      </c>
      <c r="G166" t="s">
        <v>539</v>
      </c>
      <c r="H166" t="s">
        <v>21</v>
      </c>
      <c r="I166">
        <v>95127</v>
      </c>
    </row>
    <row r="167" spans="1:9" x14ac:dyDescent="0.3">
      <c r="A167">
        <v>166</v>
      </c>
      <c r="B167" t="s">
        <v>789</v>
      </c>
      <c r="C167" t="s">
        <v>790</v>
      </c>
      <c r="D167" t="s">
        <v>11</v>
      </c>
      <c r="E167" t="s">
        <v>791</v>
      </c>
      <c r="F167" t="s">
        <v>792</v>
      </c>
      <c r="G167" t="s">
        <v>519</v>
      </c>
      <c r="H167" t="s">
        <v>15</v>
      </c>
      <c r="I167">
        <v>11421</v>
      </c>
    </row>
    <row r="168" spans="1:9" x14ac:dyDescent="0.3">
      <c r="A168">
        <v>167</v>
      </c>
      <c r="B168" t="s">
        <v>793</v>
      </c>
      <c r="C168" t="s">
        <v>794</v>
      </c>
      <c r="D168" t="s">
        <v>11</v>
      </c>
      <c r="E168" t="s">
        <v>795</v>
      </c>
      <c r="F168" t="s">
        <v>796</v>
      </c>
      <c r="G168" t="s">
        <v>673</v>
      </c>
      <c r="H168" t="s">
        <v>15</v>
      </c>
      <c r="I168">
        <v>10977</v>
      </c>
    </row>
    <row r="169" spans="1:9" x14ac:dyDescent="0.3">
      <c r="A169">
        <v>168</v>
      </c>
      <c r="B169" t="s">
        <v>797</v>
      </c>
      <c r="C169" t="s">
        <v>192</v>
      </c>
      <c r="D169" t="s">
        <v>11</v>
      </c>
      <c r="E169" t="s">
        <v>798</v>
      </c>
      <c r="F169" t="s">
        <v>799</v>
      </c>
      <c r="G169" t="s">
        <v>800</v>
      </c>
      <c r="H169" t="s">
        <v>15</v>
      </c>
      <c r="I169">
        <v>11420</v>
      </c>
    </row>
    <row r="170" spans="1:9" x14ac:dyDescent="0.3">
      <c r="A170">
        <v>169</v>
      </c>
      <c r="B170" t="s">
        <v>801</v>
      </c>
      <c r="C170" t="s">
        <v>802</v>
      </c>
      <c r="D170" t="s">
        <v>11</v>
      </c>
      <c r="E170" t="s">
        <v>803</v>
      </c>
      <c r="F170" t="s">
        <v>804</v>
      </c>
      <c r="G170" t="s">
        <v>181</v>
      </c>
      <c r="H170" t="s">
        <v>21</v>
      </c>
      <c r="I170">
        <v>90274</v>
      </c>
    </row>
    <row r="171" spans="1:9" x14ac:dyDescent="0.3">
      <c r="A171">
        <v>170</v>
      </c>
      <c r="B171" t="s">
        <v>805</v>
      </c>
      <c r="C171" t="s">
        <v>806</v>
      </c>
      <c r="D171" t="s">
        <v>807</v>
      </c>
      <c r="E171" t="s">
        <v>808</v>
      </c>
      <c r="F171" t="s">
        <v>809</v>
      </c>
      <c r="G171" t="s">
        <v>810</v>
      </c>
      <c r="H171" t="s">
        <v>21</v>
      </c>
      <c r="I171">
        <v>93035</v>
      </c>
    </row>
    <row r="172" spans="1:9" x14ac:dyDescent="0.3">
      <c r="A172">
        <v>171</v>
      </c>
      <c r="B172" t="s">
        <v>811</v>
      </c>
      <c r="C172" t="s">
        <v>812</v>
      </c>
      <c r="D172" t="s">
        <v>11</v>
      </c>
      <c r="E172" t="s">
        <v>813</v>
      </c>
      <c r="F172" t="s">
        <v>814</v>
      </c>
      <c r="G172" t="s">
        <v>31</v>
      </c>
      <c r="H172" t="s">
        <v>15</v>
      </c>
      <c r="I172">
        <v>11553</v>
      </c>
    </row>
    <row r="173" spans="1:9" x14ac:dyDescent="0.3">
      <c r="A173">
        <v>172</v>
      </c>
      <c r="B173" t="s">
        <v>815</v>
      </c>
      <c r="C173" t="s">
        <v>345</v>
      </c>
      <c r="D173" t="s">
        <v>11</v>
      </c>
      <c r="E173" t="s">
        <v>816</v>
      </c>
      <c r="F173" t="s">
        <v>817</v>
      </c>
      <c r="G173" t="s">
        <v>818</v>
      </c>
      <c r="H173" t="s">
        <v>21</v>
      </c>
      <c r="I173">
        <v>95050</v>
      </c>
    </row>
    <row r="174" spans="1:9" x14ac:dyDescent="0.3">
      <c r="A174">
        <v>173</v>
      </c>
      <c r="B174" t="s">
        <v>819</v>
      </c>
      <c r="C174" t="s">
        <v>820</v>
      </c>
      <c r="D174" t="s">
        <v>11</v>
      </c>
      <c r="E174" t="s">
        <v>821</v>
      </c>
      <c r="F174" t="s">
        <v>822</v>
      </c>
      <c r="G174" t="s">
        <v>338</v>
      </c>
      <c r="H174" t="s">
        <v>80</v>
      </c>
      <c r="I174">
        <v>75043</v>
      </c>
    </row>
    <row r="175" spans="1:9" x14ac:dyDescent="0.3">
      <c r="A175">
        <v>174</v>
      </c>
      <c r="B175" t="s">
        <v>823</v>
      </c>
      <c r="C175" t="s">
        <v>824</v>
      </c>
      <c r="D175" t="s">
        <v>11</v>
      </c>
      <c r="E175" t="s">
        <v>825</v>
      </c>
      <c r="F175" t="s">
        <v>826</v>
      </c>
      <c r="G175" t="s">
        <v>101</v>
      </c>
      <c r="H175" t="s">
        <v>15</v>
      </c>
      <c r="I175">
        <v>10583</v>
      </c>
    </row>
    <row r="176" spans="1:9" x14ac:dyDescent="0.3">
      <c r="A176">
        <v>175</v>
      </c>
      <c r="B176" t="s">
        <v>827</v>
      </c>
      <c r="C176" t="s">
        <v>828</v>
      </c>
      <c r="D176" t="s">
        <v>11</v>
      </c>
      <c r="E176" t="s">
        <v>829</v>
      </c>
      <c r="F176" t="s">
        <v>830</v>
      </c>
      <c r="G176" t="s">
        <v>435</v>
      </c>
      <c r="H176" t="s">
        <v>21</v>
      </c>
      <c r="I176">
        <v>91010</v>
      </c>
    </row>
    <row r="177" spans="1:9" x14ac:dyDescent="0.3">
      <c r="A177">
        <v>176</v>
      </c>
      <c r="B177" t="s">
        <v>831</v>
      </c>
      <c r="C177" t="s">
        <v>832</v>
      </c>
      <c r="D177" t="s">
        <v>11</v>
      </c>
      <c r="E177" t="s">
        <v>833</v>
      </c>
      <c r="F177" t="s">
        <v>834</v>
      </c>
      <c r="G177" t="s">
        <v>366</v>
      </c>
      <c r="H177" t="s">
        <v>21</v>
      </c>
      <c r="I177">
        <v>91733</v>
      </c>
    </row>
    <row r="178" spans="1:9" x14ac:dyDescent="0.3">
      <c r="A178">
        <v>177</v>
      </c>
      <c r="B178" t="s">
        <v>835</v>
      </c>
      <c r="C178" t="s">
        <v>836</v>
      </c>
      <c r="D178" t="s">
        <v>11</v>
      </c>
      <c r="E178" t="s">
        <v>837</v>
      </c>
      <c r="F178" t="s">
        <v>838</v>
      </c>
      <c r="G178" t="s">
        <v>200</v>
      </c>
      <c r="H178" t="s">
        <v>15</v>
      </c>
      <c r="I178">
        <v>11378</v>
      </c>
    </row>
    <row r="179" spans="1:9" x14ac:dyDescent="0.3">
      <c r="A179">
        <v>178</v>
      </c>
      <c r="B179" t="s">
        <v>54</v>
      </c>
      <c r="C179" t="s">
        <v>839</v>
      </c>
      <c r="D179" t="s">
        <v>840</v>
      </c>
      <c r="E179" t="s">
        <v>841</v>
      </c>
      <c r="F179" t="s">
        <v>842</v>
      </c>
      <c r="G179" t="s">
        <v>96</v>
      </c>
      <c r="H179" t="s">
        <v>15</v>
      </c>
      <c r="I179">
        <v>10002</v>
      </c>
    </row>
    <row r="180" spans="1:9" x14ac:dyDescent="0.3">
      <c r="A180">
        <v>179</v>
      </c>
      <c r="B180" t="s">
        <v>843</v>
      </c>
      <c r="C180" t="s">
        <v>535</v>
      </c>
      <c r="D180" t="s">
        <v>11</v>
      </c>
      <c r="E180" t="s">
        <v>844</v>
      </c>
      <c r="F180" t="s">
        <v>845</v>
      </c>
      <c r="G180" t="s">
        <v>579</v>
      </c>
      <c r="H180" t="s">
        <v>15</v>
      </c>
      <c r="I180">
        <v>14534</v>
      </c>
    </row>
    <row r="181" spans="1:9" x14ac:dyDescent="0.3">
      <c r="A181">
        <v>180</v>
      </c>
      <c r="B181" t="s">
        <v>846</v>
      </c>
      <c r="C181" t="s">
        <v>847</v>
      </c>
      <c r="D181" t="s">
        <v>11</v>
      </c>
      <c r="E181" t="s">
        <v>848</v>
      </c>
      <c r="F181" t="s">
        <v>849</v>
      </c>
      <c r="G181" t="s">
        <v>460</v>
      </c>
      <c r="H181" t="s">
        <v>15</v>
      </c>
      <c r="I181">
        <v>11735</v>
      </c>
    </row>
    <row r="182" spans="1:9" x14ac:dyDescent="0.3">
      <c r="A182">
        <v>181</v>
      </c>
      <c r="B182" t="s">
        <v>850</v>
      </c>
      <c r="C182" t="s">
        <v>851</v>
      </c>
      <c r="D182" t="s">
        <v>11</v>
      </c>
      <c r="E182" t="s">
        <v>852</v>
      </c>
      <c r="F182" t="s">
        <v>853</v>
      </c>
      <c r="G182" t="s">
        <v>26</v>
      </c>
      <c r="H182" t="s">
        <v>21</v>
      </c>
      <c r="I182">
        <v>90278</v>
      </c>
    </row>
    <row r="183" spans="1:9" x14ac:dyDescent="0.3">
      <c r="A183">
        <v>182</v>
      </c>
      <c r="B183" t="s">
        <v>854</v>
      </c>
      <c r="C183" t="s">
        <v>437</v>
      </c>
      <c r="D183" t="s">
        <v>11</v>
      </c>
      <c r="E183" t="s">
        <v>855</v>
      </c>
      <c r="F183" t="s">
        <v>856</v>
      </c>
      <c r="G183" t="s">
        <v>745</v>
      </c>
      <c r="H183" t="s">
        <v>15</v>
      </c>
      <c r="I183">
        <v>11706</v>
      </c>
    </row>
    <row r="184" spans="1:9" x14ac:dyDescent="0.3">
      <c r="A184">
        <v>183</v>
      </c>
      <c r="B184" t="s">
        <v>857</v>
      </c>
      <c r="C184" t="s">
        <v>858</v>
      </c>
      <c r="D184" t="s">
        <v>11</v>
      </c>
      <c r="E184" t="s">
        <v>859</v>
      </c>
      <c r="F184" t="s">
        <v>860</v>
      </c>
      <c r="G184" t="s">
        <v>533</v>
      </c>
      <c r="H184" t="s">
        <v>15</v>
      </c>
      <c r="I184">
        <v>11001</v>
      </c>
    </row>
    <row r="185" spans="1:9" x14ac:dyDescent="0.3">
      <c r="A185">
        <v>184</v>
      </c>
      <c r="B185" t="s">
        <v>861</v>
      </c>
      <c r="C185" t="s">
        <v>301</v>
      </c>
      <c r="D185" t="s">
        <v>11</v>
      </c>
      <c r="E185" t="s">
        <v>862</v>
      </c>
      <c r="F185" t="s">
        <v>863</v>
      </c>
      <c r="G185" t="s">
        <v>864</v>
      </c>
      <c r="H185" t="s">
        <v>15</v>
      </c>
      <c r="I185">
        <v>14580</v>
      </c>
    </row>
    <row r="186" spans="1:9" x14ac:dyDescent="0.3">
      <c r="A186">
        <v>185</v>
      </c>
      <c r="B186" t="s">
        <v>865</v>
      </c>
      <c r="C186" t="s">
        <v>866</v>
      </c>
      <c r="D186" t="s">
        <v>11</v>
      </c>
      <c r="E186" t="s">
        <v>867</v>
      </c>
      <c r="F186" t="s">
        <v>868</v>
      </c>
      <c r="G186" t="s">
        <v>314</v>
      </c>
      <c r="H186" t="s">
        <v>80</v>
      </c>
      <c r="I186">
        <v>76901</v>
      </c>
    </row>
    <row r="187" spans="1:9" x14ac:dyDescent="0.3">
      <c r="A187">
        <v>186</v>
      </c>
      <c r="B187" t="s">
        <v>869</v>
      </c>
      <c r="C187" t="s">
        <v>870</v>
      </c>
      <c r="D187" t="s">
        <v>11</v>
      </c>
      <c r="E187" t="s">
        <v>871</v>
      </c>
      <c r="F187" t="s">
        <v>872</v>
      </c>
      <c r="G187" t="s">
        <v>68</v>
      </c>
      <c r="H187" t="s">
        <v>15</v>
      </c>
      <c r="I187">
        <v>10952</v>
      </c>
    </row>
    <row r="188" spans="1:9" x14ac:dyDescent="0.3">
      <c r="A188">
        <v>187</v>
      </c>
      <c r="B188" t="s">
        <v>873</v>
      </c>
      <c r="C188" t="s">
        <v>874</v>
      </c>
      <c r="D188" t="s">
        <v>11</v>
      </c>
      <c r="E188" t="s">
        <v>875</v>
      </c>
      <c r="F188" t="s">
        <v>876</v>
      </c>
      <c r="G188" t="s">
        <v>877</v>
      </c>
      <c r="H188" t="s">
        <v>21</v>
      </c>
      <c r="I188">
        <v>92307</v>
      </c>
    </row>
    <row r="189" spans="1:9" x14ac:dyDescent="0.3">
      <c r="A189">
        <v>188</v>
      </c>
      <c r="B189" t="s">
        <v>878</v>
      </c>
      <c r="C189" t="s">
        <v>879</v>
      </c>
      <c r="D189" t="s">
        <v>880</v>
      </c>
      <c r="E189" t="s">
        <v>881</v>
      </c>
      <c r="F189" t="s">
        <v>882</v>
      </c>
      <c r="G189" t="s">
        <v>810</v>
      </c>
      <c r="H189" t="s">
        <v>21</v>
      </c>
      <c r="I189">
        <v>93035</v>
      </c>
    </row>
    <row r="190" spans="1:9" x14ac:dyDescent="0.3">
      <c r="A190">
        <v>189</v>
      </c>
      <c r="B190" t="s">
        <v>883</v>
      </c>
      <c r="C190" t="s">
        <v>820</v>
      </c>
      <c r="D190" t="s">
        <v>11</v>
      </c>
      <c r="E190" t="s">
        <v>884</v>
      </c>
      <c r="F190" t="s">
        <v>885</v>
      </c>
      <c r="G190" t="s">
        <v>195</v>
      </c>
      <c r="H190" t="s">
        <v>15</v>
      </c>
      <c r="I190">
        <v>13090</v>
      </c>
    </row>
    <row r="191" spans="1:9" x14ac:dyDescent="0.3">
      <c r="A191">
        <v>190</v>
      </c>
      <c r="B191" t="s">
        <v>886</v>
      </c>
      <c r="C191" t="s">
        <v>887</v>
      </c>
      <c r="D191" t="s">
        <v>888</v>
      </c>
      <c r="E191" t="s">
        <v>889</v>
      </c>
      <c r="F191" t="s">
        <v>890</v>
      </c>
      <c r="G191" t="s">
        <v>146</v>
      </c>
      <c r="H191" t="s">
        <v>15</v>
      </c>
      <c r="I191">
        <v>11561</v>
      </c>
    </row>
    <row r="192" spans="1:9" x14ac:dyDescent="0.3">
      <c r="A192">
        <v>191</v>
      </c>
      <c r="B192" t="s">
        <v>891</v>
      </c>
      <c r="C192" t="s">
        <v>892</v>
      </c>
      <c r="D192" t="s">
        <v>893</v>
      </c>
      <c r="E192" t="s">
        <v>894</v>
      </c>
      <c r="F192" t="s">
        <v>895</v>
      </c>
      <c r="G192" t="s">
        <v>810</v>
      </c>
      <c r="H192" t="s">
        <v>21</v>
      </c>
      <c r="I192">
        <v>93035</v>
      </c>
    </row>
    <row r="193" spans="1:9" x14ac:dyDescent="0.3">
      <c r="A193">
        <v>192</v>
      </c>
      <c r="B193" t="s">
        <v>896</v>
      </c>
      <c r="C193" t="s">
        <v>897</v>
      </c>
      <c r="D193" t="s">
        <v>11</v>
      </c>
      <c r="E193" t="s">
        <v>898</v>
      </c>
      <c r="F193" t="s">
        <v>899</v>
      </c>
      <c r="G193" t="s">
        <v>165</v>
      </c>
      <c r="H193" t="s">
        <v>21</v>
      </c>
      <c r="I193">
        <v>90505</v>
      </c>
    </row>
    <row r="194" spans="1:9" x14ac:dyDescent="0.3">
      <c r="A194">
        <v>193</v>
      </c>
      <c r="B194" t="s">
        <v>900</v>
      </c>
      <c r="C194" t="s">
        <v>264</v>
      </c>
      <c r="D194" t="s">
        <v>11</v>
      </c>
      <c r="E194" t="s">
        <v>901</v>
      </c>
      <c r="F194" t="s">
        <v>902</v>
      </c>
      <c r="G194" t="s">
        <v>903</v>
      </c>
      <c r="H194" t="s">
        <v>15</v>
      </c>
      <c r="I194">
        <v>11801</v>
      </c>
    </row>
    <row r="195" spans="1:9" x14ac:dyDescent="0.3">
      <c r="A195">
        <v>194</v>
      </c>
      <c r="B195" t="s">
        <v>904</v>
      </c>
      <c r="C195" t="s">
        <v>905</v>
      </c>
      <c r="D195" t="s">
        <v>11</v>
      </c>
      <c r="E195" t="s">
        <v>906</v>
      </c>
      <c r="F195" t="s">
        <v>907</v>
      </c>
      <c r="G195" t="s">
        <v>908</v>
      </c>
      <c r="H195" t="s">
        <v>21</v>
      </c>
      <c r="I195">
        <v>95060</v>
      </c>
    </row>
    <row r="196" spans="1:9" x14ac:dyDescent="0.3">
      <c r="A196">
        <v>195</v>
      </c>
      <c r="B196" t="s">
        <v>909</v>
      </c>
      <c r="C196" t="s">
        <v>910</v>
      </c>
      <c r="D196" t="s">
        <v>11</v>
      </c>
      <c r="E196" t="s">
        <v>911</v>
      </c>
      <c r="F196" t="s">
        <v>912</v>
      </c>
      <c r="G196" t="s">
        <v>449</v>
      </c>
      <c r="H196" t="s">
        <v>15</v>
      </c>
      <c r="I196">
        <v>11010</v>
      </c>
    </row>
    <row r="197" spans="1:9" x14ac:dyDescent="0.3">
      <c r="A197">
        <v>196</v>
      </c>
      <c r="B197" t="s">
        <v>913</v>
      </c>
      <c r="C197" t="s">
        <v>148</v>
      </c>
      <c r="D197" t="s">
        <v>11</v>
      </c>
      <c r="E197" t="s">
        <v>914</v>
      </c>
      <c r="F197" t="s">
        <v>915</v>
      </c>
      <c r="G197" t="s">
        <v>375</v>
      </c>
      <c r="H197" t="s">
        <v>15</v>
      </c>
      <c r="I197">
        <v>14120</v>
      </c>
    </row>
    <row r="198" spans="1:9" x14ac:dyDescent="0.3">
      <c r="A198">
        <v>197</v>
      </c>
      <c r="B198" t="s">
        <v>916</v>
      </c>
      <c r="C198" t="s">
        <v>917</v>
      </c>
      <c r="D198" t="s">
        <v>11</v>
      </c>
      <c r="E198" t="s">
        <v>918</v>
      </c>
      <c r="F198" t="s">
        <v>919</v>
      </c>
      <c r="G198" t="s">
        <v>920</v>
      </c>
      <c r="H198" t="s">
        <v>15</v>
      </c>
      <c r="I198">
        <v>11374</v>
      </c>
    </row>
    <row r="199" spans="1:9" x14ac:dyDescent="0.3">
      <c r="A199">
        <v>198</v>
      </c>
      <c r="B199" t="s">
        <v>921</v>
      </c>
      <c r="C199" t="s">
        <v>839</v>
      </c>
      <c r="D199" t="s">
        <v>11</v>
      </c>
      <c r="E199" t="s">
        <v>922</v>
      </c>
      <c r="F199" t="s">
        <v>923</v>
      </c>
      <c r="G199" t="s">
        <v>924</v>
      </c>
      <c r="H199" t="s">
        <v>80</v>
      </c>
      <c r="I199">
        <v>79106</v>
      </c>
    </row>
    <row r="200" spans="1:9" x14ac:dyDescent="0.3">
      <c r="A200">
        <v>199</v>
      </c>
      <c r="B200" t="s">
        <v>925</v>
      </c>
      <c r="C200" t="s">
        <v>926</v>
      </c>
      <c r="D200" t="s">
        <v>11</v>
      </c>
      <c r="E200" t="s">
        <v>927</v>
      </c>
      <c r="F200" t="s">
        <v>928</v>
      </c>
      <c r="G200" t="s">
        <v>929</v>
      </c>
      <c r="H200" t="s">
        <v>15</v>
      </c>
      <c r="I200">
        <v>12553</v>
      </c>
    </row>
    <row r="201" spans="1:9" x14ac:dyDescent="0.3">
      <c r="A201">
        <v>200</v>
      </c>
      <c r="B201" t="s">
        <v>930</v>
      </c>
      <c r="C201" t="s">
        <v>931</v>
      </c>
      <c r="D201" t="s">
        <v>11</v>
      </c>
      <c r="E201" t="s">
        <v>932</v>
      </c>
      <c r="F201" t="s">
        <v>933</v>
      </c>
      <c r="G201" t="s">
        <v>460</v>
      </c>
      <c r="H201" t="s">
        <v>15</v>
      </c>
      <c r="I201">
        <v>11735</v>
      </c>
    </row>
    <row r="202" spans="1:9" x14ac:dyDescent="0.3">
      <c r="A202">
        <v>201</v>
      </c>
      <c r="B202" t="s">
        <v>934</v>
      </c>
      <c r="C202" t="s">
        <v>935</v>
      </c>
      <c r="D202" t="s">
        <v>11</v>
      </c>
      <c r="E202" t="s">
        <v>936</v>
      </c>
      <c r="F202" t="s">
        <v>937</v>
      </c>
      <c r="G202" t="s">
        <v>938</v>
      </c>
      <c r="H202" t="s">
        <v>15</v>
      </c>
      <c r="I202">
        <v>12020</v>
      </c>
    </row>
    <row r="203" spans="1:9" x14ac:dyDescent="0.3">
      <c r="A203">
        <v>202</v>
      </c>
      <c r="B203" t="s">
        <v>939</v>
      </c>
      <c r="C203" t="s">
        <v>940</v>
      </c>
      <c r="D203" t="s">
        <v>941</v>
      </c>
      <c r="E203" t="s">
        <v>942</v>
      </c>
      <c r="F203" t="s">
        <v>943</v>
      </c>
      <c r="G203" t="s">
        <v>211</v>
      </c>
      <c r="H203" t="s">
        <v>15</v>
      </c>
      <c r="I203">
        <v>14086</v>
      </c>
    </row>
    <row r="204" spans="1:9" x14ac:dyDescent="0.3">
      <c r="A204">
        <v>203</v>
      </c>
      <c r="B204" t="s">
        <v>944</v>
      </c>
      <c r="C204" t="s">
        <v>945</v>
      </c>
      <c r="D204" t="s">
        <v>946</v>
      </c>
      <c r="E204" t="s">
        <v>947</v>
      </c>
      <c r="F204" t="s">
        <v>948</v>
      </c>
      <c r="G204" t="s">
        <v>232</v>
      </c>
      <c r="H204" t="s">
        <v>80</v>
      </c>
      <c r="I204">
        <v>77016</v>
      </c>
    </row>
    <row r="205" spans="1:9" x14ac:dyDescent="0.3">
      <c r="A205">
        <v>204</v>
      </c>
      <c r="B205" t="s">
        <v>949</v>
      </c>
      <c r="C205" t="s">
        <v>950</v>
      </c>
      <c r="D205" t="s">
        <v>11</v>
      </c>
      <c r="E205" t="s">
        <v>951</v>
      </c>
      <c r="F205" t="s">
        <v>952</v>
      </c>
      <c r="G205" t="s">
        <v>304</v>
      </c>
      <c r="H205" t="s">
        <v>15</v>
      </c>
      <c r="I205">
        <v>11570</v>
      </c>
    </row>
    <row r="206" spans="1:9" x14ac:dyDescent="0.3">
      <c r="A206">
        <v>205</v>
      </c>
      <c r="B206" t="s">
        <v>953</v>
      </c>
      <c r="C206" t="s">
        <v>954</v>
      </c>
      <c r="D206" t="s">
        <v>11</v>
      </c>
      <c r="E206" t="s">
        <v>955</v>
      </c>
      <c r="F206" t="s">
        <v>956</v>
      </c>
      <c r="G206" t="s">
        <v>957</v>
      </c>
      <c r="H206" t="s">
        <v>15</v>
      </c>
      <c r="I206">
        <v>11432</v>
      </c>
    </row>
    <row r="207" spans="1:9" x14ac:dyDescent="0.3">
      <c r="A207">
        <v>206</v>
      </c>
      <c r="B207" t="s">
        <v>958</v>
      </c>
      <c r="C207" t="s">
        <v>959</v>
      </c>
      <c r="D207" t="s">
        <v>11</v>
      </c>
      <c r="E207" t="s">
        <v>960</v>
      </c>
      <c r="F207" t="s">
        <v>961</v>
      </c>
      <c r="G207" t="s">
        <v>962</v>
      </c>
      <c r="H207" t="s">
        <v>15</v>
      </c>
      <c r="I207">
        <v>11201</v>
      </c>
    </row>
    <row r="208" spans="1:9" x14ac:dyDescent="0.3">
      <c r="A208">
        <v>207</v>
      </c>
      <c r="B208" t="s">
        <v>963</v>
      </c>
      <c r="C208" t="s">
        <v>964</v>
      </c>
      <c r="D208" t="s">
        <v>11</v>
      </c>
      <c r="E208" t="s">
        <v>965</v>
      </c>
      <c r="F208" t="s">
        <v>966</v>
      </c>
      <c r="G208" t="s">
        <v>85</v>
      </c>
      <c r="H208" t="s">
        <v>80</v>
      </c>
      <c r="I208">
        <v>75126</v>
      </c>
    </row>
    <row r="209" spans="1:9" x14ac:dyDescent="0.3">
      <c r="A209">
        <v>208</v>
      </c>
      <c r="B209" t="s">
        <v>967</v>
      </c>
      <c r="C209" t="s">
        <v>446</v>
      </c>
      <c r="D209" t="s">
        <v>11</v>
      </c>
      <c r="E209" t="s">
        <v>968</v>
      </c>
      <c r="F209" t="s">
        <v>969</v>
      </c>
      <c r="G209" t="s">
        <v>970</v>
      </c>
      <c r="H209" t="s">
        <v>21</v>
      </c>
      <c r="I209">
        <v>93555</v>
      </c>
    </row>
    <row r="210" spans="1:9" x14ac:dyDescent="0.3">
      <c r="A210">
        <v>209</v>
      </c>
      <c r="B210" t="s">
        <v>971</v>
      </c>
      <c r="C210" t="s">
        <v>972</v>
      </c>
      <c r="D210" t="s">
        <v>11</v>
      </c>
      <c r="E210" t="s">
        <v>973</v>
      </c>
      <c r="F210" t="s">
        <v>974</v>
      </c>
      <c r="G210" t="s">
        <v>975</v>
      </c>
      <c r="H210" t="s">
        <v>15</v>
      </c>
      <c r="I210">
        <v>11784</v>
      </c>
    </row>
    <row r="211" spans="1:9" x14ac:dyDescent="0.3">
      <c r="A211">
        <v>210</v>
      </c>
      <c r="B211" t="s">
        <v>976</v>
      </c>
      <c r="C211" t="s">
        <v>643</v>
      </c>
      <c r="D211" t="s">
        <v>977</v>
      </c>
      <c r="E211" t="s">
        <v>978</v>
      </c>
      <c r="F211" t="s">
        <v>979</v>
      </c>
      <c r="G211" t="s">
        <v>980</v>
      </c>
      <c r="H211" t="s">
        <v>15</v>
      </c>
      <c r="I211">
        <v>12203</v>
      </c>
    </row>
    <row r="212" spans="1:9" x14ac:dyDescent="0.3">
      <c r="A212">
        <v>211</v>
      </c>
      <c r="B212" t="s">
        <v>981</v>
      </c>
      <c r="C212" t="s">
        <v>612</v>
      </c>
      <c r="D212" t="s">
        <v>11</v>
      </c>
      <c r="E212" t="s">
        <v>982</v>
      </c>
      <c r="F212" t="s">
        <v>983</v>
      </c>
      <c r="G212" t="s">
        <v>101</v>
      </c>
      <c r="H212" t="s">
        <v>15</v>
      </c>
      <c r="I212">
        <v>10583</v>
      </c>
    </row>
    <row r="213" spans="1:9" x14ac:dyDescent="0.3">
      <c r="A213">
        <v>212</v>
      </c>
      <c r="B213" t="s">
        <v>984</v>
      </c>
      <c r="C213" t="s">
        <v>386</v>
      </c>
      <c r="D213" t="s">
        <v>985</v>
      </c>
      <c r="E213" t="s">
        <v>986</v>
      </c>
      <c r="F213" t="s">
        <v>987</v>
      </c>
      <c r="G213" t="s">
        <v>466</v>
      </c>
      <c r="H213" t="s">
        <v>15</v>
      </c>
      <c r="I213">
        <v>12180</v>
      </c>
    </row>
    <row r="214" spans="1:9" x14ac:dyDescent="0.3">
      <c r="A214">
        <v>213</v>
      </c>
      <c r="B214" t="s">
        <v>988</v>
      </c>
      <c r="C214" t="s">
        <v>989</v>
      </c>
      <c r="D214" t="s">
        <v>11</v>
      </c>
      <c r="E214" t="s">
        <v>990</v>
      </c>
      <c r="F214" t="s">
        <v>991</v>
      </c>
      <c r="G214" t="s">
        <v>641</v>
      </c>
      <c r="H214" t="s">
        <v>15</v>
      </c>
      <c r="I214">
        <v>14075</v>
      </c>
    </row>
    <row r="215" spans="1:9" x14ac:dyDescent="0.3">
      <c r="A215">
        <v>214</v>
      </c>
      <c r="B215" t="s">
        <v>992</v>
      </c>
      <c r="C215" t="s">
        <v>993</v>
      </c>
      <c r="D215" t="s">
        <v>11</v>
      </c>
      <c r="E215" t="s">
        <v>994</v>
      </c>
      <c r="F215" t="s">
        <v>995</v>
      </c>
      <c r="G215" t="s">
        <v>375</v>
      </c>
      <c r="H215" t="s">
        <v>15</v>
      </c>
      <c r="I215">
        <v>14120</v>
      </c>
    </row>
    <row r="216" spans="1:9" x14ac:dyDescent="0.3">
      <c r="A216">
        <v>215</v>
      </c>
      <c r="B216" t="s">
        <v>996</v>
      </c>
      <c r="C216" t="s">
        <v>997</v>
      </c>
      <c r="D216" t="s">
        <v>11</v>
      </c>
      <c r="E216" t="s">
        <v>998</v>
      </c>
      <c r="F216" t="s">
        <v>999</v>
      </c>
      <c r="G216" t="s">
        <v>1000</v>
      </c>
      <c r="H216" t="s">
        <v>15</v>
      </c>
      <c r="I216">
        <v>11357</v>
      </c>
    </row>
    <row r="217" spans="1:9" x14ac:dyDescent="0.3">
      <c r="A217">
        <v>216</v>
      </c>
      <c r="B217" t="s">
        <v>1001</v>
      </c>
      <c r="C217" t="s">
        <v>1002</v>
      </c>
      <c r="D217" t="s">
        <v>11</v>
      </c>
      <c r="E217" t="s">
        <v>1003</v>
      </c>
      <c r="F217" t="s">
        <v>1004</v>
      </c>
      <c r="G217" t="s">
        <v>242</v>
      </c>
      <c r="H217" t="s">
        <v>15</v>
      </c>
      <c r="I217">
        <v>11714</v>
      </c>
    </row>
    <row r="218" spans="1:9" x14ac:dyDescent="0.3">
      <c r="A218">
        <v>217</v>
      </c>
      <c r="B218" t="s">
        <v>1005</v>
      </c>
      <c r="C218" t="s">
        <v>1006</v>
      </c>
      <c r="D218" t="s">
        <v>1007</v>
      </c>
      <c r="E218" t="s">
        <v>1008</v>
      </c>
      <c r="F218" t="s">
        <v>1009</v>
      </c>
      <c r="G218" t="s">
        <v>588</v>
      </c>
      <c r="H218" t="s">
        <v>21</v>
      </c>
      <c r="I218">
        <v>93706</v>
      </c>
    </row>
    <row r="219" spans="1:9" x14ac:dyDescent="0.3">
      <c r="A219">
        <v>218</v>
      </c>
      <c r="B219" t="s">
        <v>359</v>
      </c>
      <c r="C219" t="s">
        <v>1010</v>
      </c>
      <c r="D219" t="s">
        <v>11</v>
      </c>
      <c r="E219" t="s">
        <v>1011</v>
      </c>
      <c r="F219" t="s">
        <v>1012</v>
      </c>
      <c r="G219" t="s">
        <v>58</v>
      </c>
      <c r="H219" t="s">
        <v>15</v>
      </c>
      <c r="I219">
        <v>11050</v>
      </c>
    </row>
    <row r="220" spans="1:9" x14ac:dyDescent="0.3">
      <c r="A220">
        <v>219</v>
      </c>
      <c r="B220" t="s">
        <v>1013</v>
      </c>
      <c r="C220" t="s">
        <v>1014</v>
      </c>
      <c r="D220" t="s">
        <v>1015</v>
      </c>
      <c r="E220" t="s">
        <v>1016</v>
      </c>
      <c r="F220" t="s">
        <v>1017</v>
      </c>
      <c r="G220" t="s">
        <v>1018</v>
      </c>
      <c r="H220" t="s">
        <v>15</v>
      </c>
      <c r="I220">
        <v>11572</v>
      </c>
    </row>
    <row r="221" spans="1:9" x14ac:dyDescent="0.3">
      <c r="A221">
        <v>220</v>
      </c>
      <c r="B221" t="s">
        <v>1019</v>
      </c>
      <c r="C221" t="s">
        <v>1020</v>
      </c>
      <c r="D221" t="s">
        <v>11</v>
      </c>
      <c r="E221" t="s">
        <v>1021</v>
      </c>
      <c r="F221" t="s">
        <v>1022</v>
      </c>
      <c r="G221" t="s">
        <v>709</v>
      </c>
      <c r="H221" t="s">
        <v>15</v>
      </c>
      <c r="I221">
        <v>11787</v>
      </c>
    </row>
    <row r="222" spans="1:9" x14ac:dyDescent="0.3">
      <c r="A222">
        <v>221</v>
      </c>
      <c r="B222" t="s">
        <v>1023</v>
      </c>
      <c r="C222" t="s">
        <v>1024</v>
      </c>
      <c r="D222" t="s">
        <v>11</v>
      </c>
      <c r="E222" t="s">
        <v>1025</v>
      </c>
      <c r="F222" t="s">
        <v>1026</v>
      </c>
      <c r="G222" t="s">
        <v>1027</v>
      </c>
      <c r="H222" t="s">
        <v>80</v>
      </c>
      <c r="I222">
        <v>78501</v>
      </c>
    </row>
    <row r="223" spans="1:9" x14ac:dyDescent="0.3">
      <c r="A223">
        <v>222</v>
      </c>
      <c r="B223" t="s">
        <v>1028</v>
      </c>
      <c r="C223" t="s">
        <v>1029</v>
      </c>
      <c r="D223" t="s">
        <v>11</v>
      </c>
      <c r="E223" t="s">
        <v>1030</v>
      </c>
      <c r="F223" t="s">
        <v>1031</v>
      </c>
      <c r="G223" t="s">
        <v>125</v>
      </c>
      <c r="H223" t="s">
        <v>15</v>
      </c>
      <c r="I223">
        <v>11731</v>
      </c>
    </row>
    <row r="224" spans="1:9" x14ac:dyDescent="0.3">
      <c r="A224">
        <v>223</v>
      </c>
      <c r="B224" t="s">
        <v>1032</v>
      </c>
      <c r="C224" t="s">
        <v>1033</v>
      </c>
      <c r="D224" t="s">
        <v>11</v>
      </c>
      <c r="E224" t="s">
        <v>1034</v>
      </c>
      <c r="F224" t="s">
        <v>1035</v>
      </c>
      <c r="G224" t="s">
        <v>1036</v>
      </c>
      <c r="H224" t="s">
        <v>15</v>
      </c>
      <c r="I224">
        <v>11772</v>
      </c>
    </row>
    <row r="225" spans="1:9" x14ac:dyDescent="0.3">
      <c r="A225">
        <v>224</v>
      </c>
      <c r="B225" t="s">
        <v>1037</v>
      </c>
      <c r="C225" t="s">
        <v>1038</v>
      </c>
      <c r="D225" t="s">
        <v>11</v>
      </c>
      <c r="E225" t="s">
        <v>1039</v>
      </c>
      <c r="F225" t="s">
        <v>1040</v>
      </c>
      <c r="G225" t="s">
        <v>1041</v>
      </c>
      <c r="H225" t="s">
        <v>21</v>
      </c>
      <c r="I225">
        <v>90260</v>
      </c>
    </row>
    <row r="226" spans="1:9" x14ac:dyDescent="0.3">
      <c r="A226">
        <v>225</v>
      </c>
      <c r="B226" t="s">
        <v>1042</v>
      </c>
      <c r="C226" t="s">
        <v>1043</v>
      </c>
      <c r="D226" t="s">
        <v>11</v>
      </c>
      <c r="E226" t="s">
        <v>1044</v>
      </c>
      <c r="F226" t="s">
        <v>1045</v>
      </c>
      <c r="G226" t="s">
        <v>731</v>
      </c>
      <c r="H226" t="s">
        <v>15</v>
      </c>
      <c r="I226">
        <v>11803</v>
      </c>
    </row>
    <row r="227" spans="1:9" x14ac:dyDescent="0.3">
      <c r="A227">
        <v>226</v>
      </c>
      <c r="B227" t="s">
        <v>1046</v>
      </c>
      <c r="C227" t="s">
        <v>1047</v>
      </c>
      <c r="D227" t="s">
        <v>11</v>
      </c>
      <c r="E227" t="s">
        <v>1048</v>
      </c>
      <c r="F227" t="s">
        <v>1049</v>
      </c>
      <c r="G227" t="s">
        <v>226</v>
      </c>
      <c r="H227" t="s">
        <v>15</v>
      </c>
      <c r="I227">
        <v>11418</v>
      </c>
    </row>
    <row r="228" spans="1:9" x14ac:dyDescent="0.3">
      <c r="A228">
        <v>227</v>
      </c>
      <c r="B228" t="s">
        <v>1050</v>
      </c>
      <c r="C228" t="s">
        <v>1051</v>
      </c>
      <c r="D228" t="s">
        <v>11</v>
      </c>
      <c r="E228" t="s">
        <v>1052</v>
      </c>
      <c r="F228" t="s">
        <v>1053</v>
      </c>
      <c r="G228" t="s">
        <v>1036</v>
      </c>
      <c r="H228" t="s">
        <v>15</v>
      </c>
      <c r="I228">
        <v>11772</v>
      </c>
    </row>
    <row r="229" spans="1:9" x14ac:dyDescent="0.3">
      <c r="A229">
        <v>228</v>
      </c>
      <c r="B229" t="s">
        <v>1054</v>
      </c>
      <c r="C229" t="s">
        <v>1055</v>
      </c>
      <c r="D229" t="s">
        <v>1056</v>
      </c>
      <c r="E229" t="s">
        <v>1057</v>
      </c>
      <c r="F229" t="s">
        <v>1058</v>
      </c>
      <c r="G229" t="s">
        <v>1059</v>
      </c>
      <c r="H229" t="s">
        <v>15</v>
      </c>
      <c r="I229">
        <v>11717</v>
      </c>
    </row>
    <row r="230" spans="1:9" x14ac:dyDescent="0.3">
      <c r="A230">
        <v>229</v>
      </c>
      <c r="B230" t="s">
        <v>1060</v>
      </c>
      <c r="C230" t="s">
        <v>1061</v>
      </c>
      <c r="D230" t="s">
        <v>11</v>
      </c>
      <c r="E230" t="s">
        <v>1062</v>
      </c>
      <c r="F230" t="s">
        <v>1063</v>
      </c>
      <c r="G230" t="s">
        <v>1064</v>
      </c>
      <c r="H230" t="s">
        <v>15</v>
      </c>
      <c r="I230">
        <v>11741</v>
      </c>
    </row>
    <row r="231" spans="1:9" x14ac:dyDescent="0.3">
      <c r="A231">
        <v>230</v>
      </c>
      <c r="B231" t="s">
        <v>1065</v>
      </c>
      <c r="C231" t="s">
        <v>103</v>
      </c>
      <c r="D231" t="s">
        <v>11</v>
      </c>
      <c r="E231" t="s">
        <v>1066</v>
      </c>
      <c r="F231" t="s">
        <v>1067</v>
      </c>
      <c r="G231" t="s">
        <v>1068</v>
      </c>
      <c r="H231" t="s">
        <v>15</v>
      </c>
      <c r="I231">
        <v>11729</v>
      </c>
    </row>
    <row r="232" spans="1:9" x14ac:dyDescent="0.3">
      <c r="A232">
        <v>231</v>
      </c>
      <c r="B232" t="s">
        <v>1069</v>
      </c>
      <c r="C232" t="s">
        <v>1070</v>
      </c>
      <c r="D232" t="s">
        <v>1071</v>
      </c>
      <c r="E232" t="s">
        <v>1072</v>
      </c>
      <c r="F232" t="s">
        <v>1073</v>
      </c>
      <c r="G232" t="s">
        <v>37</v>
      </c>
      <c r="H232" t="s">
        <v>21</v>
      </c>
      <c r="I232">
        <v>95820</v>
      </c>
    </row>
    <row r="233" spans="1:9" x14ac:dyDescent="0.3">
      <c r="A233">
        <v>232</v>
      </c>
      <c r="B233" t="s">
        <v>1074</v>
      </c>
      <c r="C233" t="s">
        <v>1075</v>
      </c>
      <c r="D233" t="s">
        <v>11</v>
      </c>
      <c r="E233" t="s">
        <v>1076</v>
      </c>
      <c r="F233" t="s">
        <v>1077</v>
      </c>
      <c r="G233" t="s">
        <v>570</v>
      </c>
      <c r="H233" t="s">
        <v>80</v>
      </c>
      <c r="I233">
        <v>76039</v>
      </c>
    </row>
    <row r="234" spans="1:9" x14ac:dyDescent="0.3">
      <c r="A234">
        <v>233</v>
      </c>
      <c r="B234" t="s">
        <v>1078</v>
      </c>
      <c r="C234" t="s">
        <v>1079</v>
      </c>
      <c r="D234" t="s">
        <v>11</v>
      </c>
      <c r="E234" t="s">
        <v>1080</v>
      </c>
      <c r="F234" t="s">
        <v>1081</v>
      </c>
      <c r="G234" t="s">
        <v>818</v>
      </c>
      <c r="H234" t="s">
        <v>21</v>
      </c>
      <c r="I234">
        <v>95050</v>
      </c>
    </row>
    <row r="235" spans="1:9" x14ac:dyDescent="0.3">
      <c r="A235">
        <v>234</v>
      </c>
      <c r="B235" t="s">
        <v>1082</v>
      </c>
      <c r="C235" t="s">
        <v>953</v>
      </c>
      <c r="D235" t="s">
        <v>11</v>
      </c>
      <c r="E235" t="s">
        <v>1083</v>
      </c>
      <c r="F235" t="s">
        <v>1084</v>
      </c>
      <c r="G235" t="s">
        <v>1085</v>
      </c>
      <c r="H235" t="s">
        <v>15</v>
      </c>
      <c r="I235">
        <v>11554</v>
      </c>
    </row>
    <row r="236" spans="1:9" x14ac:dyDescent="0.3">
      <c r="A236">
        <v>235</v>
      </c>
      <c r="B236" t="s">
        <v>784</v>
      </c>
      <c r="C236" t="s">
        <v>1086</v>
      </c>
      <c r="D236" t="s">
        <v>11</v>
      </c>
      <c r="E236" t="s">
        <v>1087</v>
      </c>
      <c r="F236" t="s">
        <v>1088</v>
      </c>
      <c r="G236" t="s">
        <v>745</v>
      </c>
      <c r="H236" t="s">
        <v>15</v>
      </c>
      <c r="I236">
        <v>11706</v>
      </c>
    </row>
    <row r="237" spans="1:9" x14ac:dyDescent="0.3">
      <c r="A237">
        <v>236</v>
      </c>
      <c r="B237" t="s">
        <v>1089</v>
      </c>
      <c r="C237" t="s">
        <v>917</v>
      </c>
      <c r="D237" t="s">
        <v>11</v>
      </c>
      <c r="E237" t="s">
        <v>1090</v>
      </c>
      <c r="F237" t="s">
        <v>1091</v>
      </c>
      <c r="G237" t="s">
        <v>975</v>
      </c>
      <c r="H237" t="s">
        <v>15</v>
      </c>
      <c r="I237">
        <v>11784</v>
      </c>
    </row>
    <row r="238" spans="1:9" x14ac:dyDescent="0.3">
      <c r="A238">
        <v>237</v>
      </c>
      <c r="B238" t="s">
        <v>1092</v>
      </c>
      <c r="C238" t="s">
        <v>1093</v>
      </c>
      <c r="D238" t="s">
        <v>11</v>
      </c>
      <c r="E238" t="s">
        <v>1094</v>
      </c>
      <c r="F238" t="s">
        <v>1095</v>
      </c>
      <c r="G238" t="s">
        <v>755</v>
      </c>
      <c r="H238" t="s">
        <v>21</v>
      </c>
      <c r="I238">
        <v>92220</v>
      </c>
    </row>
    <row r="239" spans="1:9" x14ac:dyDescent="0.3">
      <c r="A239">
        <v>238</v>
      </c>
      <c r="B239" t="s">
        <v>1096</v>
      </c>
      <c r="C239" t="s">
        <v>780</v>
      </c>
      <c r="D239" t="s">
        <v>11</v>
      </c>
      <c r="E239" t="s">
        <v>1097</v>
      </c>
      <c r="F239" t="s">
        <v>1098</v>
      </c>
      <c r="G239" t="s">
        <v>596</v>
      </c>
      <c r="H239" t="s">
        <v>15</v>
      </c>
      <c r="I239">
        <v>11414</v>
      </c>
    </row>
    <row r="240" spans="1:9" x14ac:dyDescent="0.3">
      <c r="A240">
        <v>239</v>
      </c>
      <c r="B240" t="s">
        <v>1099</v>
      </c>
      <c r="C240" t="s">
        <v>1100</v>
      </c>
      <c r="D240" t="s">
        <v>11</v>
      </c>
      <c r="E240" t="s">
        <v>1101</v>
      </c>
      <c r="F240" t="s">
        <v>1102</v>
      </c>
      <c r="G240" t="s">
        <v>1103</v>
      </c>
      <c r="H240" t="s">
        <v>21</v>
      </c>
      <c r="I240">
        <v>91387</v>
      </c>
    </row>
    <row r="241" spans="1:9" x14ac:dyDescent="0.3">
      <c r="A241">
        <v>240</v>
      </c>
      <c r="B241" t="s">
        <v>575</v>
      </c>
      <c r="C241" t="s">
        <v>1104</v>
      </c>
      <c r="D241" t="s">
        <v>11</v>
      </c>
      <c r="E241" t="s">
        <v>1105</v>
      </c>
      <c r="F241" t="s">
        <v>1106</v>
      </c>
      <c r="G241" t="s">
        <v>755</v>
      </c>
      <c r="H241" t="s">
        <v>21</v>
      </c>
      <c r="I241">
        <v>92220</v>
      </c>
    </row>
    <row r="242" spans="1:9" x14ac:dyDescent="0.3">
      <c r="A242">
        <v>241</v>
      </c>
      <c r="B242" t="s">
        <v>1107</v>
      </c>
      <c r="C242" t="s">
        <v>92</v>
      </c>
      <c r="D242" t="s">
        <v>11</v>
      </c>
      <c r="E242" t="s">
        <v>1108</v>
      </c>
      <c r="F242" t="s">
        <v>1109</v>
      </c>
      <c r="G242" t="s">
        <v>221</v>
      </c>
      <c r="H242" t="s">
        <v>15</v>
      </c>
      <c r="I242">
        <v>12804</v>
      </c>
    </row>
    <row r="243" spans="1:9" x14ac:dyDescent="0.3">
      <c r="A243">
        <v>242</v>
      </c>
      <c r="B243" t="s">
        <v>1110</v>
      </c>
      <c r="C243" t="s">
        <v>499</v>
      </c>
      <c r="D243" t="s">
        <v>11</v>
      </c>
      <c r="E243" t="s">
        <v>1111</v>
      </c>
      <c r="F243" t="s">
        <v>1112</v>
      </c>
      <c r="G243" t="s">
        <v>1103</v>
      </c>
      <c r="H243" t="s">
        <v>21</v>
      </c>
      <c r="I243">
        <v>91387</v>
      </c>
    </row>
    <row r="244" spans="1:9" x14ac:dyDescent="0.3">
      <c r="A244">
        <v>243</v>
      </c>
      <c r="B244" t="s">
        <v>1113</v>
      </c>
      <c r="C244" t="s">
        <v>1114</v>
      </c>
      <c r="D244" t="s">
        <v>11</v>
      </c>
      <c r="E244" t="s">
        <v>1115</v>
      </c>
      <c r="F244" t="s">
        <v>1116</v>
      </c>
      <c r="G244" t="s">
        <v>938</v>
      </c>
      <c r="H244" t="s">
        <v>15</v>
      </c>
      <c r="I244">
        <v>12020</v>
      </c>
    </row>
    <row r="245" spans="1:9" x14ac:dyDescent="0.3">
      <c r="A245">
        <v>244</v>
      </c>
      <c r="B245" t="s">
        <v>1117</v>
      </c>
      <c r="C245" t="s">
        <v>1118</v>
      </c>
      <c r="D245" t="s">
        <v>11</v>
      </c>
      <c r="E245" t="s">
        <v>1119</v>
      </c>
      <c r="F245" t="s">
        <v>1120</v>
      </c>
      <c r="G245" t="s">
        <v>1121</v>
      </c>
      <c r="H245" t="s">
        <v>21</v>
      </c>
      <c r="I245">
        <v>94806</v>
      </c>
    </row>
    <row r="246" spans="1:9" x14ac:dyDescent="0.3">
      <c r="A246">
        <v>245</v>
      </c>
      <c r="B246" t="s">
        <v>1122</v>
      </c>
      <c r="C246" t="s">
        <v>1123</v>
      </c>
      <c r="D246" t="s">
        <v>11</v>
      </c>
      <c r="E246" t="s">
        <v>1124</v>
      </c>
      <c r="F246" t="s">
        <v>1125</v>
      </c>
      <c r="G246" t="s">
        <v>181</v>
      </c>
      <c r="H246" t="s">
        <v>21</v>
      </c>
      <c r="I246">
        <v>90274</v>
      </c>
    </row>
    <row r="247" spans="1:9" x14ac:dyDescent="0.3">
      <c r="A247">
        <v>246</v>
      </c>
      <c r="B247" t="s">
        <v>1126</v>
      </c>
      <c r="C247" t="s">
        <v>363</v>
      </c>
      <c r="D247" t="s">
        <v>11</v>
      </c>
      <c r="E247" t="s">
        <v>1127</v>
      </c>
      <c r="F247" t="s">
        <v>1128</v>
      </c>
      <c r="G247" t="s">
        <v>1129</v>
      </c>
      <c r="H247" t="s">
        <v>15</v>
      </c>
      <c r="I247">
        <v>14304</v>
      </c>
    </row>
    <row r="248" spans="1:9" x14ac:dyDescent="0.3">
      <c r="A248">
        <v>247</v>
      </c>
      <c r="B248" t="s">
        <v>1130</v>
      </c>
      <c r="C248" t="s">
        <v>1131</v>
      </c>
      <c r="D248" t="s">
        <v>11</v>
      </c>
      <c r="E248" t="s">
        <v>1132</v>
      </c>
      <c r="F248" t="s">
        <v>1133</v>
      </c>
      <c r="G248" t="s">
        <v>181</v>
      </c>
      <c r="H248" t="s">
        <v>21</v>
      </c>
      <c r="I248">
        <v>90274</v>
      </c>
    </row>
    <row r="249" spans="1:9" x14ac:dyDescent="0.3">
      <c r="A249">
        <v>248</v>
      </c>
      <c r="B249" t="s">
        <v>1134</v>
      </c>
      <c r="C249" t="s">
        <v>1010</v>
      </c>
      <c r="D249" t="s">
        <v>11</v>
      </c>
      <c r="E249" t="s">
        <v>1135</v>
      </c>
      <c r="F249" t="s">
        <v>1136</v>
      </c>
      <c r="G249" t="s">
        <v>1027</v>
      </c>
      <c r="H249" t="s">
        <v>80</v>
      </c>
      <c r="I249">
        <v>78501</v>
      </c>
    </row>
    <row r="250" spans="1:9" x14ac:dyDescent="0.3">
      <c r="A250">
        <v>249</v>
      </c>
      <c r="B250" t="s">
        <v>1137</v>
      </c>
      <c r="C250" t="s">
        <v>1138</v>
      </c>
      <c r="D250" t="s">
        <v>11</v>
      </c>
      <c r="E250" t="s">
        <v>1139</v>
      </c>
      <c r="F250" t="s">
        <v>1140</v>
      </c>
      <c r="G250" t="s">
        <v>156</v>
      </c>
      <c r="H250" t="s">
        <v>15</v>
      </c>
      <c r="I250">
        <v>10562</v>
      </c>
    </row>
    <row r="251" spans="1:9" x14ac:dyDescent="0.3">
      <c r="A251">
        <v>250</v>
      </c>
      <c r="B251" t="s">
        <v>1141</v>
      </c>
      <c r="C251" t="s">
        <v>279</v>
      </c>
      <c r="D251" t="s">
        <v>1142</v>
      </c>
      <c r="E251" t="s">
        <v>1143</v>
      </c>
      <c r="F251" t="s">
        <v>1144</v>
      </c>
      <c r="G251" t="s">
        <v>1145</v>
      </c>
      <c r="H251" t="s">
        <v>80</v>
      </c>
      <c r="I251">
        <v>79930</v>
      </c>
    </row>
    <row r="252" spans="1:9" x14ac:dyDescent="0.3">
      <c r="A252">
        <v>251</v>
      </c>
      <c r="B252" t="s">
        <v>1146</v>
      </c>
      <c r="C252" t="s">
        <v>752</v>
      </c>
      <c r="D252" t="s">
        <v>11</v>
      </c>
      <c r="E252" t="s">
        <v>1147</v>
      </c>
      <c r="F252" t="s">
        <v>1148</v>
      </c>
      <c r="G252" t="s">
        <v>938</v>
      </c>
      <c r="H252" t="s">
        <v>15</v>
      </c>
      <c r="I252">
        <v>12020</v>
      </c>
    </row>
    <row r="253" spans="1:9" x14ac:dyDescent="0.3">
      <c r="A253">
        <v>252</v>
      </c>
      <c r="B253" t="s">
        <v>1149</v>
      </c>
      <c r="C253" t="s">
        <v>1150</v>
      </c>
      <c r="D253" t="s">
        <v>11</v>
      </c>
      <c r="E253" t="s">
        <v>1151</v>
      </c>
      <c r="F253" t="s">
        <v>1152</v>
      </c>
      <c r="G253" t="s">
        <v>226</v>
      </c>
      <c r="H253" t="s">
        <v>15</v>
      </c>
      <c r="I253">
        <v>11418</v>
      </c>
    </row>
    <row r="254" spans="1:9" x14ac:dyDescent="0.3">
      <c r="A254">
        <v>253</v>
      </c>
      <c r="B254" t="s">
        <v>1153</v>
      </c>
      <c r="C254" t="s">
        <v>1154</v>
      </c>
      <c r="D254" t="s">
        <v>11</v>
      </c>
      <c r="E254" t="s">
        <v>1155</v>
      </c>
      <c r="F254" t="s">
        <v>1156</v>
      </c>
      <c r="G254" t="s">
        <v>135</v>
      </c>
      <c r="H254" t="s">
        <v>21</v>
      </c>
      <c r="I254">
        <v>95301</v>
      </c>
    </row>
    <row r="255" spans="1:9" x14ac:dyDescent="0.3">
      <c r="A255">
        <v>254</v>
      </c>
      <c r="B255" t="s">
        <v>1157</v>
      </c>
      <c r="C255" t="s">
        <v>1158</v>
      </c>
      <c r="D255" t="s">
        <v>11</v>
      </c>
      <c r="E255" t="s">
        <v>1159</v>
      </c>
      <c r="F255" t="s">
        <v>1160</v>
      </c>
      <c r="G255" t="s">
        <v>1041</v>
      </c>
      <c r="H255" t="s">
        <v>21</v>
      </c>
      <c r="I255">
        <v>90260</v>
      </c>
    </row>
    <row r="256" spans="1:9" x14ac:dyDescent="0.3">
      <c r="A256">
        <v>255</v>
      </c>
      <c r="B256" t="s">
        <v>1161</v>
      </c>
      <c r="C256" t="s">
        <v>1162</v>
      </c>
      <c r="D256" t="s">
        <v>11</v>
      </c>
      <c r="E256" t="s">
        <v>1163</v>
      </c>
      <c r="F256" t="s">
        <v>1164</v>
      </c>
      <c r="G256" t="s">
        <v>1165</v>
      </c>
      <c r="H256" t="s">
        <v>15</v>
      </c>
      <c r="I256">
        <v>11762</v>
      </c>
    </row>
    <row r="257" spans="1:9" x14ac:dyDescent="0.3">
      <c r="A257">
        <v>256</v>
      </c>
      <c r="B257" t="s">
        <v>1166</v>
      </c>
      <c r="C257" t="s">
        <v>1167</v>
      </c>
      <c r="D257" t="s">
        <v>11</v>
      </c>
      <c r="E257" t="s">
        <v>1168</v>
      </c>
      <c r="F257" t="s">
        <v>1169</v>
      </c>
      <c r="G257" t="s">
        <v>267</v>
      </c>
      <c r="H257" t="s">
        <v>15</v>
      </c>
      <c r="I257">
        <v>11566</v>
      </c>
    </row>
    <row r="258" spans="1:9" x14ac:dyDescent="0.3">
      <c r="A258">
        <v>257</v>
      </c>
      <c r="B258" t="s">
        <v>1170</v>
      </c>
      <c r="C258" t="s">
        <v>301</v>
      </c>
      <c r="D258" t="s">
        <v>11</v>
      </c>
      <c r="E258" t="s">
        <v>1171</v>
      </c>
      <c r="F258" t="s">
        <v>1172</v>
      </c>
      <c r="G258" t="s">
        <v>524</v>
      </c>
      <c r="H258" t="s">
        <v>15</v>
      </c>
      <c r="I258">
        <v>11373</v>
      </c>
    </row>
    <row r="259" spans="1:9" x14ac:dyDescent="0.3">
      <c r="A259">
        <v>258</v>
      </c>
      <c r="B259" t="s">
        <v>1173</v>
      </c>
      <c r="C259" t="s">
        <v>572</v>
      </c>
      <c r="D259" t="s">
        <v>11</v>
      </c>
      <c r="E259" t="s">
        <v>1174</v>
      </c>
      <c r="F259" t="s">
        <v>1175</v>
      </c>
      <c r="G259" t="s">
        <v>165</v>
      </c>
      <c r="H259" t="s">
        <v>21</v>
      </c>
      <c r="I259">
        <v>90505</v>
      </c>
    </row>
    <row r="260" spans="1:9" x14ac:dyDescent="0.3">
      <c r="A260">
        <v>259</v>
      </c>
      <c r="B260" t="s">
        <v>1176</v>
      </c>
      <c r="C260" t="s">
        <v>1177</v>
      </c>
      <c r="D260" t="s">
        <v>11</v>
      </c>
      <c r="E260" t="s">
        <v>1178</v>
      </c>
      <c r="F260" t="s">
        <v>1179</v>
      </c>
      <c r="G260" t="s">
        <v>1180</v>
      </c>
      <c r="H260" t="s">
        <v>21</v>
      </c>
      <c r="I260">
        <v>94566</v>
      </c>
    </row>
    <row r="261" spans="1:9" x14ac:dyDescent="0.3">
      <c r="A261">
        <v>260</v>
      </c>
      <c r="B261" t="s">
        <v>1181</v>
      </c>
      <c r="C261" t="s">
        <v>1182</v>
      </c>
      <c r="D261" t="s">
        <v>11</v>
      </c>
      <c r="E261" t="s">
        <v>1183</v>
      </c>
      <c r="F261" t="s">
        <v>1184</v>
      </c>
      <c r="G261" t="s">
        <v>1103</v>
      </c>
      <c r="H261" t="s">
        <v>21</v>
      </c>
      <c r="I261">
        <v>91387</v>
      </c>
    </row>
    <row r="262" spans="1:9" x14ac:dyDescent="0.3">
      <c r="A262">
        <v>261</v>
      </c>
      <c r="B262" t="s">
        <v>1185</v>
      </c>
      <c r="C262" t="s">
        <v>1186</v>
      </c>
      <c r="D262" t="s">
        <v>11</v>
      </c>
      <c r="E262" t="s">
        <v>1187</v>
      </c>
      <c r="F262" t="s">
        <v>1188</v>
      </c>
      <c r="G262" t="s">
        <v>176</v>
      </c>
      <c r="H262" t="s">
        <v>21</v>
      </c>
      <c r="I262">
        <v>92831</v>
      </c>
    </row>
    <row r="263" spans="1:9" x14ac:dyDescent="0.3">
      <c r="A263">
        <v>262</v>
      </c>
      <c r="B263" t="s">
        <v>1189</v>
      </c>
      <c r="C263" t="s">
        <v>945</v>
      </c>
      <c r="D263" t="s">
        <v>1190</v>
      </c>
      <c r="E263" t="s">
        <v>1191</v>
      </c>
      <c r="F263" t="s">
        <v>1192</v>
      </c>
      <c r="G263" t="s">
        <v>48</v>
      </c>
      <c r="H263" t="s">
        <v>15</v>
      </c>
      <c r="I263">
        <v>14215</v>
      </c>
    </row>
    <row r="264" spans="1:9" x14ac:dyDescent="0.3">
      <c r="A264">
        <v>263</v>
      </c>
      <c r="B264" t="s">
        <v>1193</v>
      </c>
      <c r="C264" t="s">
        <v>1194</v>
      </c>
      <c r="D264" t="s">
        <v>1195</v>
      </c>
      <c r="E264" t="s">
        <v>1196</v>
      </c>
      <c r="F264" t="s">
        <v>1197</v>
      </c>
      <c r="G264" t="s">
        <v>1018</v>
      </c>
      <c r="H264" t="s">
        <v>15</v>
      </c>
      <c r="I264">
        <v>11572</v>
      </c>
    </row>
    <row r="265" spans="1:9" x14ac:dyDescent="0.3">
      <c r="A265">
        <v>264</v>
      </c>
      <c r="B265" t="s">
        <v>1198</v>
      </c>
      <c r="C265" t="s">
        <v>1199</v>
      </c>
      <c r="D265" t="s">
        <v>11</v>
      </c>
      <c r="E265" t="s">
        <v>1200</v>
      </c>
      <c r="F265" t="s">
        <v>1201</v>
      </c>
      <c r="G265" t="s">
        <v>1202</v>
      </c>
      <c r="H265" t="s">
        <v>15</v>
      </c>
      <c r="I265">
        <v>11530</v>
      </c>
    </row>
    <row r="266" spans="1:9" x14ac:dyDescent="0.3">
      <c r="A266">
        <v>265</v>
      </c>
      <c r="B266" t="s">
        <v>1203</v>
      </c>
      <c r="C266" t="s">
        <v>1204</v>
      </c>
      <c r="D266" t="s">
        <v>11</v>
      </c>
      <c r="E266" t="s">
        <v>1205</v>
      </c>
      <c r="F266" t="s">
        <v>1206</v>
      </c>
      <c r="G266" t="s">
        <v>300</v>
      </c>
      <c r="H266" t="s">
        <v>15</v>
      </c>
      <c r="I266">
        <v>11722</v>
      </c>
    </row>
    <row r="267" spans="1:9" x14ac:dyDescent="0.3">
      <c r="A267">
        <v>266</v>
      </c>
      <c r="B267" t="s">
        <v>1207</v>
      </c>
      <c r="C267" t="s">
        <v>1208</v>
      </c>
      <c r="D267" t="s">
        <v>11</v>
      </c>
      <c r="E267" t="s">
        <v>1209</v>
      </c>
      <c r="F267" t="s">
        <v>1210</v>
      </c>
      <c r="G267" t="s">
        <v>237</v>
      </c>
      <c r="H267" t="s">
        <v>15</v>
      </c>
      <c r="I267">
        <v>11003</v>
      </c>
    </row>
    <row r="268" spans="1:9" x14ac:dyDescent="0.3">
      <c r="A268">
        <v>267</v>
      </c>
      <c r="B268" t="s">
        <v>1211</v>
      </c>
      <c r="C268" t="s">
        <v>1212</v>
      </c>
      <c r="D268" t="s">
        <v>11</v>
      </c>
      <c r="E268" t="s">
        <v>1213</v>
      </c>
      <c r="F268" t="s">
        <v>1214</v>
      </c>
      <c r="G268" t="s">
        <v>877</v>
      </c>
      <c r="H268" t="s">
        <v>21</v>
      </c>
      <c r="I268">
        <v>92307</v>
      </c>
    </row>
    <row r="269" spans="1:9" x14ac:dyDescent="0.3">
      <c r="A269">
        <v>268</v>
      </c>
      <c r="B269" t="s">
        <v>1215</v>
      </c>
      <c r="C269" t="s">
        <v>959</v>
      </c>
      <c r="D269" t="s">
        <v>11</v>
      </c>
      <c r="E269" t="s">
        <v>1216</v>
      </c>
      <c r="F269" t="s">
        <v>1217</v>
      </c>
      <c r="G269" t="s">
        <v>938</v>
      </c>
      <c r="H269" t="s">
        <v>15</v>
      </c>
      <c r="I269">
        <v>12020</v>
      </c>
    </row>
    <row r="270" spans="1:9" x14ac:dyDescent="0.3">
      <c r="A270">
        <v>269</v>
      </c>
      <c r="B270" t="s">
        <v>1218</v>
      </c>
      <c r="C270" t="s">
        <v>1219</v>
      </c>
      <c r="D270" t="s">
        <v>11</v>
      </c>
      <c r="E270" t="s">
        <v>1220</v>
      </c>
      <c r="F270" t="s">
        <v>1221</v>
      </c>
      <c r="G270" t="s">
        <v>1222</v>
      </c>
      <c r="H270" t="s">
        <v>15</v>
      </c>
      <c r="I270">
        <v>11710</v>
      </c>
    </row>
    <row r="271" spans="1:9" x14ac:dyDescent="0.3">
      <c r="A271">
        <v>270</v>
      </c>
      <c r="B271" t="s">
        <v>1223</v>
      </c>
      <c r="C271" t="s">
        <v>1224</v>
      </c>
      <c r="D271" t="s">
        <v>11</v>
      </c>
      <c r="E271" t="s">
        <v>1225</v>
      </c>
      <c r="F271" t="s">
        <v>1226</v>
      </c>
      <c r="G271" t="s">
        <v>1227</v>
      </c>
      <c r="H271" t="s">
        <v>15</v>
      </c>
      <c r="I271">
        <v>12401</v>
      </c>
    </row>
    <row r="272" spans="1:9" x14ac:dyDescent="0.3">
      <c r="A272">
        <v>271</v>
      </c>
      <c r="B272" t="s">
        <v>1228</v>
      </c>
      <c r="C272" t="s">
        <v>1229</v>
      </c>
      <c r="D272" t="s">
        <v>11</v>
      </c>
      <c r="E272" t="s">
        <v>1230</v>
      </c>
      <c r="F272" t="s">
        <v>1231</v>
      </c>
      <c r="G272" t="s">
        <v>79</v>
      </c>
      <c r="H272" t="s">
        <v>80</v>
      </c>
      <c r="I272">
        <v>75604</v>
      </c>
    </row>
    <row r="273" spans="1:9" x14ac:dyDescent="0.3">
      <c r="A273">
        <v>272</v>
      </c>
      <c r="B273" t="s">
        <v>1232</v>
      </c>
      <c r="C273" t="s">
        <v>1233</v>
      </c>
      <c r="D273" t="s">
        <v>11</v>
      </c>
      <c r="E273" t="s">
        <v>1234</v>
      </c>
      <c r="F273" t="s">
        <v>1235</v>
      </c>
      <c r="G273" t="s">
        <v>957</v>
      </c>
      <c r="H273" t="s">
        <v>15</v>
      </c>
      <c r="I273">
        <v>11432</v>
      </c>
    </row>
    <row r="274" spans="1:9" x14ac:dyDescent="0.3">
      <c r="A274">
        <v>273</v>
      </c>
      <c r="B274" t="s">
        <v>1236</v>
      </c>
      <c r="C274" t="s">
        <v>1237</v>
      </c>
      <c r="D274" t="s">
        <v>11</v>
      </c>
      <c r="E274" t="s">
        <v>1238</v>
      </c>
      <c r="F274" t="s">
        <v>1239</v>
      </c>
      <c r="G274" t="s">
        <v>1240</v>
      </c>
      <c r="H274" t="s">
        <v>15</v>
      </c>
      <c r="I274">
        <v>11417</v>
      </c>
    </row>
    <row r="275" spans="1:9" x14ac:dyDescent="0.3">
      <c r="A275">
        <v>274</v>
      </c>
      <c r="B275" t="s">
        <v>1241</v>
      </c>
      <c r="C275" t="s">
        <v>1242</v>
      </c>
      <c r="D275" t="s">
        <v>11</v>
      </c>
      <c r="E275" t="s">
        <v>1243</v>
      </c>
      <c r="F275" t="s">
        <v>1244</v>
      </c>
      <c r="G275" t="s">
        <v>1245</v>
      </c>
      <c r="H275" t="s">
        <v>15</v>
      </c>
      <c r="I275">
        <v>12533</v>
      </c>
    </row>
    <row r="276" spans="1:9" x14ac:dyDescent="0.3">
      <c r="A276">
        <v>275</v>
      </c>
      <c r="B276" t="s">
        <v>1246</v>
      </c>
      <c r="C276" t="s">
        <v>345</v>
      </c>
      <c r="D276" t="s">
        <v>11</v>
      </c>
      <c r="E276" t="s">
        <v>1247</v>
      </c>
      <c r="F276" t="s">
        <v>1248</v>
      </c>
      <c r="G276" t="s">
        <v>314</v>
      </c>
      <c r="H276" t="s">
        <v>80</v>
      </c>
      <c r="I276">
        <v>76901</v>
      </c>
    </row>
    <row r="277" spans="1:9" x14ac:dyDescent="0.3">
      <c r="A277">
        <v>276</v>
      </c>
      <c r="B277" t="s">
        <v>1249</v>
      </c>
      <c r="C277" t="s">
        <v>1250</v>
      </c>
      <c r="D277" t="s">
        <v>11</v>
      </c>
      <c r="E277" t="s">
        <v>1251</v>
      </c>
      <c r="F277" t="s">
        <v>1252</v>
      </c>
      <c r="G277" t="s">
        <v>1253</v>
      </c>
      <c r="H277" t="s">
        <v>15</v>
      </c>
      <c r="I277">
        <v>11779</v>
      </c>
    </row>
    <row r="278" spans="1:9" x14ac:dyDescent="0.3">
      <c r="A278">
        <v>277</v>
      </c>
      <c r="B278" t="s">
        <v>1254</v>
      </c>
      <c r="C278" t="s">
        <v>1255</v>
      </c>
      <c r="D278" t="s">
        <v>11</v>
      </c>
      <c r="E278" t="s">
        <v>1256</v>
      </c>
      <c r="F278" t="s">
        <v>1257</v>
      </c>
      <c r="G278" t="s">
        <v>63</v>
      </c>
      <c r="H278" t="s">
        <v>15</v>
      </c>
      <c r="I278">
        <v>10950</v>
      </c>
    </row>
    <row r="279" spans="1:9" x14ac:dyDescent="0.3">
      <c r="A279">
        <v>278</v>
      </c>
      <c r="B279" t="s">
        <v>1258</v>
      </c>
      <c r="C279" t="s">
        <v>1259</v>
      </c>
      <c r="D279" t="s">
        <v>11</v>
      </c>
      <c r="E279" t="s">
        <v>1260</v>
      </c>
      <c r="F279" t="s">
        <v>1261</v>
      </c>
      <c r="G279" t="s">
        <v>20</v>
      </c>
      <c r="H279" t="s">
        <v>21</v>
      </c>
      <c r="I279">
        <v>95008</v>
      </c>
    </row>
    <row r="280" spans="1:9" x14ac:dyDescent="0.3">
      <c r="A280">
        <v>279</v>
      </c>
      <c r="B280" t="s">
        <v>1262</v>
      </c>
      <c r="C280" t="s">
        <v>1263</v>
      </c>
      <c r="D280" t="s">
        <v>11</v>
      </c>
      <c r="E280" t="s">
        <v>1264</v>
      </c>
      <c r="F280" t="s">
        <v>1265</v>
      </c>
      <c r="G280" t="s">
        <v>366</v>
      </c>
      <c r="H280" t="s">
        <v>21</v>
      </c>
      <c r="I280">
        <v>91733</v>
      </c>
    </row>
    <row r="281" spans="1:9" x14ac:dyDescent="0.3">
      <c r="A281">
        <v>280</v>
      </c>
      <c r="B281" t="s">
        <v>1266</v>
      </c>
      <c r="C281" t="s">
        <v>675</v>
      </c>
      <c r="D281" t="s">
        <v>11</v>
      </c>
      <c r="E281" t="s">
        <v>1267</v>
      </c>
      <c r="F281" t="s">
        <v>1268</v>
      </c>
      <c r="G281" t="s">
        <v>314</v>
      </c>
      <c r="H281" t="s">
        <v>80</v>
      </c>
      <c r="I281">
        <v>76901</v>
      </c>
    </row>
    <row r="282" spans="1:9" x14ac:dyDescent="0.3">
      <c r="A282">
        <v>281</v>
      </c>
      <c r="B282" t="s">
        <v>1269</v>
      </c>
      <c r="C282" t="s">
        <v>1270</v>
      </c>
      <c r="D282" t="s">
        <v>11</v>
      </c>
      <c r="E282" t="s">
        <v>1271</v>
      </c>
      <c r="F282" t="s">
        <v>1272</v>
      </c>
      <c r="G282" t="s">
        <v>1240</v>
      </c>
      <c r="H282" t="s">
        <v>15</v>
      </c>
      <c r="I282">
        <v>11417</v>
      </c>
    </row>
    <row r="283" spans="1:9" x14ac:dyDescent="0.3">
      <c r="A283">
        <v>282</v>
      </c>
      <c r="B283" t="s">
        <v>1273</v>
      </c>
      <c r="C283" t="s">
        <v>1274</v>
      </c>
      <c r="D283" t="s">
        <v>11</v>
      </c>
      <c r="E283" t="s">
        <v>1275</v>
      </c>
      <c r="F283" t="s">
        <v>1276</v>
      </c>
      <c r="G283" t="s">
        <v>251</v>
      </c>
      <c r="H283" t="s">
        <v>21</v>
      </c>
      <c r="I283">
        <v>94580</v>
      </c>
    </row>
    <row r="284" spans="1:9" x14ac:dyDescent="0.3">
      <c r="A284">
        <v>283</v>
      </c>
      <c r="B284" t="s">
        <v>1277</v>
      </c>
      <c r="C284" t="s">
        <v>1278</v>
      </c>
      <c r="D284" t="s">
        <v>11</v>
      </c>
      <c r="E284" t="s">
        <v>1279</v>
      </c>
      <c r="F284" t="s">
        <v>1280</v>
      </c>
      <c r="G284" t="s">
        <v>1281</v>
      </c>
      <c r="H284" t="s">
        <v>15</v>
      </c>
      <c r="I284">
        <v>12601</v>
      </c>
    </row>
    <row r="285" spans="1:9" x14ac:dyDescent="0.3">
      <c r="A285">
        <v>284</v>
      </c>
      <c r="B285" t="s">
        <v>1282</v>
      </c>
      <c r="C285" t="s">
        <v>1283</v>
      </c>
      <c r="D285" t="s">
        <v>11</v>
      </c>
      <c r="E285" t="s">
        <v>1284</v>
      </c>
      <c r="F285" t="s">
        <v>1285</v>
      </c>
      <c r="G285" t="s">
        <v>497</v>
      </c>
      <c r="H285" t="s">
        <v>15</v>
      </c>
      <c r="I285">
        <v>11725</v>
      </c>
    </row>
    <row r="286" spans="1:9" x14ac:dyDescent="0.3">
      <c r="A286">
        <v>285</v>
      </c>
      <c r="B286" t="s">
        <v>1286</v>
      </c>
      <c r="C286" t="s">
        <v>1287</v>
      </c>
      <c r="D286" t="s">
        <v>11</v>
      </c>
      <c r="E286" t="s">
        <v>1288</v>
      </c>
      <c r="F286" t="s">
        <v>1289</v>
      </c>
      <c r="G286" t="s">
        <v>205</v>
      </c>
      <c r="H286" t="s">
        <v>15</v>
      </c>
      <c r="I286">
        <v>11102</v>
      </c>
    </row>
    <row r="287" spans="1:9" x14ac:dyDescent="0.3">
      <c r="A287">
        <v>286</v>
      </c>
      <c r="B287" t="s">
        <v>1290</v>
      </c>
      <c r="C287" t="s">
        <v>153</v>
      </c>
      <c r="D287" t="s">
        <v>11</v>
      </c>
      <c r="E287" t="s">
        <v>1291</v>
      </c>
      <c r="F287" t="s">
        <v>1292</v>
      </c>
      <c r="G287" t="s">
        <v>1293</v>
      </c>
      <c r="H287" t="s">
        <v>15</v>
      </c>
      <c r="I287">
        <v>11756</v>
      </c>
    </row>
    <row r="288" spans="1:9" x14ac:dyDescent="0.3">
      <c r="A288">
        <v>287</v>
      </c>
      <c r="B288" t="s">
        <v>1294</v>
      </c>
      <c r="C288" t="s">
        <v>1295</v>
      </c>
      <c r="D288" t="s">
        <v>1296</v>
      </c>
      <c r="E288" t="s">
        <v>1297</v>
      </c>
      <c r="F288" t="s">
        <v>1298</v>
      </c>
      <c r="G288" t="s">
        <v>810</v>
      </c>
      <c r="H288" t="s">
        <v>21</v>
      </c>
      <c r="I288">
        <v>93035</v>
      </c>
    </row>
    <row r="289" spans="1:9" x14ac:dyDescent="0.3">
      <c r="A289">
        <v>288</v>
      </c>
      <c r="B289" t="s">
        <v>1299</v>
      </c>
      <c r="C289" t="s">
        <v>1300</v>
      </c>
      <c r="D289" t="s">
        <v>11</v>
      </c>
      <c r="E289" t="s">
        <v>1301</v>
      </c>
      <c r="F289" t="s">
        <v>1302</v>
      </c>
      <c r="G289" t="s">
        <v>755</v>
      </c>
      <c r="H289" t="s">
        <v>21</v>
      </c>
      <c r="I289">
        <v>92220</v>
      </c>
    </row>
    <row r="290" spans="1:9" x14ac:dyDescent="0.3">
      <c r="A290">
        <v>289</v>
      </c>
      <c r="B290" t="s">
        <v>1303</v>
      </c>
      <c r="C290" t="s">
        <v>864</v>
      </c>
      <c r="D290" t="s">
        <v>11</v>
      </c>
      <c r="E290" t="s">
        <v>1304</v>
      </c>
      <c r="F290" t="s">
        <v>1305</v>
      </c>
      <c r="G290" t="s">
        <v>389</v>
      </c>
      <c r="H290" t="s">
        <v>80</v>
      </c>
      <c r="I290">
        <v>75080</v>
      </c>
    </row>
    <row r="291" spans="1:9" x14ac:dyDescent="0.3">
      <c r="A291">
        <v>290</v>
      </c>
      <c r="B291" t="s">
        <v>1306</v>
      </c>
      <c r="C291" t="s">
        <v>1307</v>
      </c>
      <c r="D291" t="s">
        <v>11</v>
      </c>
      <c r="E291" t="s">
        <v>1308</v>
      </c>
      <c r="F291" t="s">
        <v>1309</v>
      </c>
      <c r="G291" t="s">
        <v>1310</v>
      </c>
      <c r="H291" t="s">
        <v>15</v>
      </c>
      <c r="I291">
        <v>11720</v>
      </c>
    </row>
    <row r="292" spans="1:9" x14ac:dyDescent="0.3">
      <c r="A292">
        <v>291</v>
      </c>
      <c r="B292" t="s">
        <v>1311</v>
      </c>
      <c r="C292" t="s">
        <v>10</v>
      </c>
      <c r="D292" t="s">
        <v>11</v>
      </c>
      <c r="E292" t="s">
        <v>1312</v>
      </c>
      <c r="F292" t="s">
        <v>1313</v>
      </c>
      <c r="G292" t="s">
        <v>151</v>
      </c>
      <c r="H292" t="s">
        <v>15</v>
      </c>
      <c r="I292">
        <v>11104</v>
      </c>
    </row>
    <row r="293" spans="1:9" x14ac:dyDescent="0.3">
      <c r="A293">
        <v>292</v>
      </c>
      <c r="B293" t="s">
        <v>1314</v>
      </c>
      <c r="C293" t="s">
        <v>153</v>
      </c>
      <c r="D293" t="s">
        <v>1315</v>
      </c>
      <c r="E293" t="s">
        <v>1316</v>
      </c>
      <c r="F293" t="s">
        <v>1317</v>
      </c>
      <c r="G293" t="s">
        <v>74</v>
      </c>
      <c r="H293" t="s">
        <v>15</v>
      </c>
      <c r="I293">
        <v>11550</v>
      </c>
    </row>
    <row r="294" spans="1:9" x14ac:dyDescent="0.3">
      <c r="A294">
        <v>293</v>
      </c>
      <c r="B294" t="s">
        <v>1318</v>
      </c>
      <c r="C294" t="s">
        <v>1319</v>
      </c>
      <c r="D294" t="s">
        <v>11</v>
      </c>
      <c r="E294" t="s">
        <v>1320</v>
      </c>
      <c r="F294" t="s">
        <v>1321</v>
      </c>
      <c r="G294" t="s">
        <v>731</v>
      </c>
      <c r="H294" t="s">
        <v>15</v>
      </c>
      <c r="I294">
        <v>11803</v>
      </c>
    </row>
    <row r="295" spans="1:9" x14ac:dyDescent="0.3">
      <c r="A295">
        <v>294</v>
      </c>
      <c r="B295" t="s">
        <v>1322</v>
      </c>
      <c r="C295" t="s">
        <v>1323</v>
      </c>
      <c r="D295" t="s">
        <v>11</v>
      </c>
      <c r="E295" t="s">
        <v>1324</v>
      </c>
      <c r="F295" t="s">
        <v>1325</v>
      </c>
      <c r="G295" t="s">
        <v>333</v>
      </c>
      <c r="H295" t="s">
        <v>15</v>
      </c>
      <c r="I295">
        <v>13440</v>
      </c>
    </row>
    <row r="296" spans="1:9" x14ac:dyDescent="0.3">
      <c r="A296">
        <v>295</v>
      </c>
      <c r="B296" t="s">
        <v>1326</v>
      </c>
      <c r="C296" t="s">
        <v>1327</v>
      </c>
      <c r="D296" t="s">
        <v>11</v>
      </c>
      <c r="E296" t="s">
        <v>1328</v>
      </c>
      <c r="F296" t="s">
        <v>1329</v>
      </c>
      <c r="G296" t="s">
        <v>800</v>
      </c>
      <c r="H296" t="s">
        <v>15</v>
      </c>
      <c r="I296">
        <v>11420</v>
      </c>
    </row>
    <row r="297" spans="1:9" x14ac:dyDescent="0.3">
      <c r="A297">
        <v>296</v>
      </c>
      <c r="B297" t="s">
        <v>1330</v>
      </c>
      <c r="C297" t="s">
        <v>1331</v>
      </c>
      <c r="D297" t="s">
        <v>11</v>
      </c>
      <c r="E297" t="s">
        <v>1332</v>
      </c>
      <c r="F297" t="s">
        <v>1333</v>
      </c>
      <c r="G297" t="s">
        <v>31</v>
      </c>
      <c r="H297" t="s">
        <v>15</v>
      </c>
      <c r="I297">
        <v>11553</v>
      </c>
    </row>
    <row r="298" spans="1:9" x14ac:dyDescent="0.3">
      <c r="A298">
        <v>297</v>
      </c>
      <c r="B298" t="s">
        <v>1334</v>
      </c>
      <c r="C298" t="s">
        <v>355</v>
      </c>
      <c r="D298" t="s">
        <v>11</v>
      </c>
      <c r="E298" t="s">
        <v>1335</v>
      </c>
      <c r="F298" t="s">
        <v>1336</v>
      </c>
      <c r="G298" t="s">
        <v>740</v>
      </c>
      <c r="H298" t="s">
        <v>80</v>
      </c>
      <c r="I298">
        <v>78023</v>
      </c>
    </row>
    <row r="299" spans="1:9" x14ac:dyDescent="0.3">
      <c r="A299">
        <v>298</v>
      </c>
      <c r="B299" t="s">
        <v>1337</v>
      </c>
      <c r="C299" t="s">
        <v>1338</v>
      </c>
      <c r="D299" t="s">
        <v>11</v>
      </c>
      <c r="E299" t="s">
        <v>1339</v>
      </c>
      <c r="F299" t="s">
        <v>1340</v>
      </c>
      <c r="G299" t="s">
        <v>444</v>
      </c>
      <c r="H299" t="s">
        <v>21</v>
      </c>
      <c r="I299">
        <v>91784</v>
      </c>
    </row>
    <row r="300" spans="1:9" x14ac:dyDescent="0.3">
      <c r="A300">
        <v>299</v>
      </c>
      <c r="B300" t="s">
        <v>1341</v>
      </c>
      <c r="C300" t="s">
        <v>1043</v>
      </c>
      <c r="D300" t="s">
        <v>11</v>
      </c>
      <c r="E300" t="s">
        <v>1342</v>
      </c>
      <c r="F300" t="s">
        <v>1343</v>
      </c>
      <c r="G300" t="s">
        <v>745</v>
      </c>
      <c r="H300" t="s">
        <v>15</v>
      </c>
      <c r="I300">
        <v>11706</v>
      </c>
    </row>
    <row r="301" spans="1:9" x14ac:dyDescent="0.3">
      <c r="A301">
        <v>300</v>
      </c>
      <c r="B301" t="s">
        <v>1344</v>
      </c>
      <c r="C301" t="s">
        <v>1345</v>
      </c>
      <c r="D301" t="s">
        <v>11</v>
      </c>
      <c r="E301" t="s">
        <v>1346</v>
      </c>
      <c r="F301" t="s">
        <v>1347</v>
      </c>
      <c r="G301" t="s">
        <v>1348</v>
      </c>
      <c r="H301" t="s">
        <v>21</v>
      </c>
      <c r="I301">
        <v>94043</v>
      </c>
    </row>
    <row r="302" spans="1:9" x14ac:dyDescent="0.3">
      <c r="A302">
        <v>301</v>
      </c>
      <c r="B302" t="s">
        <v>1349</v>
      </c>
      <c r="C302" t="s">
        <v>1255</v>
      </c>
      <c r="D302" t="s">
        <v>11</v>
      </c>
      <c r="E302" t="s">
        <v>1350</v>
      </c>
      <c r="F302" t="s">
        <v>1351</v>
      </c>
      <c r="G302" t="s">
        <v>101</v>
      </c>
      <c r="H302" t="s">
        <v>15</v>
      </c>
      <c r="I302">
        <v>10583</v>
      </c>
    </row>
    <row r="303" spans="1:9" x14ac:dyDescent="0.3">
      <c r="A303">
        <v>302</v>
      </c>
      <c r="B303" t="s">
        <v>1352</v>
      </c>
      <c r="C303" t="s">
        <v>1353</v>
      </c>
      <c r="D303" t="s">
        <v>11</v>
      </c>
      <c r="E303" t="s">
        <v>1354</v>
      </c>
      <c r="F303" t="s">
        <v>1355</v>
      </c>
      <c r="G303" t="s">
        <v>877</v>
      </c>
      <c r="H303" t="s">
        <v>21</v>
      </c>
      <c r="I303">
        <v>92307</v>
      </c>
    </row>
    <row r="304" spans="1:9" x14ac:dyDescent="0.3">
      <c r="A304">
        <v>303</v>
      </c>
      <c r="B304" t="s">
        <v>1356</v>
      </c>
      <c r="C304" t="s">
        <v>122</v>
      </c>
      <c r="D304" t="s">
        <v>11</v>
      </c>
      <c r="E304" t="s">
        <v>1357</v>
      </c>
      <c r="F304" t="s">
        <v>1358</v>
      </c>
      <c r="G304" t="s">
        <v>519</v>
      </c>
      <c r="H304" t="s">
        <v>15</v>
      </c>
      <c r="I304">
        <v>11421</v>
      </c>
    </row>
    <row r="305" spans="1:9" x14ac:dyDescent="0.3">
      <c r="A305">
        <v>304</v>
      </c>
      <c r="B305" t="s">
        <v>1359</v>
      </c>
      <c r="C305" t="s">
        <v>1360</v>
      </c>
      <c r="D305" t="s">
        <v>11</v>
      </c>
      <c r="E305" t="s">
        <v>1361</v>
      </c>
      <c r="F305" t="s">
        <v>1362</v>
      </c>
      <c r="G305" t="s">
        <v>1363</v>
      </c>
      <c r="H305" t="s">
        <v>15</v>
      </c>
      <c r="I305">
        <v>11413</v>
      </c>
    </row>
    <row r="306" spans="1:9" x14ac:dyDescent="0.3">
      <c r="A306">
        <v>305</v>
      </c>
      <c r="B306" t="s">
        <v>1364</v>
      </c>
      <c r="C306" t="s">
        <v>1365</v>
      </c>
      <c r="D306" t="s">
        <v>11</v>
      </c>
      <c r="E306" t="s">
        <v>1366</v>
      </c>
      <c r="F306" t="s">
        <v>1367</v>
      </c>
      <c r="G306" t="s">
        <v>26</v>
      </c>
      <c r="H306" t="s">
        <v>21</v>
      </c>
      <c r="I306">
        <v>90278</v>
      </c>
    </row>
    <row r="307" spans="1:9" x14ac:dyDescent="0.3">
      <c r="A307">
        <v>306</v>
      </c>
      <c r="B307" t="s">
        <v>1368</v>
      </c>
      <c r="C307" t="s">
        <v>1369</v>
      </c>
      <c r="D307" t="s">
        <v>11</v>
      </c>
      <c r="E307" t="s">
        <v>1370</v>
      </c>
      <c r="F307" t="s">
        <v>1371</v>
      </c>
      <c r="G307" t="s">
        <v>1227</v>
      </c>
      <c r="H307" t="s">
        <v>15</v>
      </c>
      <c r="I307">
        <v>12401</v>
      </c>
    </row>
    <row r="308" spans="1:9" x14ac:dyDescent="0.3">
      <c r="A308">
        <v>307</v>
      </c>
      <c r="B308" t="s">
        <v>1372</v>
      </c>
      <c r="C308" t="s">
        <v>1373</v>
      </c>
      <c r="D308" t="s">
        <v>11</v>
      </c>
      <c r="E308" t="s">
        <v>1374</v>
      </c>
      <c r="F308" t="s">
        <v>1375</v>
      </c>
      <c r="G308" t="s">
        <v>277</v>
      </c>
      <c r="H308" t="s">
        <v>21</v>
      </c>
      <c r="I308">
        <v>91740</v>
      </c>
    </row>
    <row r="309" spans="1:9" x14ac:dyDescent="0.3">
      <c r="A309">
        <v>308</v>
      </c>
      <c r="B309" t="s">
        <v>1376</v>
      </c>
      <c r="C309" t="s">
        <v>1377</v>
      </c>
      <c r="D309" t="s">
        <v>11</v>
      </c>
      <c r="E309" t="s">
        <v>1378</v>
      </c>
      <c r="F309" t="s">
        <v>1379</v>
      </c>
      <c r="G309" t="s">
        <v>864</v>
      </c>
      <c r="H309" t="s">
        <v>15</v>
      </c>
      <c r="I309">
        <v>14580</v>
      </c>
    </row>
    <row r="310" spans="1:9" x14ac:dyDescent="0.3">
      <c r="A310">
        <v>309</v>
      </c>
      <c r="B310" t="s">
        <v>1380</v>
      </c>
      <c r="C310" t="s">
        <v>482</v>
      </c>
      <c r="D310" t="s">
        <v>11</v>
      </c>
      <c r="E310" t="s">
        <v>1381</v>
      </c>
      <c r="F310" t="s">
        <v>1382</v>
      </c>
      <c r="G310" t="s">
        <v>106</v>
      </c>
      <c r="H310" t="s">
        <v>15</v>
      </c>
      <c r="I310">
        <v>14424</v>
      </c>
    </row>
    <row r="311" spans="1:9" x14ac:dyDescent="0.3">
      <c r="A311">
        <v>310</v>
      </c>
      <c r="B311" t="s">
        <v>1383</v>
      </c>
      <c r="C311" t="s">
        <v>1384</v>
      </c>
      <c r="D311" t="s">
        <v>11</v>
      </c>
      <c r="E311" t="s">
        <v>1385</v>
      </c>
      <c r="F311" t="s">
        <v>1386</v>
      </c>
      <c r="G311" t="s">
        <v>1387</v>
      </c>
      <c r="H311" t="s">
        <v>15</v>
      </c>
      <c r="I311">
        <v>11379</v>
      </c>
    </row>
    <row r="312" spans="1:9" x14ac:dyDescent="0.3">
      <c r="A312">
        <v>311</v>
      </c>
      <c r="B312" t="s">
        <v>1388</v>
      </c>
      <c r="C312" t="s">
        <v>1389</v>
      </c>
      <c r="D312" t="s">
        <v>1390</v>
      </c>
      <c r="E312" t="s">
        <v>1391</v>
      </c>
      <c r="F312" t="s">
        <v>1392</v>
      </c>
      <c r="G312" t="s">
        <v>588</v>
      </c>
      <c r="H312" t="s">
        <v>21</v>
      </c>
      <c r="I312">
        <v>93706</v>
      </c>
    </row>
    <row r="313" spans="1:9" x14ac:dyDescent="0.3">
      <c r="A313">
        <v>312</v>
      </c>
      <c r="B313" t="s">
        <v>1393</v>
      </c>
      <c r="C313" t="s">
        <v>1394</v>
      </c>
      <c r="D313" t="s">
        <v>11</v>
      </c>
      <c r="E313" t="s">
        <v>1395</v>
      </c>
      <c r="F313" t="s">
        <v>1396</v>
      </c>
      <c r="G313" t="s">
        <v>79</v>
      </c>
      <c r="H313" t="s">
        <v>80</v>
      </c>
      <c r="I313">
        <v>75604</v>
      </c>
    </row>
    <row r="314" spans="1:9" x14ac:dyDescent="0.3">
      <c r="A314">
        <v>313</v>
      </c>
      <c r="B314" t="s">
        <v>1397</v>
      </c>
      <c r="C314" t="s">
        <v>1194</v>
      </c>
      <c r="D314" t="s">
        <v>11</v>
      </c>
      <c r="E314" t="s">
        <v>1398</v>
      </c>
      <c r="F314" t="s">
        <v>1399</v>
      </c>
      <c r="G314" t="s">
        <v>200</v>
      </c>
      <c r="H314" t="s">
        <v>15</v>
      </c>
      <c r="I314">
        <v>11378</v>
      </c>
    </row>
    <row r="315" spans="1:9" x14ac:dyDescent="0.3">
      <c r="A315">
        <v>314</v>
      </c>
      <c r="B315" t="s">
        <v>1400</v>
      </c>
      <c r="C315" t="s">
        <v>1401</v>
      </c>
      <c r="D315" t="s">
        <v>11</v>
      </c>
      <c r="E315" t="s">
        <v>1402</v>
      </c>
      <c r="F315" t="s">
        <v>1403</v>
      </c>
      <c r="G315" t="s">
        <v>348</v>
      </c>
      <c r="H315" t="s">
        <v>80</v>
      </c>
      <c r="I315">
        <v>75088</v>
      </c>
    </row>
    <row r="316" spans="1:9" x14ac:dyDescent="0.3">
      <c r="A316">
        <v>315</v>
      </c>
      <c r="B316" t="s">
        <v>1262</v>
      </c>
      <c r="C316" t="s">
        <v>1404</v>
      </c>
      <c r="D316" t="s">
        <v>11</v>
      </c>
      <c r="E316" t="s">
        <v>1405</v>
      </c>
      <c r="F316" t="s">
        <v>1406</v>
      </c>
      <c r="G316" t="s">
        <v>55</v>
      </c>
      <c r="H316" t="s">
        <v>15</v>
      </c>
      <c r="I316">
        <v>11510</v>
      </c>
    </row>
    <row r="317" spans="1:9" x14ac:dyDescent="0.3">
      <c r="A317">
        <v>316</v>
      </c>
      <c r="B317" t="s">
        <v>1407</v>
      </c>
      <c r="C317" t="s">
        <v>1408</v>
      </c>
      <c r="D317" t="s">
        <v>11</v>
      </c>
      <c r="E317" t="s">
        <v>1409</v>
      </c>
      <c r="F317" t="s">
        <v>1410</v>
      </c>
      <c r="G317" t="s">
        <v>570</v>
      </c>
      <c r="H317" t="s">
        <v>80</v>
      </c>
      <c r="I317">
        <v>76039</v>
      </c>
    </row>
    <row r="318" spans="1:9" x14ac:dyDescent="0.3">
      <c r="A318">
        <v>317</v>
      </c>
      <c r="B318" t="s">
        <v>1334</v>
      </c>
      <c r="C318" t="s">
        <v>643</v>
      </c>
      <c r="D318" t="s">
        <v>11</v>
      </c>
      <c r="E318" t="s">
        <v>1411</v>
      </c>
      <c r="F318" t="s">
        <v>1412</v>
      </c>
      <c r="G318" t="s">
        <v>783</v>
      </c>
      <c r="H318" t="s">
        <v>15</v>
      </c>
      <c r="I318">
        <v>11377</v>
      </c>
    </row>
    <row r="319" spans="1:9" x14ac:dyDescent="0.3">
      <c r="A319">
        <v>318</v>
      </c>
      <c r="B319" t="s">
        <v>1413</v>
      </c>
      <c r="C319" t="s">
        <v>1054</v>
      </c>
      <c r="D319" t="s">
        <v>11</v>
      </c>
      <c r="E319" t="s">
        <v>1414</v>
      </c>
      <c r="F319" t="s">
        <v>1415</v>
      </c>
      <c r="G319" t="s">
        <v>176</v>
      </c>
      <c r="H319" t="s">
        <v>21</v>
      </c>
      <c r="I319">
        <v>92831</v>
      </c>
    </row>
    <row r="320" spans="1:9" x14ac:dyDescent="0.3">
      <c r="A320">
        <v>319</v>
      </c>
      <c r="B320" t="s">
        <v>1416</v>
      </c>
      <c r="C320" t="s">
        <v>1417</v>
      </c>
      <c r="D320" t="s">
        <v>11</v>
      </c>
      <c r="E320" t="s">
        <v>1418</v>
      </c>
      <c r="F320" t="s">
        <v>1419</v>
      </c>
      <c r="G320" t="s">
        <v>877</v>
      </c>
      <c r="H320" t="s">
        <v>21</v>
      </c>
      <c r="I320">
        <v>92307</v>
      </c>
    </row>
    <row r="321" spans="1:9" x14ac:dyDescent="0.3">
      <c r="A321">
        <v>320</v>
      </c>
      <c r="B321" t="s">
        <v>1420</v>
      </c>
      <c r="C321" t="s">
        <v>1421</v>
      </c>
      <c r="D321" t="s">
        <v>1422</v>
      </c>
      <c r="E321" t="s">
        <v>1423</v>
      </c>
      <c r="F321" t="s">
        <v>1424</v>
      </c>
      <c r="G321" t="s">
        <v>1018</v>
      </c>
      <c r="H321" t="s">
        <v>15</v>
      </c>
      <c r="I321">
        <v>11572</v>
      </c>
    </row>
    <row r="322" spans="1:9" x14ac:dyDescent="0.3">
      <c r="A322">
        <v>321</v>
      </c>
      <c r="B322" t="s">
        <v>1425</v>
      </c>
      <c r="C322" t="s">
        <v>103</v>
      </c>
      <c r="D322" t="s">
        <v>11</v>
      </c>
      <c r="E322" t="s">
        <v>1426</v>
      </c>
      <c r="F322" t="s">
        <v>1427</v>
      </c>
      <c r="G322" t="s">
        <v>962</v>
      </c>
      <c r="H322" t="s">
        <v>15</v>
      </c>
      <c r="I322">
        <v>11201</v>
      </c>
    </row>
    <row r="323" spans="1:9" x14ac:dyDescent="0.3">
      <c r="A323">
        <v>322</v>
      </c>
      <c r="B323" t="s">
        <v>1428</v>
      </c>
      <c r="C323" t="s">
        <v>737</v>
      </c>
      <c r="D323" t="s">
        <v>11</v>
      </c>
      <c r="E323" t="s">
        <v>1429</v>
      </c>
      <c r="F323" t="s">
        <v>1430</v>
      </c>
      <c r="G323" t="s">
        <v>1281</v>
      </c>
      <c r="H323" t="s">
        <v>15</v>
      </c>
      <c r="I323">
        <v>12601</v>
      </c>
    </row>
    <row r="324" spans="1:9" x14ac:dyDescent="0.3">
      <c r="A324">
        <v>323</v>
      </c>
      <c r="B324" t="s">
        <v>857</v>
      </c>
      <c r="C324" t="s">
        <v>1431</v>
      </c>
      <c r="D324" t="s">
        <v>11</v>
      </c>
      <c r="E324" t="s">
        <v>1432</v>
      </c>
      <c r="F324" t="s">
        <v>1433</v>
      </c>
      <c r="G324" t="s">
        <v>1434</v>
      </c>
      <c r="H324" t="s">
        <v>15</v>
      </c>
      <c r="I324">
        <v>12302</v>
      </c>
    </row>
    <row r="325" spans="1:9" x14ac:dyDescent="0.3">
      <c r="A325">
        <v>324</v>
      </c>
      <c r="B325" t="s">
        <v>1435</v>
      </c>
      <c r="C325" t="s">
        <v>874</v>
      </c>
      <c r="D325" t="s">
        <v>11</v>
      </c>
      <c r="E325" t="s">
        <v>1436</v>
      </c>
      <c r="F325" t="s">
        <v>1437</v>
      </c>
      <c r="G325" t="s">
        <v>1222</v>
      </c>
      <c r="H325" t="s">
        <v>15</v>
      </c>
      <c r="I325">
        <v>11710</v>
      </c>
    </row>
    <row r="326" spans="1:9" x14ac:dyDescent="0.3">
      <c r="A326">
        <v>325</v>
      </c>
      <c r="B326" t="s">
        <v>1438</v>
      </c>
      <c r="C326" t="s">
        <v>1439</v>
      </c>
      <c r="D326" t="s">
        <v>11</v>
      </c>
      <c r="E326" t="s">
        <v>1440</v>
      </c>
      <c r="F326" t="s">
        <v>1441</v>
      </c>
      <c r="G326" t="s">
        <v>295</v>
      </c>
      <c r="H326" t="s">
        <v>15</v>
      </c>
      <c r="I326">
        <v>10451</v>
      </c>
    </row>
    <row r="327" spans="1:9" x14ac:dyDescent="0.3">
      <c r="A327">
        <v>326</v>
      </c>
      <c r="B327" t="s">
        <v>1442</v>
      </c>
      <c r="C327" t="s">
        <v>1443</v>
      </c>
      <c r="D327" t="s">
        <v>11</v>
      </c>
      <c r="E327" t="s">
        <v>1444</v>
      </c>
      <c r="F327" t="s">
        <v>1445</v>
      </c>
      <c r="G327" t="s">
        <v>353</v>
      </c>
      <c r="H327" t="s">
        <v>21</v>
      </c>
      <c r="I327">
        <v>95677</v>
      </c>
    </row>
    <row r="328" spans="1:9" x14ac:dyDescent="0.3">
      <c r="A328">
        <v>327</v>
      </c>
      <c r="B328" t="s">
        <v>1446</v>
      </c>
      <c r="C328" t="s">
        <v>1447</v>
      </c>
      <c r="D328" t="s">
        <v>1448</v>
      </c>
      <c r="E328" t="s">
        <v>1449</v>
      </c>
      <c r="F328" t="s">
        <v>1450</v>
      </c>
      <c r="G328" t="s">
        <v>96</v>
      </c>
      <c r="H328" t="s">
        <v>15</v>
      </c>
      <c r="I328">
        <v>10002</v>
      </c>
    </row>
    <row r="329" spans="1:9" x14ac:dyDescent="0.3">
      <c r="A329">
        <v>328</v>
      </c>
      <c r="B329" t="s">
        <v>1451</v>
      </c>
      <c r="C329" t="s">
        <v>1452</v>
      </c>
      <c r="D329" t="s">
        <v>11</v>
      </c>
      <c r="E329" t="s">
        <v>1453</v>
      </c>
      <c r="F329" t="s">
        <v>1454</v>
      </c>
      <c r="G329" t="s">
        <v>570</v>
      </c>
      <c r="H329" t="s">
        <v>80</v>
      </c>
      <c r="I329">
        <v>76039</v>
      </c>
    </row>
    <row r="330" spans="1:9" x14ac:dyDescent="0.3">
      <c r="A330">
        <v>329</v>
      </c>
      <c r="B330" t="s">
        <v>1455</v>
      </c>
      <c r="C330" t="s">
        <v>1456</v>
      </c>
      <c r="D330" t="s">
        <v>11</v>
      </c>
      <c r="E330" t="s">
        <v>1457</v>
      </c>
      <c r="F330" t="s">
        <v>1458</v>
      </c>
      <c r="G330" t="s">
        <v>695</v>
      </c>
      <c r="H330" t="s">
        <v>15</v>
      </c>
      <c r="I330">
        <v>10573</v>
      </c>
    </row>
    <row r="331" spans="1:9" x14ac:dyDescent="0.3">
      <c r="A331">
        <v>330</v>
      </c>
      <c r="B331" t="s">
        <v>1459</v>
      </c>
      <c r="C331" t="s">
        <v>1460</v>
      </c>
      <c r="D331" t="s">
        <v>11</v>
      </c>
      <c r="E331" t="s">
        <v>1461</v>
      </c>
      <c r="F331" t="s">
        <v>1462</v>
      </c>
      <c r="G331" t="s">
        <v>783</v>
      </c>
      <c r="H331" t="s">
        <v>15</v>
      </c>
      <c r="I331">
        <v>11377</v>
      </c>
    </row>
    <row r="332" spans="1:9" x14ac:dyDescent="0.3">
      <c r="A332">
        <v>331</v>
      </c>
      <c r="B332" t="s">
        <v>111</v>
      </c>
      <c r="C332" t="s">
        <v>1463</v>
      </c>
      <c r="D332" t="s">
        <v>11</v>
      </c>
      <c r="E332" t="s">
        <v>1464</v>
      </c>
      <c r="F332" t="s">
        <v>1465</v>
      </c>
      <c r="G332" t="s">
        <v>745</v>
      </c>
      <c r="H332" t="s">
        <v>15</v>
      </c>
      <c r="I332">
        <v>11706</v>
      </c>
    </row>
    <row r="333" spans="1:9" x14ac:dyDescent="0.3">
      <c r="A333">
        <v>332</v>
      </c>
      <c r="B333" t="s">
        <v>1466</v>
      </c>
      <c r="C333" t="s">
        <v>477</v>
      </c>
      <c r="D333" t="s">
        <v>11</v>
      </c>
      <c r="E333" t="s">
        <v>1467</v>
      </c>
      <c r="F333" t="s">
        <v>1468</v>
      </c>
      <c r="G333" t="s">
        <v>1103</v>
      </c>
      <c r="H333" t="s">
        <v>21</v>
      </c>
      <c r="I333">
        <v>91387</v>
      </c>
    </row>
    <row r="334" spans="1:9" x14ac:dyDescent="0.3">
      <c r="A334">
        <v>333</v>
      </c>
      <c r="B334" t="s">
        <v>1469</v>
      </c>
      <c r="C334" t="s">
        <v>1470</v>
      </c>
      <c r="D334" t="s">
        <v>11</v>
      </c>
      <c r="E334" t="s">
        <v>1471</v>
      </c>
      <c r="F334" t="s">
        <v>1472</v>
      </c>
      <c r="G334" t="s">
        <v>151</v>
      </c>
      <c r="H334" t="s">
        <v>15</v>
      </c>
      <c r="I334">
        <v>11104</v>
      </c>
    </row>
    <row r="335" spans="1:9" x14ac:dyDescent="0.3">
      <c r="A335">
        <v>334</v>
      </c>
      <c r="B335" t="s">
        <v>1473</v>
      </c>
      <c r="C335" t="s">
        <v>1474</v>
      </c>
      <c r="D335" t="s">
        <v>11</v>
      </c>
      <c r="E335" t="s">
        <v>1475</v>
      </c>
      <c r="F335" t="s">
        <v>1476</v>
      </c>
      <c r="G335" t="s">
        <v>425</v>
      </c>
      <c r="H335" t="s">
        <v>15</v>
      </c>
      <c r="I335">
        <v>11746</v>
      </c>
    </row>
    <row r="336" spans="1:9" x14ac:dyDescent="0.3">
      <c r="A336">
        <v>335</v>
      </c>
      <c r="B336" t="s">
        <v>1032</v>
      </c>
      <c r="C336" t="s">
        <v>1477</v>
      </c>
      <c r="D336" t="s">
        <v>11</v>
      </c>
      <c r="E336" t="s">
        <v>1478</v>
      </c>
      <c r="F336" t="s">
        <v>1479</v>
      </c>
      <c r="G336" t="s">
        <v>295</v>
      </c>
      <c r="H336" t="s">
        <v>15</v>
      </c>
      <c r="I336">
        <v>10451</v>
      </c>
    </row>
    <row r="337" spans="1:9" x14ac:dyDescent="0.3">
      <c r="A337">
        <v>336</v>
      </c>
      <c r="B337" t="s">
        <v>1480</v>
      </c>
      <c r="C337" t="s">
        <v>1481</v>
      </c>
      <c r="D337" t="s">
        <v>1482</v>
      </c>
      <c r="E337" t="s">
        <v>1483</v>
      </c>
      <c r="F337" t="s">
        <v>1484</v>
      </c>
      <c r="G337" t="s">
        <v>211</v>
      </c>
      <c r="H337" t="s">
        <v>15</v>
      </c>
      <c r="I337">
        <v>14086</v>
      </c>
    </row>
    <row r="338" spans="1:9" x14ac:dyDescent="0.3">
      <c r="A338">
        <v>337</v>
      </c>
      <c r="B338" t="s">
        <v>1485</v>
      </c>
      <c r="C338" t="s">
        <v>1486</v>
      </c>
      <c r="D338" t="s">
        <v>11</v>
      </c>
      <c r="E338" t="s">
        <v>1487</v>
      </c>
      <c r="F338" t="s">
        <v>1488</v>
      </c>
      <c r="G338" t="s">
        <v>800</v>
      </c>
      <c r="H338" t="s">
        <v>15</v>
      </c>
      <c r="I338">
        <v>11420</v>
      </c>
    </row>
    <row r="339" spans="1:9" x14ac:dyDescent="0.3">
      <c r="A339">
        <v>338</v>
      </c>
      <c r="B339" t="s">
        <v>1489</v>
      </c>
      <c r="C339" t="s">
        <v>993</v>
      </c>
      <c r="D339" t="s">
        <v>11</v>
      </c>
      <c r="E339" t="s">
        <v>1490</v>
      </c>
      <c r="F339" t="s">
        <v>1491</v>
      </c>
      <c r="G339" t="s">
        <v>1492</v>
      </c>
      <c r="H339" t="s">
        <v>15</v>
      </c>
      <c r="I339">
        <v>11375</v>
      </c>
    </row>
    <row r="340" spans="1:9" x14ac:dyDescent="0.3">
      <c r="A340">
        <v>339</v>
      </c>
      <c r="B340" t="s">
        <v>1493</v>
      </c>
      <c r="C340" t="s">
        <v>1494</v>
      </c>
      <c r="D340" t="s">
        <v>11</v>
      </c>
      <c r="E340" t="s">
        <v>1495</v>
      </c>
      <c r="F340" t="s">
        <v>1496</v>
      </c>
      <c r="G340" t="s">
        <v>300</v>
      </c>
      <c r="H340" t="s">
        <v>15</v>
      </c>
      <c r="I340">
        <v>11722</v>
      </c>
    </row>
    <row r="341" spans="1:9" x14ac:dyDescent="0.3">
      <c r="A341">
        <v>340</v>
      </c>
      <c r="B341" t="s">
        <v>1497</v>
      </c>
      <c r="C341" t="s">
        <v>1498</v>
      </c>
      <c r="D341" t="s">
        <v>11</v>
      </c>
      <c r="E341" t="s">
        <v>1499</v>
      </c>
      <c r="F341" t="s">
        <v>1500</v>
      </c>
      <c r="G341" t="s">
        <v>709</v>
      </c>
      <c r="H341" t="s">
        <v>15</v>
      </c>
      <c r="I341">
        <v>11787</v>
      </c>
    </row>
    <row r="342" spans="1:9" x14ac:dyDescent="0.3">
      <c r="A342">
        <v>341</v>
      </c>
      <c r="B342" t="s">
        <v>1501</v>
      </c>
      <c r="C342" t="s">
        <v>1502</v>
      </c>
      <c r="D342" t="s">
        <v>11</v>
      </c>
      <c r="E342" t="s">
        <v>1503</v>
      </c>
      <c r="F342" t="s">
        <v>1504</v>
      </c>
      <c r="G342" t="s">
        <v>1505</v>
      </c>
      <c r="H342" t="s">
        <v>15</v>
      </c>
      <c r="I342">
        <v>10550</v>
      </c>
    </row>
    <row r="343" spans="1:9" x14ac:dyDescent="0.3">
      <c r="A343">
        <v>342</v>
      </c>
      <c r="B343" t="s">
        <v>1506</v>
      </c>
      <c r="C343" t="s">
        <v>1507</v>
      </c>
      <c r="D343" t="s">
        <v>11</v>
      </c>
      <c r="E343" t="s">
        <v>1508</v>
      </c>
      <c r="F343" t="s">
        <v>1509</v>
      </c>
      <c r="G343" t="s">
        <v>267</v>
      </c>
      <c r="H343" t="s">
        <v>15</v>
      </c>
      <c r="I343">
        <v>11566</v>
      </c>
    </row>
    <row r="344" spans="1:9" x14ac:dyDescent="0.3">
      <c r="A344">
        <v>343</v>
      </c>
      <c r="B344" t="s">
        <v>1510</v>
      </c>
      <c r="C344" t="s">
        <v>1511</v>
      </c>
      <c r="D344" t="s">
        <v>11</v>
      </c>
      <c r="E344" t="s">
        <v>1512</v>
      </c>
      <c r="F344" t="s">
        <v>1513</v>
      </c>
      <c r="G344" t="s">
        <v>497</v>
      </c>
      <c r="H344" t="s">
        <v>15</v>
      </c>
      <c r="I344">
        <v>11725</v>
      </c>
    </row>
    <row r="345" spans="1:9" x14ac:dyDescent="0.3">
      <c r="A345">
        <v>344</v>
      </c>
      <c r="B345" t="s">
        <v>1514</v>
      </c>
      <c r="C345" t="s">
        <v>1515</v>
      </c>
      <c r="D345" t="s">
        <v>11</v>
      </c>
      <c r="E345" t="s">
        <v>1516</v>
      </c>
      <c r="F345" t="s">
        <v>1517</v>
      </c>
      <c r="G345" t="s">
        <v>1348</v>
      </c>
      <c r="H345" t="s">
        <v>21</v>
      </c>
      <c r="I345">
        <v>94043</v>
      </c>
    </row>
    <row r="346" spans="1:9" x14ac:dyDescent="0.3">
      <c r="A346">
        <v>345</v>
      </c>
      <c r="B346" t="s">
        <v>1518</v>
      </c>
      <c r="C346" t="s">
        <v>1519</v>
      </c>
      <c r="D346" t="s">
        <v>1520</v>
      </c>
      <c r="E346" t="s">
        <v>1521</v>
      </c>
      <c r="F346" t="s">
        <v>1522</v>
      </c>
      <c r="G346" t="s">
        <v>980</v>
      </c>
      <c r="H346" t="s">
        <v>15</v>
      </c>
      <c r="I346">
        <v>12203</v>
      </c>
    </row>
    <row r="347" spans="1:9" x14ac:dyDescent="0.3">
      <c r="A347">
        <v>346</v>
      </c>
      <c r="B347" t="s">
        <v>1523</v>
      </c>
      <c r="C347" t="s">
        <v>1524</v>
      </c>
      <c r="D347" t="s">
        <v>11</v>
      </c>
      <c r="E347" t="s">
        <v>1525</v>
      </c>
      <c r="F347" t="s">
        <v>1526</v>
      </c>
      <c r="G347" t="s">
        <v>200</v>
      </c>
      <c r="H347" t="s">
        <v>15</v>
      </c>
      <c r="I347">
        <v>11378</v>
      </c>
    </row>
    <row r="348" spans="1:9" x14ac:dyDescent="0.3">
      <c r="A348">
        <v>347</v>
      </c>
      <c r="B348" t="s">
        <v>329</v>
      </c>
      <c r="C348" t="s">
        <v>1527</v>
      </c>
      <c r="D348" t="s">
        <v>1528</v>
      </c>
      <c r="E348" t="s">
        <v>1529</v>
      </c>
      <c r="F348" t="s">
        <v>1530</v>
      </c>
      <c r="G348" t="s">
        <v>171</v>
      </c>
      <c r="H348" t="s">
        <v>21</v>
      </c>
      <c r="I348">
        <v>94603</v>
      </c>
    </row>
    <row r="349" spans="1:9" x14ac:dyDescent="0.3">
      <c r="A349">
        <v>348</v>
      </c>
      <c r="B349" t="s">
        <v>1531</v>
      </c>
      <c r="C349" t="s">
        <v>1532</v>
      </c>
      <c r="D349" t="s">
        <v>11</v>
      </c>
      <c r="E349" t="s">
        <v>1533</v>
      </c>
      <c r="F349" t="s">
        <v>1534</v>
      </c>
      <c r="G349" t="s">
        <v>411</v>
      </c>
      <c r="H349" t="s">
        <v>21</v>
      </c>
      <c r="I349">
        <v>92236</v>
      </c>
    </row>
    <row r="350" spans="1:9" x14ac:dyDescent="0.3">
      <c r="A350">
        <v>349</v>
      </c>
      <c r="B350" t="s">
        <v>1535</v>
      </c>
      <c r="C350" t="s">
        <v>887</v>
      </c>
      <c r="D350" t="s">
        <v>11</v>
      </c>
      <c r="E350" t="s">
        <v>1536</v>
      </c>
      <c r="F350" t="s">
        <v>1537</v>
      </c>
      <c r="G350" t="s">
        <v>411</v>
      </c>
      <c r="H350" t="s">
        <v>21</v>
      </c>
      <c r="I350">
        <v>92236</v>
      </c>
    </row>
    <row r="351" spans="1:9" x14ac:dyDescent="0.3">
      <c r="A351">
        <v>350</v>
      </c>
      <c r="B351" t="s">
        <v>1538</v>
      </c>
      <c r="C351" t="s">
        <v>306</v>
      </c>
      <c r="D351" t="s">
        <v>11</v>
      </c>
      <c r="E351" t="s">
        <v>1539</v>
      </c>
      <c r="F351" t="s">
        <v>1540</v>
      </c>
      <c r="G351" t="s">
        <v>745</v>
      </c>
      <c r="H351" t="s">
        <v>15</v>
      </c>
      <c r="I351">
        <v>11706</v>
      </c>
    </row>
    <row r="352" spans="1:9" x14ac:dyDescent="0.3">
      <c r="A352">
        <v>351</v>
      </c>
      <c r="B352" t="s">
        <v>1541</v>
      </c>
      <c r="C352" t="s">
        <v>1542</v>
      </c>
      <c r="D352" t="s">
        <v>11</v>
      </c>
      <c r="E352" t="s">
        <v>1543</v>
      </c>
      <c r="F352" t="s">
        <v>1544</v>
      </c>
      <c r="G352" t="s">
        <v>68</v>
      </c>
      <c r="H352" t="s">
        <v>15</v>
      </c>
      <c r="I352">
        <v>10952</v>
      </c>
    </row>
    <row r="353" spans="1:9" x14ac:dyDescent="0.3">
      <c r="A353">
        <v>352</v>
      </c>
      <c r="B353" t="s">
        <v>1545</v>
      </c>
      <c r="C353" t="s">
        <v>1546</v>
      </c>
      <c r="D353" t="s">
        <v>11</v>
      </c>
      <c r="E353" t="s">
        <v>1547</v>
      </c>
      <c r="F353" t="s">
        <v>1548</v>
      </c>
      <c r="G353" t="s">
        <v>957</v>
      </c>
      <c r="H353" t="s">
        <v>15</v>
      </c>
      <c r="I353">
        <v>11432</v>
      </c>
    </row>
    <row r="354" spans="1:9" x14ac:dyDescent="0.3">
      <c r="A354">
        <v>353</v>
      </c>
      <c r="B354" t="s">
        <v>1549</v>
      </c>
      <c r="C354" t="s">
        <v>1054</v>
      </c>
      <c r="D354" t="s">
        <v>11</v>
      </c>
      <c r="E354" t="s">
        <v>1550</v>
      </c>
      <c r="F354" t="s">
        <v>1551</v>
      </c>
      <c r="G354" t="s">
        <v>68</v>
      </c>
      <c r="H354" t="s">
        <v>15</v>
      </c>
      <c r="I354">
        <v>10952</v>
      </c>
    </row>
    <row r="355" spans="1:9" x14ac:dyDescent="0.3">
      <c r="A355">
        <v>354</v>
      </c>
      <c r="B355" t="s">
        <v>1552</v>
      </c>
      <c r="C355" t="s">
        <v>239</v>
      </c>
      <c r="D355" t="s">
        <v>11</v>
      </c>
      <c r="E355" t="s">
        <v>1553</v>
      </c>
      <c r="F355" t="s">
        <v>1554</v>
      </c>
      <c r="G355" t="s">
        <v>151</v>
      </c>
      <c r="H355" t="s">
        <v>15</v>
      </c>
      <c r="I355">
        <v>11104</v>
      </c>
    </row>
    <row r="356" spans="1:9" x14ac:dyDescent="0.3">
      <c r="A356">
        <v>355</v>
      </c>
      <c r="B356" t="s">
        <v>440</v>
      </c>
      <c r="C356" t="s">
        <v>1555</v>
      </c>
      <c r="D356" t="s">
        <v>11</v>
      </c>
      <c r="E356" t="s">
        <v>1556</v>
      </c>
      <c r="F356" t="s">
        <v>1557</v>
      </c>
      <c r="G356" t="s">
        <v>745</v>
      </c>
      <c r="H356" t="s">
        <v>15</v>
      </c>
      <c r="I356">
        <v>11706</v>
      </c>
    </row>
    <row r="357" spans="1:9" x14ac:dyDescent="0.3">
      <c r="A357">
        <v>356</v>
      </c>
      <c r="B357" t="s">
        <v>1558</v>
      </c>
      <c r="C357" t="s">
        <v>1559</v>
      </c>
      <c r="D357" t="s">
        <v>11</v>
      </c>
      <c r="E357" t="s">
        <v>1560</v>
      </c>
      <c r="F357" t="s">
        <v>1561</v>
      </c>
      <c r="G357" t="s">
        <v>295</v>
      </c>
      <c r="H357" t="s">
        <v>15</v>
      </c>
      <c r="I357">
        <v>10451</v>
      </c>
    </row>
    <row r="358" spans="1:9" x14ac:dyDescent="0.3">
      <c r="A358">
        <v>357</v>
      </c>
      <c r="B358" t="s">
        <v>1562</v>
      </c>
      <c r="C358" t="s">
        <v>1563</v>
      </c>
      <c r="D358" t="s">
        <v>1564</v>
      </c>
      <c r="E358" t="s">
        <v>1565</v>
      </c>
      <c r="F358" t="s">
        <v>1566</v>
      </c>
      <c r="G358" t="s">
        <v>539</v>
      </c>
      <c r="H358" t="s">
        <v>21</v>
      </c>
      <c r="I358">
        <v>95127</v>
      </c>
    </row>
    <row r="359" spans="1:9" x14ac:dyDescent="0.3">
      <c r="A359">
        <v>358</v>
      </c>
      <c r="B359" t="s">
        <v>1567</v>
      </c>
      <c r="C359" t="s">
        <v>1568</v>
      </c>
      <c r="D359" t="s">
        <v>11</v>
      </c>
      <c r="E359" t="s">
        <v>1569</v>
      </c>
      <c r="F359" t="s">
        <v>1570</v>
      </c>
      <c r="G359" t="s">
        <v>1571</v>
      </c>
      <c r="H359" t="s">
        <v>15</v>
      </c>
      <c r="I359">
        <v>11793</v>
      </c>
    </row>
    <row r="360" spans="1:9" x14ac:dyDescent="0.3">
      <c r="A360">
        <v>359</v>
      </c>
      <c r="B360" t="s">
        <v>1572</v>
      </c>
      <c r="C360" t="s">
        <v>1573</v>
      </c>
      <c r="D360" t="s">
        <v>11</v>
      </c>
      <c r="E360" t="s">
        <v>1574</v>
      </c>
      <c r="F360" t="s">
        <v>1575</v>
      </c>
      <c r="G360" t="s">
        <v>1576</v>
      </c>
      <c r="H360" t="s">
        <v>21</v>
      </c>
      <c r="I360">
        <v>91768</v>
      </c>
    </row>
    <row r="361" spans="1:9" x14ac:dyDescent="0.3">
      <c r="A361">
        <v>360</v>
      </c>
      <c r="B361" t="s">
        <v>1577</v>
      </c>
      <c r="C361" t="s">
        <v>1578</v>
      </c>
      <c r="D361" t="s">
        <v>1579</v>
      </c>
      <c r="E361" t="s">
        <v>1580</v>
      </c>
      <c r="F361" t="s">
        <v>1581</v>
      </c>
      <c r="G361" t="s">
        <v>232</v>
      </c>
      <c r="H361" t="s">
        <v>80</v>
      </c>
      <c r="I361">
        <v>77016</v>
      </c>
    </row>
    <row r="362" spans="1:9" x14ac:dyDescent="0.3">
      <c r="A362">
        <v>361</v>
      </c>
      <c r="B362" t="s">
        <v>1582</v>
      </c>
      <c r="C362" t="s">
        <v>244</v>
      </c>
      <c r="D362" t="s">
        <v>11</v>
      </c>
      <c r="E362" t="s">
        <v>1583</v>
      </c>
      <c r="F362" t="s">
        <v>1584</v>
      </c>
      <c r="G362" t="s">
        <v>1585</v>
      </c>
      <c r="H362" t="s">
        <v>15</v>
      </c>
      <c r="I362">
        <v>11580</v>
      </c>
    </row>
    <row r="363" spans="1:9" x14ac:dyDescent="0.3">
      <c r="A363">
        <v>362</v>
      </c>
      <c r="B363" t="s">
        <v>850</v>
      </c>
      <c r="C363" t="s">
        <v>1586</v>
      </c>
      <c r="D363" t="s">
        <v>11</v>
      </c>
      <c r="E363" t="s">
        <v>1587</v>
      </c>
      <c r="F363" t="s">
        <v>1588</v>
      </c>
      <c r="G363" t="s">
        <v>1227</v>
      </c>
      <c r="H363" t="s">
        <v>15</v>
      </c>
      <c r="I363">
        <v>12401</v>
      </c>
    </row>
    <row r="364" spans="1:9" x14ac:dyDescent="0.3">
      <c r="A364">
        <v>363</v>
      </c>
      <c r="B364" t="s">
        <v>1589</v>
      </c>
      <c r="C364" t="s">
        <v>1590</v>
      </c>
      <c r="D364" t="s">
        <v>11</v>
      </c>
      <c r="E364" t="s">
        <v>1591</v>
      </c>
      <c r="F364" t="s">
        <v>1592</v>
      </c>
      <c r="G364" t="s">
        <v>938</v>
      </c>
      <c r="H364" t="s">
        <v>15</v>
      </c>
      <c r="I364">
        <v>12020</v>
      </c>
    </row>
    <row r="365" spans="1:9" x14ac:dyDescent="0.3">
      <c r="A365">
        <v>364</v>
      </c>
      <c r="B365" t="s">
        <v>1593</v>
      </c>
      <c r="C365" t="s">
        <v>1594</v>
      </c>
      <c r="D365" t="s">
        <v>11</v>
      </c>
      <c r="E365" t="s">
        <v>1595</v>
      </c>
      <c r="F365" t="s">
        <v>1596</v>
      </c>
      <c r="G365" t="s">
        <v>1597</v>
      </c>
      <c r="H365" t="s">
        <v>15</v>
      </c>
      <c r="I365">
        <v>14850</v>
      </c>
    </row>
    <row r="366" spans="1:9" x14ac:dyDescent="0.3">
      <c r="A366">
        <v>365</v>
      </c>
      <c r="B366" t="s">
        <v>1598</v>
      </c>
      <c r="C366" t="s">
        <v>1599</v>
      </c>
      <c r="D366" t="s">
        <v>11</v>
      </c>
      <c r="E366" t="s">
        <v>1600</v>
      </c>
      <c r="F366" t="s">
        <v>1601</v>
      </c>
      <c r="G366" t="s">
        <v>480</v>
      </c>
      <c r="H366" t="s">
        <v>15</v>
      </c>
      <c r="I366">
        <v>11361</v>
      </c>
    </row>
    <row r="367" spans="1:9" x14ac:dyDescent="0.3">
      <c r="A367">
        <v>366</v>
      </c>
      <c r="B367" t="s">
        <v>1602</v>
      </c>
      <c r="C367" t="s">
        <v>1380</v>
      </c>
      <c r="D367" t="s">
        <v>11</v>
      </c>
      <c r="E367" t="s">
        <v>1603</v>
      </c>
      <c r="F367" t="s">
        <v>1604</v>
      </c>
      <c r="G367" t="s">
        <v>533</v>
      </c>
      <c r="H367" t="s">
        <v>15</v>
      </c>
      <c r="I367">
        <v>11001</v>
      </c>
    </row>
    <row r="368" spans="1:9" x14ac:dyDescent="0.3">
      <c r="A368">
        <v>367</v>
      </c>
      <c r="B368" t="s">
        <v>1605</v>
      </c>
      <c r="C368" t="s">
        <v>1208</v>
      </c>
      <c r="D368" t="s">
        <v>11</v>
      </c>
      <c r="E368" t="s">
        <v>1606</v>
      </c>
      <c r="F368" t="s">
        <v>1607</v>
      </c>
      <c r="G368" t="s">
        <v>1240</v>
      </c>
      <c r="H368" t="s">
        <v>15</v>
      </c>
      <c r="I368">
        <v>11417</v>
      </c>
    </row>
    <row r="369" spans="1:9" x14ac:dyDescent="0.3">
      <c r="A369">
        <v>368</v>
      </c>
      <c r="B369" t="s">
        <v>1608</v>
      </c>
      <c r="C369" t="s">
        <v>1573</v>
      </c>
      <c r="D369" t="s">
        <v>11</v>
      </c>
      <c r="E369" t="s">
        <v>1609</v>
      </c>
      <c r="F369" t="s">
        <v>1610</v>
      </c>
      <c r="G369" t="s">
        <v>1492</v>
      </c>
      <c r="H369" t="s">
        <v>15</v>
      </c>
      <c r="I369">
        <v>11375</v>
      </c>
    </row>
    <row r="370" spans="1:9" x14ac:dyDescent="0.3">
      <c r="A370">
        <v>369</v>
      </c>
      <c r="B370" t="s">
        <v>1611</v>
      </c>
      <c r="C370" t="s">
        <v>1612</v>
      </c>
      <c r="D370" t="s">
        <v>11</v>
      </c>
      <c r="E370" t="s">
        <v>1613</v>
      </c>
      <c r="F370" t="s">
        <v>1614</v>
      </c>
      <c r="G370" t="s">
        <v>783</v>
      </c>
      <c r="H370" t="s">
        <v>15</v>
      </c>
      <c r="I370">
        <v>11377</v>
      </c>
    </row>
    <row r="371" spans="1:9" x14ac:dyDescent="0.3">
      <c r="A371">
        <v>370</v>
      </c>
      <c r="B371" t="s">
        <v>1615</v>
      </c>
      <c r="C371" t="s">
        <v>1616</v>
      </c>
      <c r="D371" t="s">
        <v>11</v>
      </c>
      <c r="E371" t="s">
        <v>1617</v>
      </c>
      <c r="F371" t="s">
        <v>1618</v>
      </c>
      <c r="G371" t="s">
        <v>596</v>
      </c>
      <c r="H371" t="s">
        <v>15</v>
      </c>
      <c r="I371">
        <v>11414</v>
      </c>
    </row>
    <row r="372" spans="1:9" x14ac:dyDescent="0.3">
      <c r="A372">
        <v>371</v>
      </c>
      <c r="B372" t="s">
        <v>1619</v>
      </c>
      <c r="C372" t="s">
        <v>50</v>
      </c>
      <c r="D372" t="s">
        <v>11</v>
      </c>
      <c r="E372" t="s">
        <v>1620</v>
      </c>
      <c r="F372" t="s">
        <v>1621</v>
      </c>
      <c r="G372" t="s">
        <v>1622</v>
      </c>
      <c r="H372" t="s">
        <v>15</v>
      </c>
      <c r="I372">
        <v>11422</v>
      </c>
    </row>
    <row r="373" spans="1:9" x14ac:dyDescent="0.3">
      <c r="A373">
        <v>372</v>
      </c>
      <c r="B373" t="s">
        <v>1623</v>
      </c>
      <c r="C373" t="s">
        <v>1624</v>
      </c>
      <c r="D373" t="s">
        <v>11</v>
      </c>
      <c r="E373" t="s">
        <v>1625</v>
      </c>
      <c r="F373" t="s">
        <v>1626</v>
      </c>
      <c r="G373" t="s">
        <v>1627</v>
      </c>
      <c r="H373" t="s">
        <v>15</v>
      </c>
      <c r="I373">
        <v>12590</v>
      </c>
    </row>
    <row r="374" spans="1:9" x14ac:dyDescent="0.3">
      <c r="A374">
        <v>373</v>
      </c>
      <c r="B374" t="s">
        <v>1628</v>
      </c>
      <c r="C374" t="s">
        <v>1629</v>
      </c>
      <c r="D374" t="s">
        <v>11</v>
      </c>
      <c r="E374" t="s">
        <v>1630</v>
      </c>
      <c r="F374" t="s">
        <v>1631</v>
      </c>
      <c r="G374" t="s">
        <v>282</v>
      </c>
      <c r="H374" t="s">
        <v>15</v>
      </c>
      <c r="I374">
        <v>13501</v>
      </c>
    </row>
    <row r="375" spans="1:9" x14ac:dyDescent="0.3">
      <c r="A375">
        <v>374</v>
      </c>
      <c r="B375" t="s">
        <v>1632</v>
      </c>
      <c r="C375" t="s">
        <v>1633</v>
      </c>
      <c r="D375" t="s">
        <v>11</v>
      </c>
      <c r="E375" t="s">
        <v>1634</v>
      </c>
      <c r="F375" t="s">
        <v>1635</v>
      </c>
      <c r="G375" t="s">
        <v>267</v>
      </c>
      <c r="H375" t="s">
        <v>15</v>
      </c>
      <c r="I375">
        <v>11566</v>
      </c>
    </row>
    <row r="376" spans="1:9" x14ac:dyDescent="0.3">
      <c r="A376">
        <v>375</v>
      </c>
      <c r="B376" t="s">
        <v>431</v>
      </c>
      <c r="C376" t="s">
        <v>1629</v>
      </c>
      <c r="D376" t="s">
        <v>11</v>
      </c>
      <c r="E376" t="s">
        <v>1636</v>
      </c>
      <c r="F376" t="s">
        <v>1637</v>
      </c>
      <c r="G376" t="s">
        <v>31</v>
      </c>
      <c r="H376" t="s">
        <v>15</v>
      </c>
      <c r="I376">
        <v>11553</v>
      </c>
    </row>
    <row r="377" spans="1:9" x14ac:dyDescent="0.3">
      <c r="A377">
        <v>376</v>
      </c>
      <c r="B377" t="s">
        <v>1638</v>
      </c>
      <c r="C377" t="s">
        <v>1639</v>
      </c>
      <c r="D377" t="s">
        <v>11</v>
      </c>
      <c r="E377" t="s">
        <v>1640</v>
      </c>
      <c r="F377" t="s">
        <v>1641</v>
      </c>
      <c r="G377" t="s">
        <v>120</v>
      </c>
      <c r="H377" t="s">
        <v>80</v>
      </c>
      <c r="I377">
        <v>77904</v>
      </c>
    </row>
    <row r="378" spans="1:9" x14ac:dyDescent="0.3">
      <c r="A378">
        <v>377</v>
      </c>
      <c r="B378" t="s">
        <v>861</v>
      </c>
      <c r="C378" t="s">
        <v>287</v>
      </c>
      <c r="D378" t="s">
        <v>11</v>
      </c>
      <c r="E378" t="s">
        <v>1642</v>
      </c>
      <c r="F378" t="s">
        <v>1643</v>
      </c>
      <c r="G378" t="s">
        <v>695</v>
      </c>
      <c r="H378" t="s">
        <v>15</v>
      </c>
      <c r="I378">
        <v>10573</v>
      </c>
    </row>
    <row r="379" spans="1:9" x14ac:dyDescent="0.3">
      <c r="A379">
        <v>378</v>
      </c>
      <c r="B379" t="s">
        <v>1644</v>
      </c>
      <c r="C379" t="s">
        <v>1645</v>
      </c>
      <c r="D379" t="s">
        <v>11</v>
      </c>
      <c r="E379" t="s">
        <v>1646</v>
      </c>
      <c r="F379" t="s">
        <v>1647</v>
      </c>
      <c r="G379" t="s">
        <v>1505</v>
      </c>
      <c r="H379" t="s">
        <v>15</v>
      </c>
      <c r="I379">
        <v>10550</v>
      </c>
    </row>
    <row r="380" spans="1:9" x14ac:dyDescent="0.3">
      <c r="A380">
        <v>379</v>
      </c>
      <c r="B380" t="s">
        <v>1648</v>
      </c>
      <c r="C380" t="s">
        <v>1649</v>
      </c>
      <c r="D380" t="s">
        <v>11</v>
      </c>
      <c r="E380" t="s">
        <v>1650</v>
      </c>
      <c r="F380" t="s">
        <v>1651</v>
      </c>
      <c r="G380" t="s">
        <v>31</v>
      </c>
      <c r="H380" t="s">
        <v>15</v>
      </c>
      <c r="I380">
        <v>11553</v>
      </c>
    </row>
    <row r="381" spans="1:9" x14ac:dyDescent="0.3">
      <c r="A381">
        <v>380</v>
      </c>
      <c r="B381" t="s">
        <v>1652</v>
      </c>
      <c r="C381" t="s">
        <v>559</v>
      </c>
      <c r="D381" t="s">
        <v>11</v>
      </c>
      <c r="E381" t="s">
        <v>1653</v>
      </c>
      <c r="F381" t="s">
        <v>1654</v>
      </c>
      <c r="G381" t="s">
        <v>975</v>
      </c>
      <c r="H381" t="s">
        <v>15</v>
      </c>
      <c r="I381">
        <v>11784</v>
      </c>
    </row>
    <row r="382" spans="1:9" x14ac:dyDescent="0.3">
      <c r="A382">
        <v>381</v>
      </c>
      <c r="B382" t="s">
        <v>1655</v>
      </c>
      <c r="C382" t="s">
        <v>1447</v>
      </c>
      <c r="D382" t="s">
        <v>11</v>
      </c>
      <c r="E382" t="s">
        <v>1656</v>
      </c>
      <c r="F382" t="s">
        <v>1657</v>
      </c>
      <c r="G382" t="s">
        <v>295</v>
      </c>
      <c r="H382" t="s">
        <v>15</v>
      </c>
      <c r="I382">
        <v>10451</v>
      </c>
    </row>
    <row r="383" spans="1:9" x14ac:dyDescent="0.3">
      <c r="A383">
        <v>382</v>
      </c>
      <c r="B383" t="s">
        <v>1658</v>
      </c>
      <c r="C383" t="s">
        <v>864</v>
      </c>
      <c r="D383" t="s">
        <v>11</v>
      </c>
      <c r="E383" t="s">
        <v>1659</v>
      </c>
      <c r="F383" t="s">
        <v>1660</v>
      </c>
      <c r="G383" t="s">
        <v>596</v>
      </c>
      <c r="H383" t="s">
        <v>15</v>
      </c>
      <c r="I383">
        <v>11414</v>
      </c>
    </row>
    <row r="384" spans="1:9" x14ac:dyDescent="0.3">
      <c r="A384">
        <v>383</v>
      </c>
      <c r="B384" t="s">
        <v>1661</v>
      </c>
      <c r="C384" t="s">
        <v>1662</v>
      </c>
      <c r="D384" t="s">
        <v>11</v>
      </c>
      <c r="E384" t="s">
        <v>1663</v>
      </c>
      <c r="F384" t="s">
        <v>1664</v>
      </c>
      <c r="G384" t="s">
        <v>1000</v>
      </c>
      <c r="H384" t="s">
        <v>15</v>
      </c>
      <c r="I384">
        <v>11357</v>
      </c>
    </row>
    <row r="385" spans="1:9" x14ac:dyDescent="0.3">
      <c r="A385">
        <v>384</v>
      </c>
      <c r="B385" t="s">
        <v>1665</v>
      </c>
      <c r="C385" t="s">
        <v>1666</v>
      </c>
      <c r="D385" t="s">
        <v>11</v>
      </c>
      <c r="E385" t="s">
        <v>1667</v>
      </c>
      <c r="F385" t="s">
        <v>1668</v>
      </c>
      <c r="G385" t="s">
        <v>1669</v>
      </c>
      <c r="H385" t="s">
        <v>15</v>
      </c>
      <c r="I385">
        <v>11354</v>
      </c>
    </row>
    <row r="386" spans="1:9" x14ac:dyDescent="0.3">
      <c r="A386">
        <v>385</v>
      </c>
      <c r="B386" t="s">
        <v>1670</v>
      </c>
      <c r="C386" t="s">
        <v>1671</v>
      </c>
      <c r="D386" t="s">
        <v>11</v>
      </c>
      <c r="E386" t="s">
        <v>1672</v>
      </c>
      <c r="F386" t="s">
        <v>1673</v>
      </c>
      <c r="G386" t="s">
        <v>277</v>
      </c>
      <c r="H386" t="s">
        <v>21</v>
      </c>
      <c r="I386">
        <v>91740</v>
      </c>
    </row>
    <row r="387" spans="1:9" x14ac:dyDescent="0.3">
      <c r="A387">
        <v>386</v>
      </c>
      <c r="B387" t="s">
        <v>1674</v>
      </c>
      <c r="C387" t="s">
        <v>1675</v>
      </c>
      <c r="D387" t="s">
        <v>11</v>
      </c>
      <c r="E387" t="s">
        <v>1676</v>
      </c>
      <c r="F387" t="s">
        <v>1677</v>
      </c>
      <c r="G387" t="s">
        <v>444</v>
      </c>
      <c r="H387" t="s">
        <v>21</v>
      </c>
      <c r="I387">
        <v>91784</v>
      </c>
    </row>
    <row r="388" spans="1:9" x14ac:dyDescent="0.3">
      <c r="A388">
        <v>387</v>
      </c>
      <c r="B388" t="s">
        <v>1678</v>
      </c>
      <c r="C388" t="s">
        <v>1679</v>
      </c>
      <c r="D388" t="s">
        <v>11</v>
      </c>
      <c r="E388" t="s">
        <v>1680</v>
      </c>
      <c r="F388" t="s">
        <v>1681</v>
      </c>
      <c r="G388" t="s">
        <v>524</v>
      </c>
      <c r="H388" t="s">
        <v>15</v>
      </c>
      <c r="I388">
        <v>11373</v>
      </c>
    </row>
    <row r="389" spans="1:9" x14ac:dyDescent="0.3">
      <c r="A389">
        <v>388</v>
      </c>
      <c r="B389" t="s">
        <v>111</v>
      </c>
      <c r="C389" t="s">
        <v>608</v>
      </c>
      <c r="D389" t="s">
        <v>11</v>
      </c>
      <c r="E389" t="s">
        <v>1682</v>
      </c>
      <c r="F389" t="s">
        <v>1683</v>
      </c>
      <c r="G389" t="s">
        <v>1000</v>
      </c>
      <c r="H389" t="s">
        <v>15</v>
      </c>
      <c r="I389">
        <v>11357</v>
      </c>
    </row>
    <row r="390" spans="1:9" x14ac:dyDescent="0.3">
      <c r="A390">
        <v>389</v>
      </c>
      <c r="B390" t="s">
        <v>1684</v>
      </c>
      <c r="C390" t="s">
        <v>1685</v>
      </c>
      <c r="D390" t="s">
        <v>11</v>
      </c>
      <c r="E390" t="s">
        <v>1686</v>
      </c>
      <c r="F390" t="s">
        <v>1687</v>
      </c>
      <c r="G390" t="s">
        <v>314</v>
      </c>
      <c r="H390" t="s">
        <v>80</v>
      </c>
      <c r="I390">
        <v>76901</v>
      </c>
    </row>
    <row r="391" spans="1:9" x14ac:dyDescent="0.3">
      <c r="A391">
        <v>390</v>
      </c>
      <c r="B391" t="s">
        <v>334</v>
      </c>
      <c r="C391" t="s">
        <v>1688</v>
      </c>
      <c r="D391" t="s">
        <v>11</v>
      </c>
      <c r="E391" t="s">
        <v>1689</v>
      </c>
      <c r="F391" t="s">
        <v>1690</v>
      </c>
      <c r="G391" t="s">
        <v>1253</v>
      </c>
      <c r="H391" t="s">
        <v>15</v>
      </c>
      <c r="I391">
        <v>11779</v>
      </c>
    </row>
    <row r="392" spans="1:9" x14ac:dyDescent="0.3">
      <c r="A392">
        <v>391</v>
      </c>
      <c r="B392" t="s">
        <v>1691</v>
      </c>
      <c r="C392" t="s">
        <v>1692</v>
      </c>
      <c r="D392" t="s">
        <v>11</v>
      </c>
      <c r="E392" t="s">
        <v>1693</v>
      </c>
      <c r="F392" t="s">
        <v>1694</v>
      </c>
      <c r="G392" t="s">
        <v>1695</v>
      </c>
      <c r="H392" t="s">
        <v>21</v>
      </c>
      <c r="I392">
        <v>93635</v>
      </c>
    </row>
    <row r="393" spans="1:9" x14ac:dyDescent="0.3">
      <c r="A393">
        <v>392</v>
      </c>
      <c r="B393" t="s">
        <v>1696</v>
      </c>
      <c r="C393" t="s">
        <v>1697</v>
      </c>
      <c r="D393" t="s">
        <v>11</v>
      </c>
      <c r="E393" t="s">
        <v>1698</v>
      </c>
      <c r="F393" t="s">
        <v>1699</v>
      </c>
      <c r="G393" t="s">
        <v>524</v>
      </c>
      <c r="H393" t="s">
        <v>15</v>
      </c>
      <c r="I393">
        <v>11373</v>
      </c>
    </row>
    <row r="394" spans="1:9" x14ac:dyDescent="0.3">
      <c r="A394">
        <v>393</v>
      </c>
      <c r="B394" t="s">
        <v>1700</v>
      </c>
      <c r="C394" t="s">
        <v>1701</v>
      </c>
      <c r="D394" t="s">
        <v>11</v>
      </c>
      <c r="E394" t="s">
        <v>1702</v>
      </c>
      <c r="F394" t="s">
        <v>1703</v>
      </c>
      <c r="G394" t="s">
        <v>444</v>
      </c>
      <c r="H394" t="s">
        <v>21</v>
      </c>
      <c r="I394">
        <v>91784</v>
      </c>
    </row>
    <row r="395" spans="1:9" x14ac:dyDescent="0.3">
      <c r="A395">
        <v>394</v>
      </c>
      <c r="B395" t="s">
        <v>1704</v>
      </c>
      <c r="C395" t="s">
        <v>1705</v>
      </c>
      <c r="D395" t="s">
        <v>11</v>
      </c>
      <c r="E395" t="s">
        <v>1706</v>
      </c>
      <c r="F395" t="s">
        <v>1707</v>
      </c>
      <c r="G395" t="s">
        <v>366</v>
      </c>
      <c r="H395" t="s">
        <v>21</v>
      </c>
      <c r="I395">
        <v>91733</v>
      </c>
    </row>
    <row r="396" spans="1:9" x14ac:dyDescent="0.3">
      <c r="A396">
        <v>395</v>
      </c>
      <c r="B396" t="s">
        <v>1708</v>
      </c>
      <c r="C396" t="s">
        <v>1709</v>
      </c>
      <c r="D396" t="s">
        <v>11</v>
      </c>
      <c r="E396" t="s">
        <v>1710</v>
      </c>
      <c r="F396" t="s">
        <v>1711</v>
      </c>
      <c r="G396" t="s">
        <v>195</v>
      </c>
      <c r="H396" t="s">
        <v>15</v>
      </c>
      <c r="I396">
        <v>13090</v>
      </c>
    </row>
    <row r="397" spans="1:9" x14ac:dyDescent="0.3">
      <c r="A397">
        <v>396</v>
      </c>
      <c r="B397" t="s">
        <v>1712</v>
      </c>
      <c r="C397" t="s">
        <v>1713</v>
      </c>
      <c r="D397" t="s">
        <v>11</v>
      </c>
      <c r="E397" t="s">
        <v>1714</v>
      </c>
      <c r="F397" t="s">
        <v>1715</v>
      </c>
      <c r="G397" t="s">
        <v>1129</v>
      </c>
      <c r="H397" t="s">
        <v>15</v>
      </c>
      <c r="I397">
        <v>14304</v>
      </c>
    </row>
    <row r="398" spans="1:9" x14ac:dyDescent="0.3">
      <c r="A398">
        <v>397</v>
      </c>
      <c r="B398" t="s">
        <v>1716</v>
      </c>
      <c r="C398" t="s">
        <v>1717</v>
      </c>
      <c r="D398" t="s">
        <v>11</v>
      </c>
      <c r="E398" t="s">
        <v>1718</v>
      </c>
      <c r="F398" t="s">
        <v>1719</v>
      </c>
      <c r="G398" t="s">
        <v>449</v>
      </c>
      <c r="H398" t="s">
        <v>15</v>
      </c>
      <c r="I398">
        <v>11010</v>
      </c>
    </row>
    <row r="399" spans="1:9" x14ac:dyDescent="0.3">
      <c r="A399">
        <v>398</v>
      </c>
      <c r="B399" t="s">
        <v>1720</v>
      </c>
      <c r="C399" t="s">
        <v>1721</v>
      </c>
      <c r="D399" t="s">
        <v>11</v>
      </c>
      <c r="E399" t="s">
        <v>1722</v>
      </c>
      <c r="F399" t="s">
        <v>1723</v>
      </c>
      <c r="G399" t="s">
        <v>151</v>
      </c>
      <c r="H399" t="s">
        <v>15</v>
      </c>
      <c r="I399">
        <v>11104</v>
      </c>
    </row>
    <row r="400" spans="1:9" x14ac:dyDescent="0.3">
      <c r="A400">
        <v>399</v>
      </c>
      <c r="B400" t="s">
        <v>1724</v>
      </c>
      <c r="C400" t="s">
        <v>828</v>
      </c>
      <c r="D400" t="s">
        <v>11</v>
      </c>
      <c r="E400" t="s">
        <v>1725</v>
      </c>
      <c r="F400" t="s">
        <v>1726</v>
      </c>
      <c r="G400" t="s">
        <v>1227</v>
      </c>
      <c r="H400" t="s">
        <v>15</v>
      </c>
      <c r="I400">
        <v>12401</v>
      </c>
    </row>
    <row r="401" spans="1:9" x14ac:dyDescent="0.3">
      <c r="A401">
        <v>400</v>
      </c>
      <c r="B401" t="s">
        <v>1727</v>
      </c>
      <c r="C401" t="s">
        <v>1728</v>
      </c>
      <c r="D401" t="s">
        <v>11</v>
      </c>
      <c r="E401" t="s">
        <v>1729</v>
      </c>
      <c r="F401" t="s">
        <v>1730</v>
      </c>
      <c r="G401" t="s">
        <v>1731</v>
      </c>
      <c r="H401" t="s">
        <v>15</v>
      </c>
      <c r="I401">
        <v>14043</v>
      </c>
    </row>
    <row r="402" spans="1:9" x14ac:dyDescent="0.3">
      <c r="A402">
        <v>401</v>
      </c>
      <c r="B402" t="s">
        <v>1732</v>
      </c>
      <c r="C402" t="s">
        <v>1524</v>
      </c>
      <c r="D402" t="s">
        <v>11</v>
      </c>
      <c r="E402" t="s">
        <v>1733</v>
      </c>
      <c r="F402" t="s">
        <v>1734</v>
      </c>
      <c r="G402" t="s">
        <v>79</v>
      </c>
      <c r="H402" t="s">
        <v>80</v>
      </c>
      <c r="I402">
        <v>75604</v>
      </c>
    </row>
    <row r="403" spans="1:9" x14ac:dyDescent="0.3">
      <c r="A403">
        <v>402</v>
      </c>
      <c r="B403" t="s">
        <v>1735</v>
      </c>
      <c r="C403" t="s">
        <v>865</v>
      </c>
      <c r="D403" t="s">
        <v>11</v>
      </c>
      <c r="E403" t="s">
        <v>1736</v>
      </c>
      <c r="F403" t="s">
        <v>1737</v>
      </c>
      <c r="G403" t="s">
        <v>579</v>
      </c>
      <c r="H403" t="s">
        <v>15</v>
      </c>
      <c r="I403">
        <v>14534</v>
      </c>
    </row>
    <row r="404" spans="1:9" x14ac:dyDescent="0.3">
      <c r="A404">
        <v>403</v>
      </c>
      <c r="B404" t="s">
        <v>1738</v>
      </c>
      <c r="C404" t="s">
        <v>1739</v>
      </c>
      <c r="D404" t="s">
        <v>11</v>
      </c>
      <c r="E404" t="s">
        <v>1740</v>
      </c>
      <c r="F404" t="s">
        <v>1741</v>
      </c>
      <c r="G404" t="s">
        <v>1103</v>
      </c>
      <c r="H404" t="s">
        <v>21</v>
      </c>
      <c r="I404">
        <v>91387</v>
      </c>
    </row>
    <row r="405" spans="1:9" x14ac:dyDescent="0.3">
      <c r="A405">
        <v>404</v>
      </c>
      <c r="B405" t="s">
        <v>1742</v>
      </c>
      <c r="C405" t="s">
        <v>847</v>
      </c>
      <c r="D405" t="s">
        <v>11</v>
      </c>
      <c r="E405" t="s">
        <v>1743</v>
      </c>
      <c r="F405" t="s">
        <v>1744</v>
      </c>
      <c r="G405" t="s">
        <v>938</v>
      </c>
      <c r="H405" t="s">
        <v>15</v>
      </c>
      <c r="I405">
        <v>12020</v>
      </c>
    </row>
    <row r="406" spans="1:9" x14ac:dyDescent="0.3">
      <c r="A406">
        <v>405</v>
      </c>
      <c r="B406" t="s">
        <v>1745</v>
      </c>
      <c r="C406" t="s">
        <v>742</v>
      </c>
      <c r="D406" t="s">
        <v>11</v>
      </c>
      <c r="E406" t="s">
        <v>1746</v>
      </c>
      <c r="F406" t="s">
        <v>1747</v>
      </c>
      <c r="G406" t="s">
        <v>497</v>
      </c>
      <c r="H406" t="s">
        <v>15</v>
      </c>
      <c r="I406">
        <v>11725</v>
      </c>
    </row>
    <row r="407" spans="1:9" x14ac:dyDescent="0.3">
      <c r="A407">
        <v>406</v>
      </c>
      <c r="B407" t="s">
        <v>1735</v>
      </c>
      <c r="C407" t="s">
        <v>917</v>
      </c>
      <c r="D407" t="s">
        <v>11</v>
      </c>
      <c r="E407" t="s">
        <v>1748</v>
      </c>
      <c r="F407" t="s">
        <v>1749</v>
      </c>
      <c r="G407" t="s">
        <v>1750</v>
      </c>
      <c r="H407" t="s">
        <v>15</v>
      </c>
      <c r="I407">
        <v>11967</v>
      </c>
    </row>
    <row r="408" spans="1:9" x14ac:dyDescent="0.3">
      <c r="A408">
        <v>407</v>
      </c>
      <c r="B408" t="s">
        <v>1751</v>
      </c>
      <c r="C408" t="s">
        <v>1752</v>
      </c>
      <c r="D408" t="s">
        <v>11</v>
      </c>
      <c r="E408" t="s">
        <v>1753</v>
      </c>
      <c r="F408" t="s">
        <v>1754</v>
      </c>
      <c r="G408" t="s">
        <v>1121</v>
      </c>
      <c r="H408" t="s">
        <v>21</v>
      </c>
      <c r="I408">
        <v>94806</v>
      </c>
    </row>
    <row r="409" spans="1:9" x14ac:dyDescent="0.3">
      <c r="A409">
        <v>408</v>
      </c>
      <c r="B409" t="s">
        <v>1755</v>
      </c>
      <c r="C409" t="s">
        <v>1756</v>
      </c>
      <c r="D409" t="s">
        <v>11</v>
      </c>
      <c r="E409" t="s">
        <v>1757</v>
      </c>
      <c r="F409" t="s">
        <v>1758</v>
      </c>
      <c r="G409" t="s">
        <v>300</v>
      </c>
      <c r="H409" t="s">
        <v>15</v>
      </c>
      <c r="I409">
        <v>11722</v>
      </c>
    </row>
    <row r="410" spans="1:9" x14ac:dyDescent="0.3">
      <c r="A410">
        <v>409</v>
      </c>
      <c r="B410" t="s">
        <v>1759</v>
      </c>
      <c r="C410" t="s">
        <v>940</v>
      </c>
      <c r="D410" t="s">
        <v>11</v>
      </c>
      <c r="E410" t="s">
        <v>1760</v>
      </c>
      <c r="F410" t="s">
        <v>1761</v>
      </c>
      <c r="G410" t="s">
        <v>1762</v>
      </c>
      <c r="H410" t="s">
        <v>15</v>
      </c>
      <c r="I410">
        <v>10512</v>
      </c>
    </row>
    <row r="411" spans="1:9" x14ac:dyDescent="0.3">
      <c r="A411">
        <v>410</v>
      </c>
      <c r="B411" t="s">
        <v>1763</v>
      </c>
      <c r="C411" t="s">
        <v>1431</v>
      </c>
      <c r="D411" t="s">
        <v>11</v>
      </c>
      <c r="E411" t="s">
        <v>1764</v>
      </c>
      <c r="F411" t="s">
        <v>1765</v>
      </c>
      <c r="G411" t="s">
        <v>1222</v>
      </c>
      <c r="H411" t="s">
        <v>15</v>
      </c>
      <c r="I411">
        <v>11710</v>
      </c>
    </row>
    <row r="412" spans="1:9" x14ac:dyDescent="0.3">
      <c r="A412">
        <v>411</v>
      </c>
      <c r="B412" t="s">
        <v>1766</v>
      </c>
      <c r="C412" t="s">
        <v>1767</v>
      </c>
      <c r="D412" t="s">
        <v>1768</v>
      </c>
      <c r="E412" t="s">
        <v>1769</v>
      </c>
      <c r="F412" t="s">
        <v>1770</v>
      </c>
      <c r="G412" t="s">
        <v>96</v>
      </c>
      <c r="H412" t="s">
        <v>15</v>
      </c>
      <c r="I412">
        <v>10002</v>
      </c>
    </row>
    <row r="413" spans="1:9" x14ac:dyDescent="0.3">
      <c r="A413">
        <v>412</v>
      </c>
      <c r="B413" t="s">
        <v>1771</v>
      </c>
      <c r="C413" t="s">
        <v>1772</v>
      </c>
      <c r="D413" t="s">
        <v>11</v>
      </c>
      <c r="E413" t="s">
        <v>1773</v>
      </c>
      <c r="F413" t="s">
        <v>1774</v>
      </c>
      <c r="G413" t="s">
        <v>151</v>
      </c>
      <c r="H413" t="s">
        <v>15</v>
      </c>
      <c r="I413">
        <v>11104</v>
      </c>
    </row>
    <row r="414" spans="1:9" x14ac:dyDescent="0.3">
      <c r="A414">
        <v>413</v>
      </c>
      <c r="B414" t="s">
        <v>1775</v>
      </c>
      <c r="C414" t="s">
        <v>1776</v>
      </c>
      <c r="D414" t="s">
        <v>11</v>
      </c>
      <c r="E414" t="s">
        <v>1777</v>
      </c>
      <c r="F414" t="s">
        <v>1778</v>
      </c>
      <c r="G414" t="s">
        <v>55</v>
      </c>
      <c r="H414" t="s">
        <v>15</v>
      </c>
      <c r="I414">
        <v>11510</v>
      </c>
    </row>
    <row r="415" spans="1:9" x14ac:dyDescent="0.3">
      <c r="A415">
        <v>414</v>
      </c>
      <c r="B415" t="s">
        <v>1779</v>
      </c>
      <c r="C415" t="s">
        <v>1780</v>
      </c>
      <c r="D415" t="s">
        <v>11</v>
      </c>
      <c r="E415" t="s">
        <v>1781</v>
      </c>
      <c r="F415" t="s">
        <v>1782</v>
      </c>
      <c r="G415" t="s">
        <v>1597</v>
      </c>
      <c r="H415" t="s">
        <v>15</v>
      </c>
      <c r="I415">
        <v>14850</v>
      </c>
    </row>
    <row r="416" spans="1:9" x14ac:dyDescent="0.3">
      <c r="A416">
        <v>415</v>
      </c>
      <c r="B416" t="s">
        <v>1783</v>
      </c>
      <c r="C416" t="s">
        <v>1784</v>
      </c>
      <c r="D416" t="s">
        <v>11</v>
      </c>
      <c r="E416" t="s">
        <v>1785</v>
      </c>
      <c r="F416" t="s">
        <v>1786</v>
      </c>
      <c r="G416" t="s">
        <v>1787</v>
      </c>
      <c r="H416" t="s">
        <v>80</v>
      </c>
      <c r="I416">
        <v>78552</v>
      </c>
    </row>
    <row r="417" spans="1:9" x14ac:dyDescent="0.3">
      <c r="A417">
        <v>416</v>
      </c>
      <c r="B417" t="s">
        <v>1788</v>
      </c>
      <c r="C417" t="s">
        <v>1789</v>
      </c>
      <c r="D417" t="s">
        <v>1790</v>
      </c>
      <c r="E417" t="s">
        <v>1791</v>
      </c>
      <c r="F417" t="s">
        <v>1792</v>
      </c>
      <c r="G417" t="s">
        <v>74</v>
      </c>
      <c r="H417" t="s">
        <v>15</v>
      </c>
      <c r="I417">
        <v>11550</v>
      </c>
    </row>
    <row r="418" spans="1:9" x14ac:dyDescent="0.3">
      <c r="A418">
        <v>417</v>
      </c>
      <c r="B418" t="s">
        <v>1793</v>
      </c>
      <c r="C418" t="s">
        <v>1794</v>
      </c>
      <c r="D418" t="s">
        <v>11</v>
      </c>
      <c r="E418" t="s">
        <v>1795</v>
      </c>
      <c r="F418" t="s">
        <v>1796</v>
      </c>
      <c r="G418" t="s">
        <v>425</v>
      </c>
      <c r="H418" t="s">
        <v>15</v>
      </c>
      <c r="I418">
        <v>11746</v>
      </c>
    </row>
    <row r="419" spans="1:9" x14ac:dyDescent="0.3">
      <c r="A419">
        <v>418</v>
      </c>
      <c r="B419" t="s">
        <v>1797</v>
      </c>
      <c r="C419" t="s">
        <v>864</v>
      </c>
      <c r="D419" t="s">
        <v>1798</v>
      </c>
      <c r="E419" t="s">
        <v>1799</v>
      </c>
      <c r="F419" t="s">
        <v>1800</v>
      </c>
      <c r="G419" t="s">
        <v>810</v>
      </c>
      <c r="H419" t="s">
        <v>21</v>
      </c>
      <c r="I419">
        <v>93035</v>
      </c>
    </row>
    <row r="420" spans="1:9" x14ac:dyDescent="0.3">
      <c r="A420">
        <v>419</v>
      </c>
      <c r="B420" t="s">
        <v>1801</v>
      </c>
      <c r="C420" t="s">
        <v>1802</v>
      </c>
      <c r="D420" t="s">
        <v>11</v>
      </c>
      <c r="E420" t="s">
        <v>1803</v>
      </c>
      <c r="F420" t="s">
        <v>1804</v>
      </c>
      <c r="G420" t="s">
        <v>1281</v>
      </c>
      <c r="H420" t="s">
        <v>15</v>
      </c>
      <c r="I420">
        <v>12601</v>
      </c>
    </row>
    <row r="421" spans="1:9" x14ac:dyDescent="0.3">
      <c r="A421">
        <v>420</v>
      </c>
      <c r="B421" t="s">
        <v>1805</v>
      </c>
      <c r="C421" t="s">
        <v>1806</v>
      </c>
      <c r="D421" t="s">
        <v>11</v>
      </c>
      <c r="E421" t="s">
        <v>1807</v>
      </c>
      <c r="F421" t="s">
        <v>1808</v>
      </c>
      <c r="G421" t="s">
        <v>267</v>
      </c>
      <c r="H421" t="s">
        <v>15</v>
      </c>
      <c r="I421">
        <v>11566</v>
      </c>
    </row>
    <row r="422" spans="1:9" x14ac:dyDescent="0.3">
      <c r="A422">
        <v>421</v>
      </c>
      <c r="B422" t="s">
        <v>1809</v>
      </c>
      <c r="C422" t="s">
        <v>1070</v>
      </c>
      <c r="D422" t="s">
        <v>11</v>
      </c>
      <c r="E422" t="s">
        <v>1810</v>
      </c>
      <c r="F422" t="s">
        <v>1811</v>
      </c>
      <c r="G422" t="s">
        <v>63</v>
      </c>
      <c r="H422" t="s">
        <v>15</v>
      </c>
      <c r="I422">
        <v>10950</v>
      </c>
    </row>
    <row r="423" spans="1:9" x14ac:dyDescent="0.3">
      <c r="A423">
        <v>422</v>
      </c>
      <c r="B423" t="s">
        <v>1812</v>
      </c>
      <c r="C423" t="s">
        <v>1813</v>
      </c>
      <c r="D423" t="s">
        <v>11</v>
      </c>
      <c r="E423" t="s">
        <v>1814</v>
      </c>
      <c r="F423" t="s">
        <v>1815</v>
      </c>
      <c r="G423" t="s">
        <v>120</v>
      </c>
      <c r="H423" t="s">
        <v>80</v>
      </c>
      <c r="I423">
        <v>77904</v>
      </c>
    </row>
    <row r="424" spans="1:9" x14ac:dyDescent="0.3">
      <c r="A424">
        <v>423</v>
      </c>
      <c r="B424" t="s">
        <v>1816</v>
      </c>
      <c r="C424" t="s">
        <v>1573</v>
      </c>
      <c r="D424" t="s">
        <v>11</v>
      </c>
      <c r="E424" t="s">
        <v>1817</v>
      </c>
      <c r="F424" t="s">
        <v>1818</v>
      </c>
      <c r="G424" t="s">
        <v>1068</v>
      </c>
      <c r="H424" t="s">
        <v>15</v>
      </c>
      <c r="I424">
        <v>11729</v>
      </c>
    </row>
    <row r="425" spans="1:9" x14ac:dyDescent="0.3">
      <c r="A425">
        <v>424</v>
      </c>
      <c r="B425" t="s">
        <v>1819</v>
      </c>
      <c r="C425" t="s">
        <v>1820</v>
      </c>
      <c r="D425" t="s">
        <v>11</v>
      </c>
      <c r="E425" t="s">
        <v>1821</v>
      </c>
      <c r="F425" t="s">
        <v>1822</v>
      </c>
      <c r="G425" t="s">
        <v>282</v>
      </c>
      <c r="H425" t="s">
        <v>15</v>
      </c>
      <c r="I425">
        <v>13501</v>
      </c>
    </row>
    <row r="426" spans="1:9" x14ac:dyDescent="0.3">
      <c r="A426">
        <v>425</v>
      </c>
      <c r="B426" t="s">
        <v>1823</v>
      </c>
      <c r="C426" t="s">
        <v>408</v>
      </c>
      <c r="D426" t="s">
        <v>11</v>
      </c>
      <c r="E426" t="s">
        <v>1824</v>
      </c>
      <c r="F426" t="s">
        <v>1825</v>
      </c>
      <c r="G426" t="s">
        <v>1505</v>
      </c>
      <c r="H426" t="s">
        <v>15</v>
      </c>
      <c r="I426">
        <v>10550</v>
      </c>
    </row>
    <row r="427" spans="1:9" x14ac:dyDescent="0.3">
      <c r="A427">
        <v>426</v>
      </c>
      <c r="B427" t="s">
        <v>1826</v>
      </c>
      <c r="C427" t="s">
        <v>1671</v>
      </c>
      <c r="D427" t="s">
        <v>11</v>
      </c>
      <c r="E427" t="s">
        <v>1827</v>
      </c>
      <c r="F427" t="s">
        <v>1828</v>
      </c>
      <c r="G427" t="s">
        <v>1576</v>
      </c>
      <c r="H427" t="s">
        <v>21</v>
      </c>
      <c r="I427">
        <v>91768</v>
      </c>
    </row>
    <row r="428" spans="1:9" x14ac:dyDescent="0.3">
      <c r="A428">
        <v>427</v>
      </c>
      <c r="B428" t="s">
        <v>1829</v>
      </c>
      <c r="C428" t="s">
        <v>1830</v>
      </c>
      <c r="D428" t="s">
        <v>11</v>
      </c>
      <c r="E428" t="s">
        <v>1831</v>
      </c>
      <c r="F428" t="s">
        <v>1832</v>
      </c>
      <c r="G428" t="s">
        <v>338</v>
      </c>
      <c r="H428" t="s">
        <v>80</v>
      </c>
      <c r="I428">
        <v>75043</v>
      </c>
    </row>
    <row r="429" spans="1:9" x14ac:dyDescent="0.3">
      <c r="A429">
        <v>428</v>
      </c>
      <c r="B429" t="s">
        <v>1833</v>
      </c>
      <c r="C429" t="s">
        <v>1834</v>
      </c>
      <c r="D429" t="s">
        <v>11</v>
      </c>
      <c r="E429" t="s">
        <v>1835</v>
      </c>
      <c r="F429" t="s">
        <v>1836</v>
      </c>
      <c r="G429" t="s">
        <v>1837</v>
      </c>
      <c r="H429" t="s">
        <v>15</v>
      </c>
      <c r="I429">
        <v>10801</v>
      </c>
    </row>
    <row r="430" spans="1:9" x14ac:dyDescent="0.3">
      <c r="A430">
        <v>429</v>
      </c>
      <c r="B430" t="s">
        <v>1838</v>
      </c>
      <c r="C430" t="s">
        <v>359</v>
      </c>
      <c r="D430" t="s">
        <v>11</v>
      </c>
      <c r="E430" t="s">
        <v>1839</v>
      </c>
      <c r="F430" t="s">
        <v>1840</v>
      </c>
      <c r="G430" t="s">
        <v>1585</v>
      </c>
      <c r="H430" t="s">
        <v>15</v>
      </c>
      <c r="I430">
        <v>11580</v>
      </c>
    </row>
    <row r="431" spans="1:9" x14ac:dyDescent="0.3">
      <c r="A431">
        <v>430</v>
      </c>
      <c r="B431" t="s">
        <v>1841</v>
      </c>
      <c r="C431" t="s">
        <v>1842</v>
      </c>
      <c r="D431" t="s">
        <v>11</v>
      </c>
      <c r="E431" t="s">
        <v>1843</v>
      </c>
      <c r="F431" t="s">
        <v>1844</v>
      </c>
      <c r="G431" t="s">
        <v>1165</v>
      </c>
      <c r="H431" t="s">
        <v>15</v>
      </c>
      <c r="I431">
        <v>11762</v>
      </c>
    </row>
    <row r="432" spans="1:9" x14ac:dyDescent="0.3">
      <c r="A432">
        <v>431</v>
      </c>
      <c r="B432" t="s">
        <v>1845</v>
      </c>
      <c r="C432" t="s">
        <v>1846</v>
      </c>
      <c r="D432" t="s">
        <v>11</v>
      </c>
      <c r="E432" t="s">
        <v>1847</v>
      </c>
      <c r="F432" t="s">
        <v>1848</v>
      </c>
      <c r="G432" t="s">
        <v>1222</v>
      </c>
      <c r="H432" t="s">
        <v>15</v>
      </c>
      <c r="I432">
        <v>11710</v>
      </c>
    </row>
    <row r="433" spans="1:9" x14ac:dyDescent="0.3">
      <c r="A433">
        <v>432</v>
      </c>
      <c r="B433" t="s">
        <v>1849</v>
      </c>
      <c r="C433" t="s">
        <v>1850</v>
      </c>
      <c r="D433" t="s">
        <v>11</v>
      </c>
      <c r="E433" t="s">
        <v>1851</v>
      </c>
      <c r="F433" t="s">
        <v>1852</v>
      </c>
      <c r="G433" t="s">
        <v>1085</v>
      </c>
      <c r="H433" t="s">
        <v>15</v>
      </c>
      <c r="I433">
        <v>11554</v>
      </c>
    </row>
    <row r="434" spans="1:9" x14ac:dyDescent="0.3">
      <c r="A434">
        <v>433</v>
      </c>
      <c r="B434" t="s">
        <v>1853</v>
      </c>
      <c r="C434" t="s">
        <v>1854</v>
      </c>
      <c r="D434" t="s">
        <v>11</v>
      </c>
      <c r="E434" t="s">
        <v>1855</v>
      </c>
      <c r="F434" t="s">
        <v>1856</v>
      </c>
      <c r="G434" t="s">
        <v>79</v>
      </c>
      <c r="H434" t="s">
        <v>80</v>
      </c>
      <c r="I434">
        <v>75604</v>
      </c>
    </row>
    <row r="435" spans="1:9" x14ac:dyDescent="0.3">
      <c r="A435">
        <v>434</v>
      </c>
      <c r="B435" t="s">
        <v>1857</v>
      </c>
      <c r="C435" t="s">
        <v>117</v>
      </c>
      <c r="D435" t="s">
        <v>11</v>
      </c>
      <c r="E435" t="s">
        <v>1858</v>
      </c>
      <c r="F435" t="s">
        <v>1859</v>
      </c>
      <c r="G435" t="s">
        <v>435</v>
      </c>
      <c r="H435" t="s">
        <v>21</v>
      </c>
      <c r="I435">
        <v>91010</v>
      </c>
    </row>
    <row r="436" spans="1:9" x14ac:dyDescent="0.3">
      <c r="A436">
        <v>435</v>
      </c>
      <c r="B436" t="s">
        <v>1860</v>
      </c>
      <c r="C436" t="s">
        <v>1861</v>
      </c>
      <c r="D436" t="s">
        <v>11</v>
      </c>
      <c r="E436" t="s">
        <v>1862</v>
      </c>
      <c r="F436" t="s">
        <v>1863</v>
      </c>
      <c r="G436" t="s">
        <v>519</v>
      </c>
      <c r="H436" t="s">
        <v>15</v>
      </c>
      <c r="I436">
        <v>11421</v>
      </c>
    </row>
    <row r="437" spans="1:9" x14ac:dyDescent="0.3">
      <c r="A437">
        <v>436</v>
      </c>
      <c r="B437" t="s">
        <v>1864</v>
      </c>
      <c r="C437" t="s">
        <v>1865</v>
      </c>
      <c r="D437" t="s">
        <v>11</v>
      </c>
      <c r="E437" t="s">
        <v>1866</v>
      </c>
      <c r="F437" t="s">
        <v>1867</v>
      </c>
      <c r="G437" t="s">
        <v>480</v>
      </c>
      <c r="H437" t="s">
        <v>15</v>
      </c>
      <c r="I437">
        <v>11361</v>
      </c>
    </row>
    <row r="438" spans="1:9" x14ac:dyDescent="0.3">
      <c r="A438">
        <v>437</v>
      </c>
      <c r="B438" t="s">
        <v>1435</v>
      </c>
      <c r="C438" t="s">
        <v>1306</v>
      </c>
      <c r="D438" t="s">
        <v>11</v>
      </c>
      <c r="E438" t="s">
        <v>1868</v>
      </c>
      <c r="F438" t="s">
        <v>1869</v>
      </c>
      <c r="G438" t="s">
        <v>14</v>
      </c>
      <c r="H438" t="s">
        <v>15</v>
      </c>
      <c r="I438">
        <v>14127</v>
      </c>
    </row>
    <row r="439" spans="1:9" x14ac:dyDescent="0.3">
      <c r="A439">
        <v>438</v>
      </c>
      <c r="B439" t="s">
        <v>1870</v>
      </c>
      <c r="C439" t="s">
        <v>1871</v>
      </c>
      <c r="D439" t="s">
        <v>11</v>
      </c>
      <c r="E439" t="s">
        <v>1872</v>
      </c>
      <c r="F439" t="s">
        <v>1873</v>
      </c>
      <c r="G439" t="s">
        <v>221</v>
      </c>
      <c r="H439" t="s">
        <v>15</v>
      </c>
      <c r="I439">
        <v>12804</v>
      </c>
    </row>
    <row r="440" spans="1:9" x14ac:dyDescent="0.3">
      <c r="A440">
        <v>439</v>
      </c>
      <c r="B440" t="s">
        <v>1874</v>
      </c>
      <c r="C440" t="s">
        <v>1559</v>
      </c>
      <c r="D440" t="s">
        <v>11</v>
      </c>
      <c r="E440" t="s">
        <v>1875</v>
      </c>
      <c r="F440" t="s">
        <v>1876</v>
      </c>
      <c r="G440" t="s">
        <v>957</v>
      </c>
      <c r="H440" t="s">
        <v>15</v>
      </c>
      <c r="I440">
        <v>11432</v>
      </c>
    </row>
    <row r="441" spans="1:9" x14ac:dyDescent="0.3">
      <c r="A441">
        <v>440</v>
      </c>
      <c r="B441" t="s">
        <v>1877</v>
      </c>
      <c r="C441" t="s">
        <v>17</v>
      </c>
      <c r="D441" t="s">
        <v>11</v>
      </c>
      <c r="E441" t="s">
        <v>1878</v>
      </c>
      <c r="F441" t="s">
        <v>1879</v>
      </c>
      <c r="G441" t="s">
        <v>938</v>
      </c>
      <c r="H441" t="s">
        <v>15</v>
      </c>
      <c r="I441">
        <v>12020</v>
      </c>
    </row>
    <row r="442" spans="1:9" x14ac:dyDescent="0.3">
      <c r="A442">
        <v>441</v>
      </c>
      <c r="B442" t="s">
        <v>1880</v>
      </c>
      <c r="C442" t="s">
        <v>1881</v>
      </c>
      <c r="D442" t="s">
        <v>11</v>
      </c>
      <c r="E442" t="s">
        <v>1882</v>
      </c>
      <c r="F442" t="s">
        <v>1883</v>
      </c>
      <c r="G442" t="s">
        <v>58</v>
      </c>
      <c r="H442" t="s">
        <v>15</v>
      </c>
      <c r="I442">
        <v>11050</v>
      </c>
    </row>
    <row r="443" spans="1:9" x14ac:dyDescent="0.3">
      <c r="A443">
        <v>442</v>
      </c>
      <c r="B443" t="s">
        <v>756</v>
      </c>
      <c r="C443" t="s">
        <v>1884</v>
      </c>
      <c r="D443" t="s">
        <v>1885</v>
      </c>
      <c r="E443" t="s">
        <v>1886</v>
      </c>
      <c r="F443" t="s">
        <v>1887</v>
      </c>
      <c r="G443" t="s">
        <v>1888</v>
      </c>
      <c r="H443" t="s">
        <v>15</v>
      </c>
      <c r="I443">
        <v>10701</v>
      </c>
    </row>
    <row r="444" spans="1:9" x14ac:dyDescent="0.3">
      <c r="A444">
        <v>443</v>
      </c>
      <c r="B444" t="s">
        <v>1889</v>
      </c>
      <c r="C444" t="s">
        <v>1890</v>
      </c>
      <c r="D444" t="s">
        <v>1891</v>
      </c>
      <c r="E444" t="s">
        <v>1892</v>
      </c>
      <c r="F444" t="s">
        <v>1893</v>
      </c>
      <c r="G444" t="s">
        <v>810</v>
      </c>
      <c r="H444" t="s">
        <v>21</v>
      </c>
      <c r="I444">
        <v>93035</v>
      </c>
    </row>
    <row r="445" spans="1:9" x14ac:dyDescent="0.3">
      <c r="A445">
        <v>444</v>
      </c>
      <c r="B445" t="s">
        <v>1894</v>
      </c>
      <c r="C445" t="s">
        <v>1895</v>
      </c>
      <c r="D445" t="s">
        <v>11</v>
      </c>
      <c r="E445" t="s">
        <v>1896</v>
      </c>
      <c r="F445" t="s">
        <v>1897</v>
      </c>
      <c r="G445" t="s">
        <v>251</v>
      </c>
      <c r="H445" t="s">
        <v>21</v>
      </c>
      <c r="I445">
        <v>94580</v>
      </c>
    </row>
    <row r="446" spans="1:9" x14ac:dyDescent="0.3">
      <c r="A446">
        <v>445</v>
      </c>
      <c r="B446" t="s">
        <v>1898</v>
      </c>
      <c r="C446" t="s">
        <v>1899</v>
      </c>
      <c r="D446" t="s">
        <v>11</v>
      </c>
      <c r="E446" t="s">
        <v>1900</v>
      </c>
      <c r="F446" t="s">
        <v>1901</v>
      </c>
      <c r="G446" t="s">
        <v>1505</v>
      </c>
      <c r="H446" t="s">
        <v>15</v>
      </c>
      <c r="I446">
        <v>10550</v>
      </c>
    </row>
    <row r="447" spans="1:9" x14ac:dyDescent="0.3">
      <c r="A447">
        <v>446</v>
      </c>
      <c r="B447" t="s">
        <v>1902</v>
      </c>
      <c r="C447" t="s">
        <v>1903</v>
      </c>
      <c r="D447" t="s">
        <v>11</v>
      </c>
      <c r="E447" t="s">
        <v>1904</v>
      </c>
      <c r="F447" t="s">
        <v>1905</v>
      </c>
      <c r="G447" t="s">
        <v>1906</v>
      </c>
      <c r="H447" t="s">
        <v>15</v>
      </c>
      <c r="I447">
        <v>12010</v>
      </c>
    </row>
    <row r="448" spans="1:9" x14ac:dyDescent="0.3">
      <c r="A448">
        <v>447</v>
      </c>
      <c r="B448" t="s">
        <v>1907</v>
      </c>
      <c r="C448" t="s">
        <v>1908</v>
      </c>
      <c r="D448" t="s">
        <v>11</v>
      </c>
      <c r="E448" t="s">
        <v>1909</v>
      </c>
      <c r="F448" t="s">
        <v>1910</v>
      </c>
      <c r="G448" t="s">
        <v>1911</v>
      </c>
      <c r="H448" t="s">
        <v>21</v>
      </c>
      <c r="I448">
        <v>92083</v>
      </c>
    </row>
    <row r="449" spans="1:9" x14ac:dyDescent="0.3">
      <c r="A449">
        <v>448</v>
      </c>
      <c r="B449" t="s">
        <v>1912</v>
      </c>
      <c r="C449" t="s">
        <v>1913</v>
      </c>
      <c r="D449" t="s">
        <v>1914</v>
      </c>
      <c r="E449" t="s">
        <v>1915</v>
      </c>
      <c r="F449" t="s">
        <v>1916</v>
      </c>
      <c r="G449" t="s">
        <v>1917</v>
      </c>
      <c r="H449" t="s">
        <v>15</v>
      </c>
      <c r="I449">
        <v>14606</v>
      </c>
    </row>
    <row r="450" spans="1:9" x14ac:dyDescent="0.3">
      <c r="A450">
        <v>449</v>
      </c>
      <c r="B450" t="s">
        <v>1918</v>
      </c>
      <c r="C450" t="s">
        <v>1919</v>
      </c>
      <c r="D450" t="s">
        <v>11</v>
      </c>
      <c r="E450" t="s">
        <v>1920</v>
      </c>
      <c r="F450" t="s">
        <v>1921</v>
      </c>
      <c r="G450" t="s">
        <v>1103</v>
      </c>
      <c r="H450" t="s">
        <v>21</v>
      </c>
      <c r="I450">
        <v>91387</v>
      </c>
    </row>
    <row r="451" spans="1:9" x14ac:dyDescent="0.3">
      <c r="A451">
        <v>450</v>
      </c>
      <c r="B451" t="s">
        <v>1922</v>
      </c>
      <c r="C451" t="s">
        <v>719</v>
      </c>
      <c r="D451" t="s">
        <v>11</v>
      </c>
      <c r="E451" t="s">
        <v>1923</v>
      </c>
      <c r="F451" t="s">
        <v>1924</v>
      </c>
      <c r="G451" t="s">
        <v>1762</v>
      </c>
      <c r="H451" t="s">
        <v>15</v>
      </c>
      <c r="I451">
        <v>10512</v>
      </c>
    </row>
    <row r="452" spans="1:9" x14ac:dyDescent="0.3">
      <c r="A452">
        <v>451</v>
      </c>
      <c r="B452" t="s">
        <v>1925</v>
      </c>
      <c r="C452" t="s">
        <v>1926</v>
      </c>
      <c r="D452" t="s">
        <v>11</v>
      </c>
      <c r="E452" t="s">
        <v>1927</v>
      </c>
      <c r="F452" t="s">
        <v>1928</v>
      </c>
      <c r="G452" t="s">
        <v>348</v>
      </c>
      <c r="H452" t="s">
        <v>80</v>
      </c>
      <c r="I452">
        <v>75088</v>
      </c>
    </row>
    <row r="453" spans="1:9" x14ac:dyDescent="0.3">
      <c r="A453">
        <v>452</v>
      </c>
      <c r="B453" t="s">
        <v>1929</v>
      </c>
      <c r="C453" t="s">
        <v>1401</v>
      </c>
      <c r="D453" t="s">
        <v>11</v>
      </c>
      <c r="E453" t="s">
        <v>1930</v>
      </c>
      <c r="F453" t="s">
        <v>1931</v>
      </c>
      <c r="G453" t="s">
        <v>903</v>
      </c>
      <c r="H453" t="s">
        <v>15</v>
      </c>
      <c r="I453">
        <v>11801</v>
      </c>
    </row>
    <row r="454" spans="1:9" x14ac:dyDescent="0.3">
      <c r="A454">
        <v>453</v>
      </c>
      <c r="B454" t="s">
        <v>1932</v>
      </c>
      <c r="C454" t="s">
        <v>1486</v>
      </c>
      <c r="D454" t="s">
        <v>11</v>
      </c>
      <c r="E454" t="s">
        <v>1933</v>
      </c>
      <c r="F454" t="s">
        <v>1934</v>
      </c>
      <c r="G454" t="s">
        <v>1202</v>
      </c>
      <c r="H454" t="s">
        <v>15</v>
      </c>
      <c r="I454">
        <v>11530</v>
      </c>
    </row>
    <row r="455" spans="1:9" x14ac:dyDescent="0.3">
      <c r="A455">
        <v>454</v>
      </c>
      <c r="B455" t="s">
        <v>1935</v>
      </c>
      <c r="C455" t="s">
        <v>1936</v>
      </c>
      <c r="D455" t="s">
        <v>11</v>
      </c>
      <c r="E455" t="s">
        <v>1937</v>
      </c>
      <c r="F455" t="s">
        <v>1938</v>
      </c>
      <c r="G455" t="s">
        <v>745</v>
      </c>
      <c r="H455" t="s">
        <v>15</v>
      </c>
      <c r="I455">
        <v>11706</v>
      </c>
    </row>
    <row r="456" spans="1:9" x14ac:dyDescent="0.3">
      <c r="A456">
        <v>455</v>
      </c>
      <c r="B456" t="s">
        <v>1939</v>
      </c>
      <c r="C456" t="s">
        <v>1940</v>
      </c>
      <c r="D456" t="s">
        <v>11</v>
      </c>
      <c r="E456" t="s">
        <v>1941</v>
      </c>
      <c r="F456" t="s">
        <v>1942</v>
      </c>
      <c r="G456" t="s">
        <v>195</v>
      </c>
      <c r="H456" t="s">
        <v>15</v>
      </c>
      <c r="I456">
        <v>13090</v>
      </c>
    </row>
    <row r="457" spans="1:9" x14ac:dyDescent="0.3">
      <c r="A457">
        <v>456</v>
      </c>
      <c r="B457" t="s">
        <v>1943</v>
      </c>
      <c r="C457" t="s">
        <v>989</v>
      </c>
      <c r="D457" t="s">
        <v>11</v>
      </c>
      <c r="E457" t="s">
        <v>1944</v>
      </c>
      <c r="F457" t="s">
        <v>1945</v>
      </c>
      <c r="G457" t="s">
        <v>957</v>
      </c>
      <c r="H457" t="s">
        <v>15</v>
      </c>
      <c r="I457">
        <v>11432</v>
      </c>
    </row>
    <row r="458" spans="1:9" x14ac:dyDescent="0.3">
      <c r="A458">
        <v>457</v>
      </c>
      <c r="B458" t="s">
        <v>603</v>
      </c>
      <c r="C458" t="s">
        <v>1204</v>
      </c>
      <c r="D458" t="s">
        <v>11</v>
      </c>
      <c r="E458" t="s">
        <v>1946</v>
      </c>
      <c r="F458" t="s">
        <v>1947</v>
      </c>
      <c r="G458" t="s">
        <v>226</v>
      </c>
      <c r="H458" t="s">
        <v>15</v>
      </c>
      <c r="I458">
        <v>11418</v>
      </c>
    </row>
    <row r="459" spans="1:9" x14ac:dyDescent="0.3">
      <c r="A459">
        <v>458</v>
      </c>
      <c r="B459" t="s">
        <v>972</v>
      </c>
      <c r="C459" t="s">
        <v>330</v>
      </c>
      <c r="D459" t="s">
        <v>11</v>
      </c>
      <c r="E459" t="s">
        <v>1948</v>
      </c>
      <c r="F459" t="s">
        <v>1949</v>
      </c>
      <c r="G459" t="s">
        <v>1064</v>
      </c>
      <c r="H459" t="s">
        <v>15</v>
      </c>
      <c r="I459">
        <v>11741</v>
      </c>
    </row>
    <row r="460" spans="1:9" x14ac:dyDescent="0.3">
      <c r="A460">
        <v>459</v>
      </c>
      <c r="B460" t="s">
        <v>1950</v>
      </c>
      <c r="C460" t="s">
        <v>1951</v>
      </c>
      <c r="D460" t="s">
        <v>1952</v>
      </c>
      <c r="E460" t="s">
        <v>1953</v>
      </c>
      <c r="F460" t="s">
        <v>1954</v>
      </c>
      <c r="G460" t="s">
        <v>1955</v>
      </c>
      <c r="H460" t="s">
        <v>21</v>
      </c>
      <c r="I460">
        <v>93306</v>
      </c>
    </row>
    <row r="461" spans="1:9" x14ac:dyDescent="0.3">
      <c r="A461">
        <v>460</v>
      </c>
      <c r="B461" t="s">
        <v>1956</v>
      </c>
      <c r="C461" t="s">
        <v>1957</v>
      </c>
      <c r="D461" t="s">
        <v>11</v>
      </c>
      <c r="E461" t="s">
        <v>1958</v>
      </c>
      <c r="F461" t="s">
        <v>1959</v>
      </c>
      <c r="G461" t="s">
        <v>1202</v>
      </c>
      <c r="H461" t="s">
        <v>15</v>
      </c>
      <c r="I461">
        <v>11530</v>
      </c>
    </row>
    <row r="462" spans="1:9" x14ac:dyDescent="0.3">
      <c r="A462">
        <v>461</v>
      </c>
      <c r="B462" t="s">
        <v>1960</v>
      </c>
      <c r="C462" t="s">
        <v>1404</v>
      </c>
      <c r="D462" t="s">
        <v>1961</v>
      </c>
      <c r="E462" t="s">
        <v>1962</v>
      </c>
      <c r="F462" t="s">
        <v>1963</v>
      </c>
      <c r="G462" t="s">
        <v>1059</v>
      </c>
      <c r="H462" t="s">
        <v>15</v>
      </c>
      <c r="I462">
        <v>11717</v>
      </c>
    </row>
    <row r="463" spans="1:9" x14ac:dyDescent="0.3">
      <c r="A463">
        <v>462</v>
      </c>
      <c r="B463" t="s">
        <v>1964</v>
      </c>
      <c r="C463" t="s">
        <v>1965</v>
      </c>
      <c r="D463" t="s">
        <v>11</v>
      </c>
      <c r="E463" t="s">
        <v>1966</v>
      </c>
      <c r="F463" t="s">
        <v>1967</v>
      </c>
      <c r="G463" t="s">
        <v>1968</v>
      </c>
      <c r="H463" t="s">
        <v>15</v>
      </c>
      <c r="I463">
        <v>10954</v>
      </c>
    </row>
    <row r="464" spans="1:9" x14ac:dyDescent="0.3">
      <c r="A464">
        <v>463</v>
      </c>
      <c r="B464" t="s">
        <v>1969</v>
      </c>
      <c r="C464" t="s">
        <v>1970</v>
      </c>
      <c r="D464" t="s">
        <v>11</v>
      </c>
      <c r="E464" t="s">
        <v>1971</v>
      </c>
      <c r="F464" t="s">
        <v>1972</v>
      </c>
      <c r="G464" t="s">
        <v>731</v>
      </c>
      <c r="H464" t="s">
        <v>15</v>
      </c>
      <c r="I464">
        <v>11803</v>
      </c>
    </row>
    <row r="465" spans="1:9" x14ac:dyDescent="0.3">
      <c r="A465">
        <v>464</v>
      </c>
      <c r="B465" t="s">
        <v>1973</v>
      </c>
      <c r="C465" t="s">
        <v>1974</v>
      </c>
      <c r="D465" t="s">
        <v>11</v>
      </c>
      <c r="E465" t="s">
        <v>1975</v>
      </c>
      <c r="F465" t="s">
        <v>1976</v>
      </c>
      <c r="G465" t="s">
        <v>1202</v>
      </c>
      <c r="H465" t="s">
        <v>15</v>
      </c>
      <c r="I465">
        <v>11530</v>
      </c>
    </row>
    <row r="466" spans="1:9" x14ac:dyDescent="0.3">
      <c r="A466">
        <v>465</v>
      </c>
      <c r="B466" t="s">
        <v>1977</v>
      </c>
      <c r="C466" t="s">
        <v>1978</v>
      </c>
      <c r="D466" t="s">
        <v>1979</v>
      </c>
      <c r="E466" t="s">
        <v>1980</v>
      </c>
      <c r="F466" t="s">
        <v>1981</v>
      </c>
      <c r="G466" t="s">
        <v>466</v>
      </c>
      <c r="H466" t="s">
        <v>15</v>
      </c>
      <c r="I466">
        <v>12180</v>
      </c>
    </row>
    <row r="467" spans="1:9" x14ac:dyDescent="0.3">
      <c r="A467">
        <v>466</v>
      </c>
      <c r="B467" t="s">
        <v>1982</v>
      </c>
      <c r="C467" t="s">
        <v>368</v>
      </c>
      <c r="D467" t="s">
        <v>11</v>
      </c>
      <c r="E467" t="s">
        <v>1983</v>
      </c>
      <c r="F467" t="s">
        <v>1984</v>
      </c>
      <c r="G467" t="s">
        <v>709</v>
      </c>
      <c r="H467" t="s">
        <v>15</v>
      </c>
      <c r="I467">
        <v>11787</v>
      </c>
    </row>
    <row r="468" spans="1:9" x14ac:dyDescent="0.3">
      <c r="A468">
        <v>467</v>
      </c>
      <c r="B468" t="s">
        <v>1985</v>
      </c>
      <c r="C468" t="s">
        <v>697</v>
      </c>
      <c r="D468" t="s">
        <v>11</v>
      </c>
      <c r="E468" t="s">
        <v>1986</v>
      </c>
      <c r="F468" t="s">
        <v>1987</v>
      </c>
      <c r="G468" t="s">
        <v>140</v>
      </c>
      <c r="H468" t="s">
        <v>15</v>
      </c>
      <c r="I468">
        <v>10541</v>
      </c>
    </row>
    <row r="469" spans="1:9" x14ac:dyDescent="0.3">
      <c r="A469">
        <v>468</v>
      </c>
      <c r="B469" t="s">
        <v>1988</v>
      </c>
      <c r="C469" t="s">
        <v>1989</v>
      </c>
      <c r="D469" t="s">
        <v>11</v>
      </c>
      <c r="E469" t="s">
        <v>1990</v>
      </c>
      <c r="F469" t="s">
        <v>1991</v>
      </c>
      <c r="G469" t="s">
        <v>420</v>
      </c>
      <c r="H469" t="s">
        <v>15</v>
      </c>
      <c r="I469">
        <v>11757</v>
      </c>
    </row>
    <row r="470" spans="1:9" x14ac:dyDescent="0.3">
      <c r="A470">
        <v>469</v>
      </c>
      <c r="B470" t="s">
        <v>1992</v>
      </c>
      <c r="C470" t="s">
        <v>1993</v>
      </c>
      <c r="D470" t="s">
        <v>11</v>
      </c>
      <c r="E470" t="s">
        <v>1994</v>
      </c>
      <c r="F470" t="s">
        <v>1995</v>
      </c>
      <c r="G470" t="s">
        <v>226</v>
      </c>
      <c r="H470" t="s">
        <v>15</v>
      </c>
      <c r="I470">
        <v>11418</v>
      </c>
    </row>
    <row r="471" spans="1:9" x14ac:dyDescent="0.3">
      <c r="A471">
        <v>470</v>
      </c>
      <c r="B471" t="s">
        <v>1996</v>
      </c>
      <c r="C471" t="s">
        <v>1881</v>
      </c>
      <c r="D471" t="s">
        <v>11</v>
      </c>
      <c r="E471" t="s">
        <v>1997</v>
      </c>
      <c r="F471" t="s">
        <v>1998</v>
      </c>
      <c r="G471" t="s">
        <v>1750</v>
      </c>
      <c r="H471" t="s">
        <v>15</v>
      </c>
      <c r="I471">
        <v>11967</v>
      </c>
    </row>
    <row r="472" spans="1:9" x14ac:dyDescent="0.3">
      <c r="A472">
        <v>471</v>
      </c>
      <c r="B472" t="s">
        <v>1999</v>
      </c>
      <c r="C472" t="s">
        <v>2000</v>
      </c>
      <c r="D472" t="s">
        <v>11</v>
      </c>
      <c r="E472" t="s">
        <v>2001</v>
      </c>
      <c r="F472" t="s">
        <v>2002</v>
      </c>
      <c r="G472" t="s">
        <v>2003</v>
      </c>
      <c r="H472" t="s">
        <v>15</v>
      </c>
      <c r="I472">
        <v>11520</v>
      </c>
    </row>
    <row r="473" spans="1:9" x14ac:dyDescent="0.3">
      <c r="A473">
        <v>472</v>
      </c>
      <c r="B473" t="s">
        <v>2004</v>
      </c>
      <c r="C473" t="s">
        <v>2005</v>
      </c>
      <c r="D473" t="s">
        <v>11</v>
      </c>
      <c r="E473" t="s">
        <v>2006</v>
      </c>
      <c r="F473" t="s">
        <v>2007</v>
      </c>
      <c r="G473" t="s">
        <v>323</v>
      </c>
      <c r="H473" t="s">
        <v>15</v>
      </c>
      <c r="I473">
        <v>11701</v>
      </c>
    </row>
    <row r="474" spans="1:9" x14ac:dyDescent="0.3">
      <c r="A474">
        <v>473</v>
      </c>
      <c r="B474" t="s">
        <v>2008</v>
      </c>
      <c r="C474" t="s">
        <v>389</v>
      </c>
      <c r="D474" t="s">
        <v>11</v>
      </c>
      <c r="E474" t="s">
        <v>2009</v>
      </c>
      <c r="F474" t="s">
        <v>2010</v>
      </c>
      <c r="G474" t="s">
        <v>55</v>
      </c>
      <c r="H474" t="s">
        <v>15</v>
      </c>
      <c r="I474">
        <v>11510</v>
      </c>
    </row>
    <row r="475" spans="1:9" x14ac:dyDescent="0.3">
      <c r="A475">
        <v>474</v>
      </c>
      <c r="B475" t="s">
        <v>2011</v>
      </c>
      <c r="C475" t="s">
        <v>2012</v>
      </c>
      <c r="D475" t="s">
        <v>11</v>
      </c>
      <c r="E475" t="s">
        <v>2013</v>
      </c>
      <c r="F475" t="s">
        <v>2014</v>
      </c>
      <c r="G475" t="s">
        <v>864</v>
      </c>
      <c r="H475" t="s">
        <v>15</v>
      </c>
      <c r="I475">
        <v>14580</v>
      </c>
    </row>
    <row r="476" spans="1:9" x14ac:dyDescent="0.3">
      <c r="A476">
        <v>475</v>
      </c>
      <c r="B476" t="s">
        <v>2015</v>
      </c>
      <c r="C476" t="s">
        <v>1093</v>
      </c>
      <c r="D476" t="s">
        <v>11</v>
      </c>
      <c r="E476" t="s">
        <v>2016</v>
      </c>
      <c r="F476" t="s">
        <v>2017</v>
      </c>
      <c r="G476" t="s">
        <v>120</v>
      </c>
      <c r="H476" t="s">
        <v>80</v>
      </c>
      <c r="I476">
        <v>77904</v>
      </c>
    </row>
    <row r="477" spans="1:9" x14ac:dyDescent="0.3">
      <c r="A477">
        <v>476</v>
      </c>
      <c r="B477" t="s">
        <v>2018</v>
      </c>
      <c r="C477" t="s">
        <v>389</v>
      </c>
      <c r="D477" t="s">
        <v>11</v>
      </c>
      <c r="E477" t="s">
        <v>2019</v>
      </c>
      <c r="F477" t="s">
        <v>2020</v>
      </c>
      <c r="G477" t="s">
        <v>908</v>
      </c>
      <c r="H477" t="s">
        <v>21</v>
      </c>
      <c r="I477">
        <v>95060</v>
      </c>
    </row>
    <row r="478" spans="1:9" x14ac:dyDescent="0.3">
      <c r="A478">
        <v>477</v>
      </c>
      <c r="B478" t="s">
        <v>2021</v>
      </c>
      <c r="C478" t="s">
        <v>2022</v>
      </c>
      <c r="D478" t="s">
        <v>11</v>
      </c>
      <c r="E478" t="s">
        <v>2023</v>
      </c>
      <c r="F478" t="s">
        <v>2024</v>
      </c>
      <c r="G478" t="s">
        <v>1222</v>
      </c>
      <c r="H478" t="s">
        <v>15</v>
      </c>
      <c r="I478">
        <v>11710</v>
      </c>
    </row>
    <row r="479" spans="1:9" x14ac:dyDescent="0.3">
      <c r="A479">
        <v>478</v>
      </c>
      <c r="B479" t="s">
        <v>1838</v>
      </c>
      <c r="C479" t="s">
        <v>910</v>
      </c>
      <c r="D479" t="s">
        <v>11</v>
      </c>
      <c r="E479" t="s">
        <v>2025</v>
      </c>
      <c r="F479" t="s">
        <v>2026</v>
      </c>
      <c r="G479" t="s">
        <v>2003</v>
      </c>
      <c r="H479" t="s">
        <v>15</v>
      </c>
      <c r="I479">
        <v>11520</v>
      </c>
    </row>
    <row r="480" spans="1:9" x14ac:dyDescent="0.3">
      <c r="A480">
        <v>479</v>
      </c>
      <c r="B480" t="s">
        <v>2027</v>
      </c>
      <c r="C480" t="s">
        <v>2028</v>
      </c>
      <c r="D480" t="s">
        <v>11</v>
      </c>
      <c r="E480" t="s">
        <v>2029</v>
      </c>
      <c r="F480" t="s">
        <v>2030</v>
      </c>
      <c r="G480" t="s">
        <v>1669</v>
      </c>
      <c r="H480" t="s">
        <v>15</v>
      </c>
      <c r="I480">
        <v>11354</v>
      </c>
    </row>
    <row r="481" spans="1:9" x14ac:dyDescent="0.3">
      <c r="A481">
        <v>480</v>
      </c>
      <c r="B481" t="s">
        <v>338</v>
      </c>
      <c r="C481" t="s">
        <v>2031</v>
      </c>
      <c r="D481" t="s">
        <v>11</v>
      </c>
      <c r="E481" t="s">
        <v>2032</v>
      </c>
      <c r="F481" t="s">
        <v>2033</v>
      </c>
      <c r="G481" t="s">
        <v>1906</v>
      </c>
      <c r="H481" t="s">
        <v>15</v>
      </c>
      <c r="I481">
        <v>12010</v>
      </c>
    </row>
    <row r="482" spans="1:9" x14ac:dyDescent="0.3">
      <c r="A482">
        <v>481</v>
      </c>
      <c r="B482" t="s">
        <v>2034</v>
      </c>
      <c r="C482" t="s">
        <v>1993</v>
      </c>
      <c r="D482" t="s">
        <v>11</v>
      </c>
      <c r="E482" t="s">
        <v>2035</v>
      </c>
      <c r="F482" t="s">
        <v>2036</v>
      </c>
      <c r="G482" t="s">
        <v>2037</v>
      </c>
      <c r="H482" t="s">
        <v>80</v>
      </c>
      <c r="I482">
        <v>77566</v>
      </c>
    </row>
    <row r="483" spans="1:9" x14ac:dyDescent="0.3">
      <c r="A483">
        <v>482</v>
      </c>
      <c r="B483" t="s">
        <v>2038</v>
      </c>
      <c r="C483" t="s">
        <v>1460</v>
      </c>
      <c r="D483" t="s">
        <v>11</v>
      </c>
      <c r="E483" t="s">
        <v>2039</v>
      </c>
      <c r="F483" t="s">
        <v>2040</v>
      </c>
      <c r="G483" t="s">
        <v>924</v>
      </c>
      <c r="H483" t="s">
        <v>80</v>
      </c>
      <c r="I483">
        <v>79106</v>
      </c>
    </row>
    <row r="484" spans="1:9" x14ac:dyDescent="0.3">
      <c r="A484">
        <v>483</v>
      </c>
      <c r="B484" t="s">
        <v>2041</v>
      </c>
      <c r="C484" t="s">
        <v>2042</v>
      </c>
      <c r="D484" t="s">
        <v>11</v>
      </c>
      <c r="E484" t="s">
        <v>2043</v>
      </c>
      <c r="F484" t="s">
        <v>2044</v>
      </c>
      <c r="G484" t="s">
        <v>420</v>
      </c>
      <c r="H484" t="s">
        <v>15</v>
      </c>
      <c r="I484">
        <v>11757</v>
      </c>
    </row>
    <row r="485" spans="1:9" x14ac:dyDescent="0.3">
      <c r="A485">
        <v>484</v>
      </c>
      <c r="B485" t="s">
        <v>1065</v>
      </c>
      <c r="C485" t="s">
        <v>637</v>
      </c>
      <c r="D485" t="s">
        <v>11</v>
      </c>
      <c r="E485" t="s">
        <v>2045</v>
      </c>
      <c r="F485" t="s">
        <v>2046</v>
      </c>
      <c r="G485" t="s">
        <v>570</v>
      </c>
      <c r="H485" t="s">
        <v>80</v>
      </c>
      <c r="I485">
        <v>76039</v>
      </c>
    </row>
    <row r="486" spans="1:9" x14ac:dyDescent="0.3">
      <c r="A486">
        <v>485</v>
      </c>
      <c r="B486" t="s">
        <v>2047</v>
      </c>
      <c r="C486" t="s">
        <v>2048</v>
      </c>
      <c r="D486" t="s">
        <v>11</v>
      </c>
      <c r="E486" t="s">
        <v>2049</v>
      </c>
      <c r="F486" t="s">
        <v>2050</v>
      </c>
      <c r="G486" t="s">
        <v>272</v>
      </c>
      <c r="H486" t="s">
        <v>15</v>
      </c>
      <c r="I486">
        <v>11369</v>
      </c>
    </row>
    <row r="487" spans="1:9" x14ac:dyDescent="0.3">
      <c r="A487">
        <v>486</v>
      </c>
      <c r="B487" t="s">
        <v>2051</v>
      </c>
      <c r="C487" t="s">
        <v>1802</v>
      </c>
      <c r="D487" t="s">
        <v>11</v>
      </c>
      <c r="E487" t="s">
        <v>2052</v>
      </c>
      <c r="F487" t="s">
        <v>2053</v>
      </c>
      <c r="G487" t="s">
        <v>1085</v>
      </c>
      <c r="H487" t="s">
        <v>15</v>
      </c>
      <c r="I487">
        <v>11554</v>
      </c>
    </row>
    <row r="488" spans="1:9" x14ac:dyDescent="0.3">
      <c r="A488">
        <v>487</v>
      </c>
      <c r="B488" t="s">
        <v>2054</v>
      </c>
      <c r="C488" t="s">
        <v>2055</v>
      </c>
      <c r="D488" t="s">
        <v>11</v>
      </c>
      <c r="E488" t="s">
        <v>2056</v>
      </c>
      <c r="F488" t="s">
        <v>2057</v>
      </c>
      <c r="G488" t="s">
        <v>1121</v>
      </c>
      <c r="H488" t="s">
        <v>21</v>
      </c>
      <c r="I488">
        <v>94806</v>
      </c>
    </row>
    <row r="489" spans="1:9" x14ac:dyDescent="0.3">
      <c r="A489">
        <v>488</v>
      </c>
      <c r="B489" t="s">
        <v>2058</v>
      </c>
      <c r="C489" t="s">
        <v>2059</v>
      </c>
      <c r="D489" t="s">
        <v>2060</v>
      </c>
      <c r="E489" t="s">
        <v>2061</v>
      </c>
      <c r="F489" t="s">
        <v>2062</v>
      </c>
      <c r="G489" t="s">
        <v>545</v>
      </c>
      <c r="H489" t="s">
        <v>21</v>
      </c>
      <c r="I489">
        <v>92806</v>
      </c>
    </row>
    <row r="490" spans="1:9" x14ac:dyDescent="0.3">
      <c r="A490">
        <v>489</v>
      </c>
      <c r="B490" t="s">
        <v>2063</v>
      </c>
      <c r="C490" t="s">
        <v>684</v>
      </c>
      <c r="D490" t="s">
        <v>11</v>
      </c>
      <c r="E490" t="s">
        <v>2064</v>
      </c>
      <c r="F490" t="s">
        <v>2065</v>
      </c>
      <c r="G490" t="s">
        <v>475</v>
      </c>
      <c r="H490" t="s">
        <v>15</v>
      </c>
      <c r="I490">
        <v>12866</v>
      </c>
    </row>
    <row r="491" spans="1:9" x14ac:dyDescent="0.3">
      <c r="A491">
        <v>490</v>
      </c>
      <c r="B491" t="s">
        <v>2066</v>
      </c>
      <c r="C491" t="s">
        <v>2067</v>
      </c>
      <c r="D491" t="s">
        <v>11</v>
      </c>
      <c r="E491" t="s">
        <v>2068</v>
      </c>
      <c r="F491" t="s">
        <v>2069</v>
      </c>
      <c r="G491" t="s">
        <v>156</v>
      </c>
      <c r="H491" t="s">
        <v>15</v>
      </c>
      <c r="I491">
        <v>10562</v>
      </c>
    </row>
    <row r="492" spans="1:9" x14ac:dyDescent="0.3">
      <c r="A492">
        <v>491</v>
      </c>
      <c r="B492" t="s">
        <v>2070</v>
      </c>
      <c r="C492" t="s">
        <v>2071</v>
      </c>
      <c r="D492" t="s">
        <v>11</v>
      </c>
      <c r="E492" t="s">
        <v>2072</v>
      </c>
      <c r="F492" t="s">
        <v>2073</v>
      </c>
      <c r="G492" t="s">
        <v>663</v>
      </c>
      <c r="H492" t="s">
        <v>15</v>
      </c>
      <c r="I492">
        <v>11758</v>
      </c>
    </row>
    <row r="493" spans="1:9" x14ac:dyDescent="0.3">
      <c r="A493">
        <v>492</v>
      </c>
      <c r="B493" t="s">
        <v>2074</v>
      </c>
      <c r="C493" t="s">
        <v>2075</v>
      </c>
      <c r="D493" t="s">
        <v>11</v>
      </c>
      <c r="E493" t="s">
        <v>2076</v>
      </c>
      <c r="F493" t="s">
        <v>2077</v>
      </c>
      <c r="G493" t="s">
        <v>2078</v>
      </c>
      <c r="H493" t="s">
        <v>15</v>
      </c>
      <c r="I493">
        <v>11368</v>
      </c>
    </row>
    <row r="494" spans="1:9" x14ac:dyDescent="0.3">
      <c r="A494">
        <v>493</v>
      </c>
      <c r="B494" t="s">
        <v>2079</v>
      </c>
      <c r="C494" t="s">
        <v>2080</v>
      </c>
      <c r="D494" t="s">
        <v>11</v>
      </c>
      <c r="E494" t="s">
        <v>2081</v>
      </c>
      <c r="F494" t="s">
        <v>2082</v>
      </c>
      <c r="G494" t="s">
        <v>641</v>
      </c>
      <c r="H494" t="s">
        <v>15</v>
      </c>
      <c r="I494">
        <v>14075</v>
      </c>
    </row>
    <row r="495" spans="1:9" x14ac:dyDescent="0.3">
      <c r="A495">
        <v>494</v>
      </c>
      <c r="B495" t="s">
        <v>2083</v>
      </c>
      <c r="C495" t="s">
        <v>2084</v>
      </c>
      <c r="D495" t="s">
        <v>11</v>
      </c>
      <c r="E495" t="s">
        <v>2085</v>
      </c>
      <c r="F495" t="s">
        <v>2086</v>
      </c>
      <c r="G495" t="s">
        <v>31</v>
      </c>
      <c r="H495" t="s">
        <v>15</v>
      </c>
      <c r="I495">
        <v>11553</v>
      </c>
    </row>
    <row r="496" spans="1:9" x14ac:dyDescent="0.3">
      <c r="A496">
        <v>495</v>
      </c>
      <c r="B496" t="s">
        <v>2087</v>
      </c>
      <c r="C496" t="s">
        <v>503</v>
      </c>
      <c r="D496" t="s">
        <v>11</v>
      </c>
      <c r="E496" t="s">
        <v>2088</v>
      </c>
      <c r="F496" t="s">
        <v>2089</v>
      </c>
      <c r="G496" t="s">
        <v>1695</v>
      </c>
      <c r="H496" t="s">
        <v>21</v>
      </c>
      <c r="I496">
        <v>93635</v>
      </c>
    </row>
    <row r="497" spans="1:9" x14ac:dyDescent="0.3">
      <c r="A497">
        <v>496</v>
      </c>
      <c r="B497" t="s">
        <v>2090</v>
      </c>
      <c r="C497" t="s">
        <v>2091</v>
      </c>
      <c r="D497" t="s">
        <v>11</v>
      </c>
      <c r="E497" t="s">
        <v>2092</v>
      </c>
      <c r="F497" t="s">
        <v>2093</v>
      </c>
      <c r="G497" t="s">
        <v>205</v>
      </c>
      <c r="H497" t="s">
        <v>15</v>
      </c>
      <c r="I497">
        <v>11102</v>
      </c>
    </row>
    <row r="498" spans="1:9" x14ac:dyDescent="0.3">
      <c r="A498">
        <v>497</v>
      </c>
      <c r="B498" t="s">
        <v>2094</v>
      </c>
      <c r="C498" t="s">
        <v>2095</v>
      </c>
      <c r="D498" t="s">
        <v>11</v>
      </c>
      <c r="E498" t="s">
        <v>2096</v>
      </c>
      <c r="F498" t="s">
        <v>2097</v>
      </c>
      <c r="G498" t="s">
        <v>1968</v>
      </c>
      <c r="H498" t="s">
        <v>15</v>
      </c>
      <c r="I498">
        <v>10954</v>
      </c>
    </row>
    <row r="499" spans="1:9" x14ac:dyDescent="0.3">
      <c r="A499">
        <v>498</v>
      </c>
      <c r="B499" t="s">
        <v>2098</v>
      </c>
      <c r="C499" t="s">
        <v>2099</v>
      </c>
      <c r="D499" t="s">
        <v>11</v>
      </c>
      <c r="E499" t="s">
        <v>2100</v>
      </c>
      <c r="F499" t="s">
        <v>2101</v>
      </c>
      <c r="G499" t="s">
        <v>375</v>
      </c>
      <c r="H499" t="s">
        <v>15</v>
      </c>
      <c r="I499">
        <v>14120</v>
      </c>
    </row>
    <row r="500" spans="1:9" x14ac:dyDescent="0.3">
      <c r="A500">
        <v>499</v>
      </c>
      <c r="B500" t="s">
        <v>2102</v>
      </c>
      <c r="C500" t="s">
        <v>2103</v>
      </c>
      <c r="D500" t="s">
        <v>11</v>
      </c>
      <c r="E500" t="s">
        <v>2104</v>
      </c>
      <c r="F500" t="s">
        <v>2105</v>
      </c>
      <c r="G500" t="s">
        <v>190</v>
      </c>
      <c r="H500" t="s">
        <v>15</v>
      </c>
      <c r="I500">
        <v>13027</v>
      </c>
    </row>
    <row r="501" spans="1:9" x14ac:dyDescent="0.3">
      <c r="A501">
        <v>500</v>
      </c>
      <c r="B501" t="s">
        <v>2106</v>
      </c>
      <c r="C501" t="s">
        <v>2107</v>
      </c>
      <c r="D501" t="s">
        <v>11</v>
      </c>
      <c r="E501" t="s">
        <v>2108</v>
      </c>
      <c r="F501" t="s">
        <v>2109</v>
      </c>
      <c r="G501" t="s">
        <v>53</v>
      </c>
      <c r="H501" t="s">
        <v>15</v>
      </c>
      <c r="I501">
        <v>11372</v>
      </c>
    </row>
    <row r="502" spans="1:9" x14ac:dyDescent="0.3">
      <c r="A502">
        <v>501</v>
      </c>
      <c r="B502" t="s">
        <v>2110</v>
      </c>
      <c r="C502" t="s">
        <v>2111</v>
      </c>
      <c r="D502" t="s">
        <v>2112</v>
      </c>
      <c r="E502" t="s">
        <v>2113</v>
      </c>
      <c r="F502" t="s">
        <v>2114</v>
      </c>
      <c r="G502" t="s">
        <v>545</v>
      </c>
      <c r="H502" t="s">
        <v>21</v>
      </c>
      <c r="I502">
        <v>92806</v>
      </c>
    </row>
    <row r="503" spans="1:9" x14ac:dyDescent="0.3">
      <c r="A503">
        <v>502</v>
      </c>
      <c r="B503" t="s">
        <v>2115</v>
      </c>
      <c r="C503" t="s">
        <v>2116</v>
      </c>
      <c r="D503" t="s">
        <v>11</v>
      </c>
      <c r="E503" t="s">
        <v>2117</v>
      </c>
      <c r="F503" t="s">
        <v>2118</v>
      </c>
      <c r="G503" t="s">
        <v>1000</v>
      </c>
      <c r="H503" t="s">
        <v>15</v>
      </c>
      <c r="I503">
        <v>11357</v>
      </c>
    </row>
    <row r="504" spans="1:9" x14ac:dyDescent="0.3">
      <c r="A504">
        <v>503</v>
      </c>
      <c r="B504" t="s">
        <v>2119</v>
      </c>
      <c r="C504" t="s">
        <v>2120</v>
      </c>
      <c r="D504" t="s">
        <v>11</v>
      </c>
      <c r="E504" t="s">
        <v>2121</v>
      </c>
      <c r="F504" t="s">
        <v>2122</v>
      </c>
      <c r="G504" t="s">
        <v>1129</v>
      </c>
      <c r="H504" t="s">
        <v>15</v>
      </c>
      <c r="I504">
        <v>14304</v>
      </c>
    </row>
    <row r="505" spans="1:9" x14ac:dyDescent="0.3">
      <c r="A505">
        <v>504</v>
      </c>
      <c r="B505" t="s">
        <v>2123</v>
      </c>
      <c r="C505" t="s">
        <v>2124</v>
      </c>
      <c r="D505" t="s">
        <v>11</v>
      </c>
      <c r="E505" t="s">
        <v>2125</v>
      </c>
      <c r="F505" t="s">
        <v>2126</v>
      </c>
      <c r="G505" t="s">
        <v>449</v>
      </c>
      <c r="H505" t="s">
        <v>15</v>
      </c>
      <c r="I505">
        <v>11010</v>
      </c>
    </row>
    <row r="506" spans="1:9" x14ac:dyDescent="0.3">
      <c r="A506">
        <v>505</v>
      </c>
      <c r="B506" t="s">
        <v>2127</v>
      </c>
      <c r="C506" t="s">
        <v>2128</v>
      </c>
      <c r="D506" t="s">
        <v>11</v>
      </c>
      <c r="E506" t="s">
        <v>2129</v>
      </c>
      <c r="F506" t="s">
        <v>2130</v>
      </c>
      <c r="G506" t="s">
        <v>957</v>
      </c>
      <c r="H506" t="s">
        <v>15</v>
      </c>
      <c r="I506">
        <v>11432</v>
      </c>
    </row>
    <row r="507" spans="1:9" x14ac:dyDescent="0.3">
      <c r="A507">
        <v>506</v>
      </c>
      <c r="B507" t="s">
        <v>2131</v>
      </c>
      <c r="C507" t="s">
        <v>851</v>
      </c>
      <c r="D507" t="s">
        <v>11</v>
      </c>
      <c r="E507" t="s">
        <v>2132</v>
      </c>
      <c r="F507" t="s">
        <v>2133</v>
      </c>
      <c r="G507" t="s">
        <v>165</v>
      </c>
      <c r="H507" t="s">
        <v>21</v>
      </c>
      <c r="I507">
        <v>90505</v>
      </c>
    </row>
    <row r="508" spans="1:9" x14ac:dyDescent="0.3">
      <c r="A508">
        <v>507</v>
      </c>
      <c r="B508" t="s">
        <v>2134</v>
      </c>
      <c r="C508" t="s">
        <v>1662</v>
      </c>
      <c r="D508" t="s">
        <v>11</v>
      </c>
      <c r="E508" t="s">
        <v>2135</v>
      </c>
      <c r="F508" t="s">
        <v>2136</v>
      </c>
      <c r="G508" t="s">
        <v>700</v>
      </c>
      <c r="H508" t="s">
        <v>15</v>
      </c>
      <c r="I508">
        <v>10301</v>
      </c>
    </row>
    <row r="509" spans="1:9" x14ac:dyDescent="0.3">
      <c r="A509">
        <v>508</v>
      </c>
      <c r="B509" t="s">
        <v>1237</v>
      </c>
      <c r="C509" t="s">
        <v>2137</v>
      </c>
      <c r="D509" t="s">
        <v>2138</v>
      </c>
      <c r="E509" t="s">
        <v>2139</v>
      </c>
      <c r="F509" t="s">
        <v>2140</v>
      </c>
      <c r="G509" t="s">
        <v>211</v>
      </c>
      <c r="H509" t="s">
        <v>15</v>
      </c>
      <c r="I509">
        <v>14086</v>
      </c>
    </row>
    <row r="510" spans="1:9" x14ac:dyDescent="0.3">
      <c r="A510">
        <v>509</v>
      </c>
      <c r="B510" t="s">
        <v>2141</v>
      </c>
      <c r="C510" t="s">
        <v>2142</v>
      </c>
      <c r="D510" t="s">
        <v>11</v>
      </c>
      <c r="E510" t="s">
        <v>2143</v>
      </c>
      <c r="F510" t="s">
        <v>2144</v>
      </c>
      <c r="G510" t="s">
        <v>1906</v>
      </c>
      <c r="H510" t="s">
        <v>15</v>
      </c>
      <c r="I510">
        <v>12010</v>
      </c>
    </row>
    <row r="511" spans="1:9" x14ac:dyDescent="0.3">
      <c r="A511">
        <v>510</v>
      </c>
      <c r="B511" t="s">
        <v>2145</v>
      </c>
      <c r="C511" t="s">
        <v>724</v>
      </c>
      <c r="D511" t="s">
        <v>11</v>
      </c>
      <c r="E511" t="s">
        <v>2146</v>
      </c>
      <c r="F511" t="s">
        <v>2147</v>
      </c>
      <c r="G511" t="s">
        <v>2148</v>
      </c>
      <c r="H511" t="s">
        <v>15</v>
      </c>
      <c r="I511">
        <v>11419</v>
      </c>
    </row>
    <row r="512" spans="1:9" x14ac:dyDescent="0.3">
      <c r="A512">
        <v>511</v>
      </c>
      <c r="B512" t="s">
        <v>2149</v>
      </c>
      <c r="C512" t="s">
        <v>2150</v>
      </c>
      <c r="D512" t="s">
        <v>2151</v>
      </c>
      <c r="E512" t="s">
        <v>2152</v>
      </c>
      <c r="F512" t="s">
        <v>2153</v>
      </c>
      <c r="G512" t="s">
        <v>2154</v>
      </c>
      <c r="H512" t="s">
        <v>80</v>
      </c>
      <c r="I512">
        <v>76110</v>
      </c>
    </row>
    <row r="513" spans="1:9" x14ac:dyDescent="0.3">
      <c r="A513">
        <v>512</v>
      </c>
      <c r="B513" t="s">
        <v>2155</v>
      </c>
      <c r="C513" t="s">
        <v>1546</v>
      </c>
      <c r="D513" t="s">
        <v>11</v>
      </c>
      <c r="E513" t="s">
        <v>2156</v>
      </c>
      <c r="F513" t="s">
        <v>2157</v>
      </c>
      <c r="G513" t="s">
        <v>975</v>
      </c>
      <c r="H513" t="s">
        <v>15</v>
      </c>
      <c r="I513">
        <v>11784</v>
      </c>
    </row>
    <row r="514" spans="1:9" x14ac:dyDescent="0.3">
      <c r="A514">
        <v>513</v>
      </c>
      <c r="B514" t="s">
        <v>1054</v>
      </c>
      <c r="C514" t="s">
        <v>2158</v>
      </c>
      <c r="D514" t="s">
        <v>11</v>
      </c>
      <c r="E514" t="s">
        <v>2159</v>
      </c>
      <c r="F514" t="s">
        <v>2160</v>
      </c>
      <c r="G514" t="s">
        <v>641</v>
      </c>
      <c r="H514" t="s">
        <v>15</v>
      </c>
      <c r="I514">
        <v>14075</v>
      </c>
    </row>
    <row r="515" spans="1:9" x14ac:dyDescent="0.3">
      <c r="A515">
        <v>514</v>
      </c>
      <c r="B515" t="s">
        <v>2161</v>
      </c>
      <c r="C515" t="s">
        <v>2162</v>
      </c>
      <c r="D515" t="s">
        <v>11</v>
      </c>
      <c r="E515" t="s">
        <v>2163</v>
      </c>
      <c r="F515" t="s">
        <v>2164</v>
      </c>
      <c r="G515" t="s">
        <v>130</v>
      </c>
      <c r="H515" t="s">
        <v>15</v>
      </c>
      <c r="I515">
        <v>11423</v>
      </c>
    </row>
    <row r="516" spans="1:9" x14ac:dyDescent="0.3">
      <c r="A516">
        <v>515</v>
      </c>
      <c r="B516" t="s">
        <v>2165</v>
      </c>
      <c r="C516" t="s">
        <v>2166</v>
      </c>
      <c r="D516" t="s">
        <v>11</v>
      </c>
      <c r="E516" t="s">
        <v>2167</v>
      </c>
      <c r="F516" t="s">
        <v>2168</v>
      </c>
      <c r="G516" t="s">
        <v>101</v>
      </c>
      <c r="H516" t="s">
        <v>15</v>
      </c>
      <c r="I516">
        <v>10583</v>
      </c>
    </row>
    <row r="517" spans="1:9" x14ac:dyDescent="0.3">
      <c r="A517">
        <v>516</v>
      </c>
      <c r="B517" t="s">
        <v>2169</v>
      </c>
      <c r="C517" t="s">
        <v>2170</v>
      </c>
      <c r="D517" t="s">
        <v>11</v>
      </c>
      <c r="E517" t="s">
        <v>2171</v>
      </c>
      <c r="F517" t="s">
        <v>2172</v>
      </c>
      <c r="G517" t="s">
        <v>962</v>
      </c>
      <c r="H517" t="s">
        <v>15</v>
      </c>
      <c r="I517">
        <v>11201</v>
      </c>
    </row>
    <row r="518" spans="1:9" x14ac:dyDescent="0.3">
      <c r="A518">
        <v>517</v>
      </c>
      <c r="B518" t="s">
        <v>984</v>
      </c>
      <c r="C518" t="s">
        <v>2173</v>
      </c>
      <c r="D518" t="s">
        <v>11</v>
      </c>
      <c r="E518" t="s">
        <v>2174</v>
      </c>
      <c r="F518" t="s">
        <v>2175</v>
      </c>
      <c r="G518" t="s">
        <v>1222</v>
      </c>
      <c r="H518" t="s">
        <v>15</v>
      </c>
      <c r="I518">
        <v>11710</v>
      </c>
    </row>
    <row r="519" spans="1:9" x14ac:dyDescent="0.3">
      <c r="A519">
        <v>518</v>
      </c>
      <c r="B519" t="s">
        <v>2176</v>
      </c>
      <c r="C519" t="s">
        <v>1573</v>
      </c>
      <c r="D519" t="s">
        <v>11</v>
      </c>
      <c r="E519" t="s">
        <v>2177</v>
      </c>
      <c r="F519" t="s">
        <v>2178</v>
      </c>
      <c r="G519" t="s">
        <v>181</v>
      </c>
      <c r="H519" t="s">
        <v>21</v>
      </c>
      <c r="I519">
        <v>90274</v>
      </c>
    </row>
    <row r="520" spans="1:9" x14ac:dyDescent="0.3">
      <c r="A520">
        <v>519</v>
      </c>
      <c r="B520" t="s">
        <v>2179</v>
      </c>
      <c r="C520" t="s">
        <v>768</v>
      </c>
      <c r="D520" t="s">
        <v>11</v>
      </c>
      <c r="E520" t="s">
        <v>2180</v>
      </c>
      <c r="F520" t="s">
        <v>2181</v>
      </c>
      <c r="G520" t="s">
        <v>181</v>
      </c>
      <c r="H520" t="s">
        <v>21</v>
      </c>
      <c r="I520">
        <v>90274</v>
      </c>
    </row>
    <row r="521" spans="1:9" x14ac:dyDescent="0.3">
      <c r="A521">
        <v>520</v>
      </c>
      <c r="B521" t="s">
        <v>2182</v>
      </c>
      <c r="C521" t="s">
        <v>1989</v>
      </c>
      <c r="D521" t="s">
        <v>11</v>
      </c>
      <c r="E521" t="s">
        <v>2183</v>
      </c>
      <c r="F521" t="s">
        <v>2184</v>
      </c>
      <c r="G521" t="s">
        <v>1505</v>
      </c>
      <c r="H521" t="s">
        <v>15</v>
      </c>
      <c r="I521">
        <v>10550</v>
      </c>
    </row>
    <row r="522" spans="1:9" x14ac:dyDescent="0.3">
      <c r="A522">
        <v>521</v>
      </c>
      <c r="B522" t="s">
        <v>2185</v>
      </c>
      <c r="C522" t="s">
        <v>870</v>
      </c>
      <c r="D522" t="s">
        <v>11</v>
      </c>
      <c r="E522" t="s">
        <v>2186</v>
      </c>
      <c r="F522" t="s">
        <v>2187</v>
      </c>
      <c r="G522" t="s">
        <v>2188</v>
      </c>
      <c r="H522" t="s">
        <v>15</v>
      </c>
      <c r="I522">
        <v>11542</v>
      </c>
    </row>
    <row r="523" spans="1:9" x14ac:dyDescent="0.3">
      <c r="A523">
        <v>522</v>
      </c>
      <c r="B523" t="s">
        <v>2189</v>
      </c>
      <c r="C523" t="s">
        <v>422</v>
      </c>
      <c r="D523" t="s">
        <v>2190</v>
      </c>
      <c r="E523" t="s">
        <v>2191</v>
      </c>
      <c r="F523" t="s">
        <v>2192</v>
      </c>
      <c r="G523" t="s">
        <v>171</v>
      </c>
      <c r="H523" t="s">
        <v>21</v>
      </c>
      <c r="I523">
        <v>94603</v>
      </c>
    </row>
    <row r="524" spans="1:9" x14ac:dyDescent="0.3">
      <c r="A524">
        <v>523</v>
      </c>
      <c r="B524" t="s">
        <v>2193</v>
      </c>
      <c r="C524" t="s">
        <v>2194</v>
      </c>
      <c r="D524" t="s">
        <v>11</v>
      </c>
      <c r="E524" t="s">
        <v>2195</v>
      </c>
      <c r="F524" t="s">
        <v>2196</v>
      </c>
      <c r="G524" t="s">
        <v>1036</v>
      </c>
      <c r="H524" t="s">
        <v>15</v>
      </c>
      <c r="I524">
        <v>11772</v>
      </c>
    </row>
    <row r="525" spans="1:9" x14ac:dyDescent="0.3">
      <c r="A525">
        <v>524</v>
      </c>
      <c r="B525" t="s">
        <v>2197</v>
      </c>
      <c r="C525" t="s">
        <v>2198</v>
      </c>
      <c r="D525" t="s">
        <v>11</v>
      </c>
      <c r="E525" t="s">
        <v>2199</v>
      </c>
      <c r="F525" t="s">
        <v>2200</v>
      </c>
      <c r="G525" t="s">
        <v>282</v>
      </c>
      <c r="H525" t="s">
        <v>15</v>
      </c>
      <c r="I525">
        <v>13501</v>
      </c>
    </row>
    <row r="526" spans="1:9" x14ac:dyDescent="0.3">
      <c r="A526">
        <v>525</v>
      </c>
      <c r="B526" t="s">
        <v>2182</v>
      </c>
      <c r="C526" t="s">
        <v>2201</v>
      </c>
      <c r="D526" t="s">
        <v>11</v>
      </c>
      <c r="E526" t="s">
        <v>2202</v>
      </c>
      <c r="F526" t="s">
        <v>2203</v>
      </c>
      <c r="G526" t="s">
        <v>1837</v>
      </c>
      <c r="H526" t="s">
        <v>15</v>
      </c>
      <c r="I526">
        <v>10801</v>
      </c>
    </row>
    <row r="527" spans="1:9" x14ac:dyDescent="0.3">
      <c r="A527">
        <v>526</v>
      </c>
      <c r="B527" t="s">
        <v>2204</v>
      </c>
      <c r="C527" t="s">
        <v>2205</v>
      </c>
      <c r="D527" t="s">
        <v>11</v>
      </c>
      <c r="E527" t="s">
        <v>2206</v>
      </c>
      <c r="F527" t="s">
        <v>2207</v>
      </c>
      <c r="G527" t="s">
        <v>115</v>
      </c>
      <c r="H527" t="s">
        <v>80</v>
      </c>
      <c r="I527">
        <v>77478</v>
      </c>
    </row>
    <row r="528" spans="1:9" x14ac:dyDescent="0.3">
      <c r="A528">
        <v>527</v>
      </c>
      <c r="B528" t="s">
        <v>2208</v>
      </c>
      <c r="C528" t="s">
        <v>1131</v>
      </c>
      <c r="D528" t="s">
        <v>11</v>
      </c>
      <c r="E528" t="s">
        <v>2209</v>
      </c>
      <c r="F528" t="s">
        <v>2210</v>
      </c>
      <c r="G528" t="s">
        <v>646</v>
      </c>
      <c r="H528" t="s">
        <v>15</v>
      </c>
      <c r="I528">
        <v>11727</v>
      </c>
    </row>
    <row r="529" spans="1:9" x14ac:dyDescent="0.3">
      <c r="A529">
        <v>528</v>
      </c>
      <c r="B529" t="s">
        <v>2211</v>
      </c>
      <c r="C529" t="s">
        <v>2212</v>
      </c>
      <c r="D529" t="s">
        <v>2213</v>
      </c>
      <c r="E529" t="s">
        <v>2214</v>
      </c>
      <c r="F529" t="s">
        <v>2215</v>
      </c>
      <c r="G529" t="s">
        <v>2216</v>
      </c>
      <c r="H529" t="s">
        <v>15</v>
      </c>
      <c r="I529">
        <v>10956</v>
      </c>
    </row>
    <row r="530" spans="1:9" x14ac:dyDescent="0.3">
      <c r="A530">
        <v>529</v>
      </c>
      <c r="B530" t="s">
        <v>2217</v>
      </c>
      <c r="C530" t="s">
        <v>2218</v>
      </c>
      <c r="D530" t="s">
        <v>11</v>
      </c>
      <c r="E530" t="s">
        <v>2219</v>
      </c>
      <c r="F530" t="s">
        <v>2220</v>
      </c>
      <c r="G530" t="s">
        <v>2221</v>
      </c>
      <c r="H530" t="s">
        <v>21</v>
      </c>
      <c r="I530">
        <v>90403</v>
      </c>
    </row>
    <row r="531" spans="1:9" x14ac:dyDescent="0.3">
      <c r="A531">
        <v>530</v>
      </c>
      <c r="B531" t="s">
        <v>2222</v>
      </c>
      <c r="C531" t="s">
        <v>2223</v>
      </c>
      <c r="D531" t="s">
        <v>11</v>
      </c>
      <c r="E531" t="s">
        <v>2224</v>
      </c>
      <c r="F531" t="s">
        <v>2225</v>
      </c>
      <c r="G531" t="s">
        <v>435</v>
      </c>
      <c r="H531" t="s">
        <v>21</v>
      </c>
      <c r="I531">
        <v>91010</v>
      </c>
    </row>
    <row r="532" spans="1:9" x14ac:dyDescent="0.3">
      <c r="A532">
        <v>531</v>
      </c>
      <c r="B532" t="s">
        <v>2226</v>
      </c>
      <c r="C532" t="s">
        <v>2227</v>
      </c>
      <c r="D532" t="s">
        <v>2228</v>
      </c>
      <c r="E532" t="s">
        <v>2229</v>
      </c>
      <c r="F532" t="s">
        <v>2230</v>
      </c>
      <c r="G532" t="s">
        <v>466</v>
      </c>
      <c r="H532" t="s">
        <v>15</v>
      </c>
      <c r="I532">
        <v>12180</v>
      </c>
    </row>
    <row r="533" spans="1:9" x14ac:dyDescent="0.3">
      <c r="A533">
        <v>532</v>
      </c>
      <c r="B533" t="s">
        <v>2231</v>
      </c>
      <c r="C533" t="s">
        <v>2232</v>
      </c>
      <c r="D533" t="s">
        <v>11</v>
      </c>
      <c r="E533" t="s">
        <v>2233</v>
      </c>
      <c r="F533" t="s">
        <v>2234</v>
      </c>
      <c r="G533" t="s">
        <v>411</v>
      </c>
      <c r="H533" t="s">
        <v>21</v>
      </c>
      <c r="I533">
        <v>92236</v>
      </c>
    </row>
    <row r="534" spans="1:9" x14ac:dyDescent="0.3">
      <c r="A534">
        <v>533</v>
      </c>
      <c r="B534" t="s">
        <v>2235</v>
      </c>
      <c r="C534" t="s">
        <v>2236</v>
      </c>
      <c r="D534" t="s">
        <v>2237</v>
      </c>
      <c r="E534" t="s">
        <v>2238</v>
      </c>
      <c r="F534" t="s">
        <v>2239</v>
      </c>
      <c r="G534" t="s">
        <v>602</v>
      </c>
      <c r="H534" t="s">
        <v>80</v>
      </c>
      <c r="I534">
        <v>78418</v>
      </c>
    </row>
    <row r="535" spans="1:9" x14ac:dyDescent="0.3">
      <c r="A535">
        <v>534</v>
      </c>
      <c r="B535" t="s">
        <v>2240</v>
      </c>
      <c r="C535" t="s">
        <v>2241</v>
      </c>
      <c r="D535" t="s">
        <v>11</v>
      </c>
      <c r="E535" t="s">
        <v>2242</v>
      </c>
      <c r="F535" t="s">
        <v>2243</v>
      </c>
      <c r="G535" t="s">
        <v>1571</v>
      </c>
      <c r="H535" t="s">
        <v>15</v>
      </c>
      <c r="I535">
        <v>11793</v>
      </c>
    </row>
    <row r="536" spans="1:9" x14ac:dyDescent="0.3">
      <c r="A536">
        <v>535</v>
      </c>
      <c r="B536" t="s">
        <v>2244</v>
      </c>
      <c r="C536" t="s">
        <v>2245</v>
      </c>
      <c r="D536" t="s">
        <v>2246</v>
      </c>
      <c r="E536" t="s">
        <v>2247</v>
      </c>
      <c r="F536" t="s">
        <v>2248</v>
      </c>
      <c r="G536" t="s">
        <v>146</v>
      </c>
      <c r="H536" t="s">
        <v>15</v>
      </c>
      <c r="I536">
        <v>11561</v>
      </c>
    </row>
    <row r="537" spans="1:9" x14ac:dyDescent="0.3">
      <c r="A537">
        <v>536</v>
      </c>
      <c r="B537" t="s">
        <v>2249</v>
      </c>
      <c r="C537" t="s">
        <v>2250</v>
      </c>
      <c r="D537" t="s">
        <v>11</v>
      </c>
      <c r="E537" t="s">
        <v>2251</v>
      </c>
      <c r="F537" t="s">
        <v>2252</v>
      </c>
      <c r="G537" t="s">
        <v>14</v>
      </c>
      <c r="H537" t="s">
        <v>15</v>
      </c>
      <c r="I537">
        <v>14127</v>
      </c>
    </row>
    <row r="538" spans="1:9" x14ac:dyDescent="0.3">
      <c r="A538">
        <v>537</v>
      </c>
      <c r="B538" t="s">
        <v>228</v>
      </c>
      <c r="C538" t="s">
        <v>2253</v>
      </c>
      <c r="D538" t="s">
        <v>11</v>
      </c>
      <c r="E538" t="s">
        <v>2254</v>
      </c>
      <c r="F538" t="s">
        <v>2255</v>
      </c>
      <c r="G538" t="s">
        <v>1762</v>
      </c>
      <c r="H538" t="s">
        <v>15</v>
      </c>
      <c r="I538">
        <v>10512</v>
      </c>
    </row>
    <row r="539" spans="1:9" x14ac:dyDescent="0.3">
      <c r="A539">
        <v>538</v>
      </c>
      <c r="B539" t="s">
        <v>2256</v>
      </c>
      <c r="C539" t="s">
        <v>2257</v>
      </c>
      <c r="D539" t="s">
        <v>11</v>
      </c>
      <c r="E539" t="s">
        <v>2258</v>
      </c>
      <c r="F539" t="s">
        <v>2259</v>
      </c>
      <c r="G539" t="s">
        <v>366</v>
      </c>
      <c r="H539" t="s">
        <v>21</v>
      </c>
      <c r="I539">
        <v>91733</v>
      </c>
    </row>
    <row r="540" spans="1:9" x14ac:dyDescent="0.3">
      <c r="A540">
        <v>539</v>
      </c>
      <c r="B540" t="s">
        <v>2260</v>
      </c>
      <c r="C540" t="s">
        <v>2261</v>
      </c>
      <c r="D540" t="s">
        <v>11</v>
      </c>
      <c r="E540" t="s">
        <v>2262</v>
      </c>
      <c r="F540" t="s">
        <v>2263</v>
      </c>
      <c r="G540" t="s">
        <v>1240</v>
      </c>
      <c r="H540" t="s">
        <v>15</v>
      </c>
      <c r="I540">
        <v>11417</v>
      </c>
    </row>
    <row r="541" spans="1:9" x14ac:dyDescent="0.3">
      <c r="A541">
        <v>540</v>
      </c>
      <c r="B541" t="s">
        <v>2264</v>
      </c>
      <c r="C541" t="s">
        <v>1273</v>
      </c>
      <c r="D541" t="s">
        <v>11</v>
      </c>
      <c r="E541" t="s">
        <v>2265</v>
      </c>
      <c r="F541" t="s">
        <v>2266</v>
      </c>
      <c r="G541" t="s">
        <v>2267</v>
      </c>
      <c r="H541" t="s">
        <v>21</v>
      </c>
      <c r="I541">
        <v>91762</v>
      </c>
    </row>
    <row r="542" spans="1:9" x14ac:dyDescent="0.3">
      <c r="A542">
        <v>541</v>
      </c>
      <c r="B542" t="s">
        <v>2268</v>
      </c>
      <c r="C542" t="s">
        <v>2269</v>
      </c>
      <c r="D542" t="s">
        <v>11</v>
      </c>
      <c r="E542" t="s">
        <v>2270</v>
      </c>
      <c r="F542" t="s">
        <v>2271</v>
      </c>
      <c r="G542" t="s">
        <v>411</v>
      </c>
      <c r="H542" t="s">
        <v>21</v>
      </c>
      <c r="I542">
        <v>92236</v>
      </c>
    </row>
    <row r="543" spans="1:9" x14ac:dyDescent="0.3">
      <c r="A543">
        <v>542</v>
      </c>
      <c r="B543" t="s">
        <v>2272</v>
      </c>
      <c r="C543" t="s">
        <v>679</v>
      </c>
      <c r="D543" t="s">
        <v>11</v>
      </c>
      <c r="E543" t="s">
        <v>2273</v>
      </c>
      <c r="F543" t="s">
        <v>2274</v>
      </c>
      <c r="G543" t="s">
        <v>1253</v>
      </c>
      <c r="H543" t="s">
        <v>15</v>
      </c>
      <c r="I543">
        <v>11779</v>
      </c>
    </row>
    <row r="544" spans="1:9" x14ac:dyDescent="0.3">
      <c r="A544">
        <v>543</v>
      </c>
      <c r="B544" t="s">
        <v>2275</v>
      </c>
      <c r="C544" t="s">
        <v>2099</v>
      </c>
      <c r="D544" t="s">
        <v>11</v>
      </c>
      <c r="E544" t="s">
        <v>2276</v>
      </c>
      <c r="F544" t="s">
        <v>2277</v>
      </c>
      <c r="G544" t="s">
        <v>740</v>
      </c>
      <c r="H544" t="s">
        <v>80</v>
      </c>
      <c r="I544">
        <v>78023</v>
      </c>
    </row>
    <row r="545" spans="1:9" x14ac:dyDescent="0.3">
      <c r="A545">
        <v>544</v>
      </c>
      <c r="B545" t="s">
        <v>2278</v>
      </c>
      <c r="C545" t="s">
        <v>2279</v>
      </c>
      <c r="D545" t="s">
        <v>11</v>
      </c>
      <c r="E545" t="s">
        <v>2280</v>
      </c>
      <c r="F545" t="s">
        <v>2281</v>
      </c>
      <c r="G545" t="s">
        <v>750</v>
      </c>
      <c r="H545" t="s">
        <v>15</v>
      </c>
      <c r="I545">
        <v>11795</v>
      </c>
    </row>
    <row r="546" spans="1:9" x14ac:dyDescent="0.3">
      <c r="A546">
        <v>545</v>
      </c>
      <c r="B546" t="s">
        <v>2282</v>
      </c>
      <c r="C546" t="s">
        <v>1515</v>
      </c>
      <c r="D546" t="s">
        <v>11</v>
      </c>
      <c r="E546" t="s">
        <v>2283</v>
      </c>
      <c r="F546" t="s">
        <v>2284</v>
      </c>
      <c r="G546" t="s">
        <v>430</v>
      </c>
      <c r="H546" t="s">
        <v>15</v>
      </c>
      <c r="I546">
        <v>13126</v>
      </c>
    </row>
    <row r="547" spans="1:9" x14ac:dyDescent="0.3">
      <c r="A547">
        <v>546</v>
      </c>
      <c r="B547" t="s">
        <v>2285</v>
      </c>
      <c r="C547" t="s">
        <v>2286</v>
      </c>
      <c r="D547" t="s">
        <v>2287</v>
      </c>
      <c r="E547" t="s">
        <v>2288</v>
      </c>
      <c r="F547" t="s">
        <v>2289</v>
      </c>
      <c r="G547" t="s">
        <v>1059</v>
      </c>
      <c r="H547" t="s">
        <v>15</v>
      </c>
      <c r="I547">
        <v>11717</v>
      </c>
    </row>
    <row r="548" spans="1:9" x14ac:dyDescent="0.3">
      <c r="A548">
        <v>547</v>
      </c>
      <c r="B548" t="s">
        <v>456</v>
      </c>
      <c r="C548" t="s">
        <v>2290</v>
      </c>
      <c r="D548" t="s">
        <v>11</v>
      </c>
      <c r="E548" t="s">
        <v>2291</v>
      </c>
      <c r="F548" t="s">
        <v>2292</v>
      </c>
      <c r="G548" t="s">
        <v>615</v>
      </c>
      <c r="H548" t="s">
        <v>15</v>
      </c>
      <c r="I548">
        <v>12550</v>
      </c>
    </row>
    <row r="549" spans="1:9" x14ac:dyDescent="0.3">
      <c r="A549">
        <v>548</v>
      </c>
      <c r="B549" t="s">
        <v>2293</v>
      </c>
      <c r="C549" t="s">
        <v>1447</v>
      </c>
      <c r="D549" t="s">
        <v>11</v>
      </c>
      <c r="E549" t="s">
        <v>2294</v>
      </c>
      <c r="F549" t="s">
        <v>2295</v>
      </c>
      <c r="G549" t="s">
        <v>1227</v>
      </c>
      <c r="H549" t="s">
        <v>15</v>
      </c>
      <c r="I549">
        <v>12401</v>
      </c>
    </row>
    <row r="550" spans="1:9" x14ac:dyDescent="0.3">
      <c r="A550">
        <v>549</v>
      </c>
      <c r="B550" t="s">
        <v>2296</v>
      </c>
      <c r="C550" t="s">
        <v>2297</v>
      </c>
      <c r="D550" t="s">
        <v>2298</v>
      </c>
      <c r="E550" t="s">
        <v>2299</v>
      </c>
      <c r="F550" t="s">
        <v>2300</v>
      </c>
      <c r="G550" t="s">
        <v>146</v>
      </c>
      <c r="H550" t="s">
        <v>15</v>
      </c>
      <c r="I550">
        <v>11561</v>
      </c>
    </row>
    <row r="551" spans="1:9" x14ac:dyDescent="0.3">
      <c r="A551">
        <v>550</v>
      </c>
      <c r="B551" t="s">
        <v>2301</v>
      </c>
      <c r="C551" t="s">
        <v>173</v>
      </c>
      <c r="D551" t="s">
        <v>11</v>
      </c>
      <c r="E551" t="s">
        <v>2302</v>
      </c>
      <c r="F551" t="s">
        <v>2303</v>
      </c>
      <c r="G551" t="s">
        <v>627</v>
      </c>
      <c r="H551" t="s">
        <v>15</v>
      </c>
      <c r="I551">
        <v>14094</v>
      </c>
    </row>
    <row r="552" spans="1:9" x14ac:dyDescent="0.3">
      <c r="A552">
        <v>551</v>
      </c>
      <c r="B552" t="s">
        <v>2304</v>
      </c>
      <c r="C552" t="s">
        <v>2305</v>
      </c>
      <c r="D552" t="s">
        <v>2306</v>
      </c>
      <c r="E552" t="s">
        <v>2307</v>
      </c>
      <c r="F552" t="s">
        <v>2308</v>
      </c>
      <c r="G552" t="s">
        <v>2154</v>
      </c>
      <c r="H552" t="s">
        <v>80</v>
      </c>
      <c r="I552">
        <v>76110</v>
      </c>
    </row>
    <row r="553" spans="1:9" x14ac:dyDescent="0.3">
      <c r="A553">
        <v>552</v>
      </c>
      <c r="B553" t="s">
        <v>2309</v>
      </c>
      <c r="C553" t="s">
        <v>2310</v>
      </c>
      <c r="D553" t="s">
        <v>11</v>
      </c>
      <c r="E553" t="s">
        <v>2311</v>
      </c>
      <c r="F553" t="s">
        <v>2312</v>
      </c>
      <c r="G553" t="s">
        <v>755</v>
      </c>
      <c r="H553" t="s">
        <v>21</v>
      </c>
      <c r="I553">
        <v>92220</v>
      </c>
    </row>
    <row r="554" spans="1:9" x14ac:dyDescent="0.3">
      <c r="A554">
        <v>553</v>
      </c>
      <c r="B554" t="s">
        <v>2313</v>
      </c>
      <c r="C554" t="s">
        <v>1616</v>
      </c>
      <c r="D554" t="s">
        <v>11</v>
      </c>
      <c r="E554" t="s">
        <v>2314</v>
      </c>
      <c r="F554" t="s">
        <v>2315</v>
      </c>
      <c r="G554" t="s">
        <v>353</v>
      </c>
      <c r="H554" t="s">
        <v>21</v>
      </c>
      <c r="I554">
        <v>95677</v>
      </c>
    </row>
    <row r="555" spans="1:9" x14ac:dyDescent="0.3">
      <c r="A555">
        <v>554</v>
      </c>
      <c r="B555" t="s">
        <v>2316</v>
      </c>
      <c r="C555" t="s">
        <v>1854</v>
      </c>
      <c r="D555" t="s">
        <v>11</v>
      </c>
      <c r="E555" t="s">
        <v>2317</v>
      </c>
      <c r="F555" t="s">
        <v>2318</v>
      </c>
      <c r="G555" t="s">
        <v>20</v>
      </c>
      <c r="H555" t="s">
        <v>21</v>
      </c>
      <c r="I555">
        <v>95008</v>
      </c>
    </row>
    <row r="556" spans="1:9" x14ac:dyDescent="0.3">
      <c r="A556">
        <v>555</v>
      </c>
      <c r="B556" t="s">
        <v>2319</v>
      </c>
      <c r="C556" t="s">
        <v>2320</v>
      </c>
      <c r="D556" t="s">
        <v>11</v>
      </c>
      <c r="E556" t="s">
        <v>2321</v>
      </c>
      <c r="F556" t="s">
        <v>2322</v>
      </c>
      <c r="G556" t="s">
        <v>85</v>
      </c>
      <c r="H556" t="s">
        <v>80</v>
      </c>
      <c r="I556">
        <v>75126</v>
      </c>
    </row>
    <row r="557" spans="1:9" x14ac:dyDescent="0.3">
      <c r="A557">
        <v>556</v>
      </c>
      <c r="B557" t="s">
        <v>2323</v>
      </c>
      <c r="C557" t="s">
        <v>391</v>
      </c>
      <c r="D557" t="s">
        <v>11</v>
      </c>
      <c r="E557" t="s">
        <v>2324</v>
      </c>
      <c r="F557" t="s">
        <v>2325</v>
      </c>
      <c r="G557" t="s">
        <v>63</v>
      </c>
      <c r="H557" t="s">
        <v>15</v>
      </c>
      <c r="I557">
        <v>10950</v>
      </c>
    </row>
    <row r="558" spans="1:9" x14ac:dyDescent="0.3">
      <c r="A558">
        <v>557</v>
      </c>
      <c r="B558" t="s">
        <v>2326</v>
      </c>
      <c r="C558" t="s">
        <v>2327</v>
      </c>
      <c r="D558" t="s">
        <v>11</v>
      </c>
      <c r="E558" t="s">
        <v>2328</v>
      </c>
      <c r="F558" t="s">
        <v>2329</v>
      </c>
      <c r="G558" t="s">
        <v>1505</v>
      </c>
      <c r="H558" t="s">
        <v>15</v>
      </c>
      <c r="I558">
        <v>10550</v>
      </c>
    </row>
    <row r="559" spans="1:9" x14ac:dyDescent="0.3">
      <c r="A559">
        <v>558</v>
      </c>
      <c r="B559" t="s">
        <v>1394</v>
      </c>
      <c r="C559" t="s">
        <v>2330</v>
      </c>
      <c r="D559" t="s">
        <v>11</v>
      </c>
      <c r="E559" t="s">
        <v>2331</v>
      </c>
      <c r="F559" t="s">
        <v>2332</v>
      </c>
      <c r="G559" t="s">
        <v>63</v>
      </c>
      <c r="H559" t="s">
        <v>15</v>
      </c>
      <c r="I559">
        <v>10950</v>
      </c>
    </row>
    <row r="560" spans="1:9" x14ac:dyDescent="0.3">
      <c r="A560">
        <v>559</v>
      </c>
      <c r="B560" t="s">
        <v>2333</v>
      </c>
      <c r="C560" t="s">
        <v>2334</v>
      </c>
      <c r="D560" t="s">
        <v>2335</v>
      </c>
      <c r="E560" t="s">
        <v>2336</v>
      </c>
      <c r="F560" t="s">
        <v>2337</v>
      </c>
      <c r="G560" t="s">
        <v>1059</v>
      </c>
      <c r="H560" t="s">
        <v>15</v>
      </c>
      <c r="I560">
        <v>11717</v>
      </c>
    </row>
    <row r="561" spans="1:9" x14ac:dyDescent="0.3">
      <c r="A561">
        <v>560</v>
      </c>
      <c r="B561" t="s">
        <v>2338</v>
      </c>
      <c r="C561" t="s">
        <v>2339</v>
      </c>
      <c r="D561" t="s">
        <v>11</v>
      </c>
      <c r="E561" t="s">
        <v>2340</v>
      </c>
      <c r="F561" t="s">
        <v>2341</v>
      </c>
      <c r="G561" t="s">
        <v>85</v>
      </c>
      <c r="H561" t="s">
        <v>80</v>
      </c>
      <c r="I561">
        <v>75126</v>
      </c>
    </row>
    <row r="562" spans="1:9" x14ac:dyDescent="0.3">
      <c r="A562">
        <v>561</v>
      </c>
      <c r="B562" t="s">
        <v>1567</v>
      </c>
      <c r="C562" t="s">
        <v>2342</v>
      </c>
      <c r="D562" t="s">
        <v>11</v>
      </c>
      <c r="E562" t="s">
        <v>2343</v>
      </c>
      <c r="F562" t="s">
        <v>2344</v>
      </c>
      <c r="G562" t="s">
        <v>251</v>
      </c>
      <c r="H562" t="s">
        <v>21</v>
      </c>
      <c r="I562">
        <v>94580</v>
      </c>
    </row>
    <row r="563" spans="1:9" x14ac:dyDescent="0.3">
      <c r="A563">
        <v>562</v>
      </c>
      <c r="B563" t="s">
        <v>2240</v>
      </c>
      <c r="C563" t="s">
        <v>2345</v>
      </c>
      <c r="D563" t="s">
        <v>11</v>
      </c>
      <c r="E563" t="s">
        <v>2346</v>
      </c>
      <c r="F563" t="s">
        <v>2347</v>
      </c>
      <c r="G563" t="s">
        <v>444</v>
      </c>
      <c r="H563" t="s">
        <v>21</v>
      </c>
      <c r="I563">
        <v>91784</v>
      </c>
    </row>
    <row r="564" spans="1:9" x14ac:dyDescent="0.3">
      <c r="A564">
        <v>563</v>
      </c>
      <c r="B564" t="s">
        <v>2348</v>
      </c>
      <c r="C564" t="s">
        <v>728</v>
      </c>
      <c r="D564" t="s">
        <v>11</v>
      </c>
      <c r="E564" t="s">
        <v>2349</v>
      </c>
      <c r="F564" t="s">
        <v>2350</v>
      </c>
      <c r="G564" t="s">
        <v>226</v>
      </c>
      <c r="H564" t="s">
        <v>15</v>
      </c>
      <c r="I564">
        <v>11418</v>
      </c>
    </row>
    <row r="565" spans="1:9" x14ac:dyDescent="0.3">
      <c r="A565">
        <v>564</v>
      </c>
      <c r="B565" t="s">
        <v>1451</v>
      </c>
      <c r="C565" t="s">
        <v>2351</v>
      </c>
      <c r="D565" t="s">
        <v>11</v>
      </c>
      <c r="E565" t="s">
        <v>2352</v>
      </c>
      <c r="F565" t="s">
        <v>2353</v>
      </c>
      <c r="G565" t="s">
        <v>460</v>
      </c>
      <c r="H565" t="s">
        <v>15</v>
      </c>
      <c r="I565">
        <v>11735</v>
      </c>
    </row>
    <row r="566" spans="1:9" x14ac:dyDescent="0.3">
      <c r="A566">
        <v>565</v>
      </c>
      <c r="B566" t="s">
        <v>2354</v>
      </c>
      <c r="C566" t="s">
        <v>2355</v>
      </c>
      <c r="D566" t="s">
        <v>11</v>
      </c>
      <c r="E566" t="s">
        <v>2356</v>
      </c>
      <c r="F566" t="s">
        <v>2357</v>
      </c>
      <c r="G566" t="s">
        <v>314</v>
      </c>
      <c r="H566" t="s">
        <v>80</v>
      </c>
      <c r="I566">
        <v>76901</v>
      </c>
    </row>
    <row r="567" spans="1:9" x14ac:dyDescent="0.3">
      <c r="A567">
        <v>566</v>
      </c>
      <c r="B567" t="s">
        <v>2358</v>
      </c>
      <c r="C567" t="s">
        <v>2359</v>
      </c>
      <c r="D567" t="s">
        <v>11</v>
      </c>
      <c r="E567" t="s">
        <v>2360</v>
      </c>
      <c r="F567" t="s">
        <v>2361</v>
      </c>
      <c r="G567" t="s">
        <v>2037</v>
      </c>
      <c r="H567" t="s">
        <v>80</v>
      </c>
      <c r="I567">
        <v>77566</v>
      </c>
    </row>
    <row r="568" spans="1:9" x14ac:dyDescent="0.3">
      <c r="A568">
        <v>567</v>
      </c>
      <c r="B568" t="s">
        <v>2362</v>
      </c>
      <c r="C568" t="s">
        <v>2087</v>
      </c>
      <c r="D568" t="s">
        <v>11</v>
      </c>
      <c r="E568" t="s">
        <v>2363</v>
      </c>
      <c r="F568" t="s">
        <v>2364</v>
      </c>
      <c r="G568" t="s">
        <v>79</v>
      </c>
      <c r="H568" t="s">
        <v>80</v>
      </c>
      <c r="I568">
        <v>75604</v>
      </c>
    </row>
    <row r="569" spans="1:9" x14ac:dyDescent="0.3">
      <c r="A569">
        <v>568</v>
      </c>
      <c r="B569" t="s">
        <v>2365</v>
      </c>
      <c r="C569" t="s">
        <v>567</v>
      </c>
      <c r="D569" t="s">
        <v>11</v>
      </c>
      <c r="E569" t="s">
        <v>2366</v>
      </c>
      <c r="F569" t="s">
        <v>2367</v>
      </c>
      <c r="G569" t="s">
        <v>750</v>
      </c>
      <c r="H569" t="s">
        <v>15</v>
      </c>
      <c r="I569">
        <v>11795</v>
      </c>
    </row>
    <row r="570" spans="1:9" x14ac:dyDescent="0.3">
      <c r="A570">
        <v>569</v>
      </c>
      <c r="B570" t="s">
        <v>2368</v>
      </c>
      <c r="C570" t="s">
        <v>1055</v>
      </c>
      <c r="D570" t="s">
        <v>11</v>
      </c>
      <c r="E570" t="s">
        <v>2369</v>
      </c>
      <c r="F570" t="s">
        <v>2370</v>
      </c>
      <c r="G570" t="s">
        <v>2221</v>
      </c>
      <c r="H570" t="s">
        <v>21</v>
      </c>
      <c r="I570">
        <v>90403</v>
      </c>
    </row>
    <row r="571" spans="1:9" x14ac:dyDescent="0.3">
      <c r="A571">
        <v>570</v>
      </c>
      <c r="B571" t="s">
        <v>2371</v>
      </c>
      <c r="C571" t="s">
        <v>2000</v>
      </c>
      <c r="D571" t="s">
        <v>11</v>
      </c>
      <c r="E571" t="s">
        <v>2372</v>
      </c>
      <c r="F571" t="s">
        <v>2373</v>
      </c>
      <c r="G571" t="s">
        <v>682</v>
      </c>
      <c r="H571" t="s">
        <v>15</v>
      </c>
      <c r="I571">
        <v>11412</v>
      </c>
    </row>
    <row r="572" spans="1:9" x14ac:dyDescent="0.3">
      <c r="A572">
        <v>571</v>
      </c>
      <c r="B572" t="s">
        <v>2374</v>
      </c>
      <c r="C572" t="s">
        <v>2375</v>
      </c>
      <c r="D572" t="s">
        <v>11</v>
      </c>
      <c r="E572" t="s">
        <v>2376</v>
      </c>
      <c r="F572" t="s">
        <v>2377</v>
      </c>
      <c r="G572" t="s">
        <v>181</v>
      </c>
      <c r="H572" t="s">
        <v>21</v>
      </c>
      <c r="I572">
        <v>90274</v>
      </c>
    </row>
    <row r="573" spans="1:9" x14ac:dyDescent="0.3">
      <c r="A573">
        <v>572</v>
      </c>
      <c r="B573" t="s">
        <v>2378</v>
      </c>
      <c r="C573" t="s">
        <v>1038</v>
      </c>
      <c r="D573" t="s">
        <v>11</v>
      </c>
      <c r="E573" t="s">
        <v>2379</v>
      </c>
      <c r="F573" t="s">
        <v>2380</v>
      </c>
      <c r="G573" t="s">
        <v>2381</v>
      </c>
      <c r="H573" t="s">
        <v>15</v>
      </c>
      <c r="I573">
        <v>13021</v>
      </c>
    </row>
    <row r="574" spans="1:9" x14ac:dyDescent="0.3">
      <c r="A574">
        <v>573</v>
      </c>
      <c r="B574" t="s">
        <v>2382</v>
      </c>
      <c r="C574" t="s">
        <v>306</v>
      </c>
      <c r="D574" t="s">
        <v>2383</v>
      </c>
      <c r="E574" t="s">
        <v>2384</v>
      </c>
      <c r="F574" t="s">
        <v>2385</v>
      </c>
      <c r="G574" t="s">
        <v>466</v>
      </c>
      <c r="H574" t="s">
        <v>15</v>
      </c>
      <c r="I574">
        <v>12180</v>
      </c>
    </row>
    <row r="575" spans="1:9" x14ac:dyDescent="0.3">
      <c r="A575">
        <v>574</v>
      </c>
      <c r="B575" t="s">
        <v>2386</v>
      </c>
      <c r="C575" t="s">
        <v>1047</v>
      </c>
      <c r="D575" t="s">
        <v>11</v>
      </c>
      <c r="E575" t="s">
        <v>2387</v>
      </c>
      <c r="F575" t="s">
        <v>2388</v>
      </c>
      <c r="G575" t="s">
        <v>216</v>
      </c>
      <c r="H575" t="s">
        <v>21</v>
      </c>
      <c r="I575">
        <v>91316</v>
      </c>
    </row>
    <row r="576" spans="1:9" x14ac:dyDescent="0.3">
      <c r="A576">
        <v>575</v>
      </c>
      <c r="B576" t="s">
        <v>2389</v>
      </c>
      <c r="C576" t="s">
        <v>2390</v>
      </c>
      <c r="D576" t="s">
        <v>11</v>
      </c>
      <c r="E576" t="s">
        <v>2391</v>
      </c>
      <c r="F576" t="s">
        <v>2392</v>
      </c>
      <c r="G576" t="s">
        <v>957</v>
      </c>
      <c r="H576" t="s">
        <v>15</v>
      </c>
      <c r="I576">
        <v>11432</v>
      </c>
    </row>
    <row r="577" spans="1:9" x14ac:dyDescent="0.3">
      <c r="A577">
        <v>576</v>
      </c>
      <c r="B577" t="s">
        <v>2393</v>
      </c>
      <c r="C577" t="s">
        <v>301</v>
      </c>
      <c r="D577" t="s">
        <v>2394</v>
      </c>
      <c r="E577" t="s">
        <v>2395</v>
      </c>
      <c r="F577" t="s">
        <v>2396</v>
      </c>
      <c r="G577" t="s">
        <v>1145</v>
      </c>
      <c r="H577" t="s">
        <v>80</v>
      </c>
      <c r="I577">
        <v>79930</v>
      </c>
    </row>
    <row r="578" spans="1:9" x14ac:dyDescent="0.3">
      <c r="A578">
        <v>577</v>
      </c>
      <c r="B578" t="s">
        <v>2397</v>
      </c>
      <c r="C578" t="s">
        <v>2398</v>
      </c>
      <c r="D578" t="s">
        <v>11</v>
      </c>
      <c r="E578" t="s">
        <v>2399</v>
      </c>
      <c r="F578" t="s">
        <v>2400</v>
      </c>
      <c r="G578" t="s">
        <v>353</v>
      </c>
      <c r="H578" t="s">
        <v>21</v>
      </c>
      <c r="I578">
        <v>95677</v>
      </c>
    </row>
    <row r="579" spans="1:9" x14ac:dyDescent="0.3">
      <c r="A579">
        <v>578</v>
      </c>
      <c r="B579" t="s">
        <v>2401</v>
      </c>
      <c r="C579" t="s">
        <v>1278</v>
      </c>
      <c r="D579" t="s">
        <v>11</v>
      </c>
      <c r="E579" t="s">
        <v>2402</v>
      </c>
      <c r="F579" t="s">
        <v>2403</v>
      </c>
      <c r="G579" t="s">
        <v>251</v>
      </c>
      <c r="H579" t="s">
        <v>21</v>
      </c>
      <c r="I579">
        <v>94580</v>
      </c>
    </row>
    <row r="580" spans="1:9" x14ac:dyDescent="0.3">
      <c r="A580">
        <v>579</v>
      </c>
      <c r="B580" t="s">
        <v>2404</v>
      </c>
      <c r="C580" t="s">
        <v>780</v>
      </c>
      <c r="D580" t="s">
        <v>11</v>
      </c>
      <c r="E580" t="s">
        <v>2405</v>
      </c>
      <c r="F580" t="s">
        <v>2406</v>
      </c>
      <c r="G580" t="s">
        <v>1787</v>
      </c>
      <c r="H580" t="s">
        <v>80</v>
      </c>
      <c r="I580">
        <v>78552</v>
      </c>
    </row>
    <row r="581" spans="1:9" x14ac:dyDescent="0.3">
      <c r="A581">
        <v>580</v>
      </c>
      <c r="B581" t="s">
        <v>1203</v>
      </c>
      <c r="C581" t="s">
        <v>1327</v>
      </c>
      <c r="D581" t="s">
        <v>2407</v>
      </c>
      <c r="E581" t="s">
        <v>2408</v>
      </c>
      <c r="F581" t="s">
        <v>2409</v>
      </c>
      <c r="G581" t="s">
        <v>2410</v>
      </c>
      <c r="H581" t="s">
        <v>21</v>
      </c>
      <c r="I581">
        <v>90008</v>
      </c>
    </row>
    <row r="582" spans="1:9" x14ac:dyDescent="0.3">
      <c r="A582">
        <v>581</v>
      </c>
      <c r="B582" t="s">
        <v>2411</v>
      </c>
      <c r="C582" t="s">
        <v>2412</v>
      </c>
      <c r="D582" t="s">
        <v>11</v>
      </c>
      <c r="E582" t="s">
        <v>2413</v>
      </c>
      <c r="F582" t="s">
        <v>2414</v>
      </c>
      <c r="G582" t="s">
        <v>818</v>
      </c>
      <c r="H582" t="s">
        <v>21</v>
      </c>
      <c r="I582">
        <v>95050</v>
      </c>
    </row>
    <row r="583" spans="1:9" x14ac:dyDescent="0.3">
      <c r="A583">
        <v>582</v>
      </c>
      <c r="B583" t="s">
        <v>2415</v>
      </c>
      <c r="C583" t="s">
        <v>1037</v>
      </c>
      <c r="D583" t="s">
        <v>11</v>
      </c>
      <c r="E583" t="s">
        <v>2416</v>
      </c>
      <c r="F583" t="s">
        <v>2417</v>
      </c>
      <c r="G583" t="s">
        <v>53</v>
      </c>
      <c r="H583" t="s">
        <v>15</v>
      </c>
      <c r="I583">
        <v>11372</v>
      </c>
    </row>
    <row r="584" spans="1:9" x14ac:dyDescent="0.3">
      <c r="A584">
        <v>583</v>
      </c>
      <c r="B584" t="s">
        <v>2418</v>
      </c>
      <c r="C584" t="s">
        <v>2419</v>
      </c>
      <c r="D584" t="s">
        <v>2420</v>
      </c>
      <c r="E584" t="s">
        <v>2421</v>
      </c>
      <c r="F584" t="s">
        <v>2422</v>
      </c>
      <c r="G584" t="s">
        <v>146</v>
      </c>
      <c r="H584" t="s">
        <v>15</v>
      </c>
      <c r="I584">
        <v>11561</v>
      </c>
    </row>
    <row r="585" spans="1:9" x14ac:dyDescent="0.3">
      <c r="A585">
        <v>584</v>
      </c>
      <c r="B585" t="s">
        <v>2423</v>
      </c>
      <c r="C585" t="s">
        <v>1380</v>
      </c>
      <c r="D585" t="s">
        <v>2424</v>
      </c>
      <c r="E585" t="s">
        <v>2425</v>
      </c>
      <c r="F585" t="s">
        <v>2426</v>
      </c>
      <c r="G585" t="s">
        <v>1145</v>
      </c>
      <c r="H585" t="s">
        <v>80</v>
      </c>
      <c r="I585">
        <v>79930</v>
      </c>
    </row>
    <row r="586" spans="1:9" x14ac:dyDescent="0.3">
      <c r="A586">
        <v>585</v>
      </c>
      <c r="B586" t="s">
        <v>1907</v>
      </c>
      <c r="C586" t="s">
        <v>864</v>
      </c>
      <c r="D586" t="s">
        <v>11</v>
      </c>
      <c r="E586" t="s">
        <v>2427</v>
      </c>
      <c r="F586" t="s">
        <v>2428</v>
      </c>
      <c r="G586" t="s">
        <v>353</v>
      </c>
      <c r="H586" t="s">
        <v>21</v>
      </c>
      <c r="I586">
        <v>95677</v>
      </c>
    </row>
    <row r="587" spans="1:9" x14ac:dyDescent="0.3">
      <c r="A587">
        <v>586</v>
      </c>
      <c r="B587" t="s">
        <v>2429</v>
      </c>
      <c r="C587" t="s">
        <v>2430</v>
      </c>
      <c r="D587" t="s">
        <v>11</v>
      </c>
      <c r="E587" t="s">
        <v>2431</v>
      </c>
      <c r="F587" t="s">
        <v>2432</v>
      </c>
      <c r="G587" t="s">
        <v>68</v>
      </c>
      <c r="H587" t="s">
        <v>15</v>
      </c>
      <c r="I587">
        <v>10952</v>
      </c>
    </row>
    <row r="588" spans="1:9" x14ac:dyDescent="0.3">
      <c r="A588">
        <v>587</v>
      </c>
      <c r="B588" t="s">
        <v>2433</v>
      </c>
      <c r="C588" t="s">
        <v>2434</v>
      </c>
      <c r="D588" t="s">
        <v>11</v>
      </c>
      <c r="E588" t="s">
        <v>2435</v>
      </c>
      <c r="F588" t="s">
        <v>2436</v>
      </c>
      <c r="G588" t="s">
        <v>1762</v>
      </c>
      <c r="H588" t="s">
        <v>15</v>
      </c>
      <c r="I588">
        <v>10512</v>
      </c>
    </row>
    <row r="589" spans="1:9" x14ac:dyDescent="0.3">
      <c r="A589">
        <v>588</v>
      </c>
      <c r="B589" t="s">
        <v>2437</v>
      </c>
      <c r="C589" t="s">
        <v>2310</v>
      </c>
      <c r="D589" t="s">
        <v>11</v>
      </c>
      <c r="E589" t="s">
        <v>2438</v>
      </c>
      <c r="F589" t="s">
        <v>2439</v>
      </c>
      <c r="G589" t="s">
        <v>1585</v>
      </c>
      <c r="H589" t="s">
        <v>15</v>
      </c>
      <c r="I589">
        <v>11580</v>
      </c>
    </row>
    <row r="590" spans="1:9" x14ac:dyDescent="0.3">
      <c r="A590">
        <v>589</v>
      </c>
      <c r="B590" t="s">
        <v>2440</v>
      </c>
      <c r="C590" t="s">
        <v>2441</v>
      </c>
      <c r="D590" t="s">
        <v>11</v>
      </c>
      <c r="E590" t="s">
        <v>2442</v>
      </c>
      <c r="F590" t="s">
        <v>2443</v>
      </c>
      <c r="G590" t="s">
        <v>1180</v>
      </c>
      <c r="H590" t="s">
        <v>21</v>
      </c>
      <c r="I590">
        <v>94566</v>
      </c>
    </row>
    <row r="591" spans="1:9" x14ac:dyDescent="0.3">
      <c r="A591">
        <v>590</v>
      </c>
      <c r="B591" t="s">
        <v>1696</v>
      </c>
      <c r="C591" t="s">
        <v>2444</v>
      </c>
      <c r="D591" t="s">
        <v>11</v>
      </c>
      <c r="E591" t="s">
        <v>2445</v>
      </c>
      <c r="F591" t="s">
        <v>2446</v>
      </c>
      <c r="G591" t="s">
        <v>55</v>
      </c>
      <c r="H591" t="s">
        <v>15</v>
      </c>
      <c r="I591">
        <v>11510</v>
      </c>
    </row>
    <row r="592" spans="1:9" x14ac:dyDescent="0.3">
      <c r="A592">
        <v>591</v>
      </c>
      <c r="B592" t="s">
        <v>2447</v>
      </c>
      <c r="C592" t="s">
        <v>931</v>
      </c>
      <c r="D592" t="s">
        <v>11</v>
      </c>
      <c r="E592" t="s">
        <v>2448</v>
      </c>
      <c r="F592" t="s">
        <v>2449</v>
      </c>
      <c r="G592" t="s">
        <v>903</v>
      </c>
      <c r="H592" t="s">
        <v>15</v>
      </c>
      <c r="I592">
        <v>11801</v>
      </c>
    </row>
    <row r="593" spans="1:9" x14ac:dyDescent="0.3">
      <c r="A593">
        <v>592</v>
      </c>
      <c r="B593" t="s">
        <v>2450</v>
      </c>
      <c r="C593" t="s">
        <v>866</v>
      </c>
      <c r="D593" t="s">
        <v>11</v>
      </c>
      <c r="E593" t="s">
        <v>2451</v>
      </c>
      <c r="F593" t="s">
        <v>2452</v>
      </c>
      <c r="G593" t="s">
        <v>1310</v>
      </c>
      <c r="H593" t="s">
        <v>15</v>
      </c>
      <c r="I593">
        <v>11720</v>
      </c>
    </row>
    <row r="594" spans="1:9" x14ac:dyDescent="0.3">
      <c r="A594">
        <v>593</v>
      </c>
      <c r="B594" t="s">
        <v>2453</v>
      </c>
      <c r="C594" t="s">
        <v>2454</v>
      </c>
      <c r="D594" t="s">
        <v>11</v>
      </c>
      <c r="E594" t="s">
        <v>2455</v>
      </c>
      <c r="F594" t="s">
        <v>2456</v>
      </c>
      <c r="G594" t="s">
        <v>709</v>
      </c>
      <c r="H594" t="s">
        <v>15</v>
      </c>
      <c r="I594">
        <v>11787</v>
      </c>
    </row>
    <row r="595" spans="1:9" x14ac:dyDescent="0.3">
      <c r="A595">
        <v>594</v>
      </c>
      <c r="B595" t="s">
        <v>2457</v>
      </c>
      <c r="C595" t="s">
        <v>1384</v>
      </c>
      <c r="D595" t="s">
        <v>11</v>
      </c>
      <c r="E595" t="s">
        <v>2458</v>
      </c>
      <c r="F595" t="s">
        <v>2459</v>
      </c>
      <c r="G595" t="s">
        <v>420</v>
      </c>
      <c r="H595" t="s">
        <v>15</v>
      </c>
      <c r="I595">
        <v>11757</v>
      </c>
    </row>
    <row r="596" spans="1:9" x14ac:dyDescent="0.3">
      <c r="A596">
        <v>595</v>
      </c>
      <c r="B596" t="s">
        <v>2460</v>
      </c>
      <c r="C596" t="s">
        <v>1599</v>
      </c>
      <c r="D596" t="s">
        <v>11</v>
      </c>
      <c r="E596" t="s">
        <v>2461</v>
      </c>
      <c r="F596" t="s">
        <v>2462</v>
      </c>
      <c r="G596" t="s">
        <v>1597</v>
      </c>
      <c r="H596" t="s">
        <v>15</v>
      </c>
      <c r="I596">
        <v>14850</v>
      </c>
    </row>
    <row r="597" spans="1:9" x14ac:dyDescent="0.3">
      <c r="A597">
        <v>596</v>
      </c>
      <c r="B597" t="s">
        <v>2463</v>
      </c>
      <c r="C597" t="s">
        <v>2464</v>
      </c>
      <c r="D597" t="s">
        <v>11</v>
      </c>
      <c r="E597" t="s">
        <v>2465</v>
      </c>
      <c r="F597" t="s">
        <v>2466</v>
      </c>
      <c r="G597" t="s">
        <v>641</v>
      </c>
      <c r="H597" t="s">
        <v>15</v>
      </c>
      <c r="I597">
        <v>14075</v>
      </c>
    </row>
    <row r="598" spans="1:9" x14ac:dyDescent="0.3">
      <c r="A598">
        <v>597</v>
      </c>
      <c r="B598" t="s">
        <v>2179</v>
      </c>
      <c r="C598" t="s">
        <v>2205</v>
      </c>
      <c r="D598" t="s">
        <v>11</v>
      </c>
      <c r="E598" t="s">
        <v>2467</v>
      </c>
      <c r="F598" t="s">
        <v>2468</v>
      </c>
      <c r="G598" t="s">
        <v>200</v>
      </c>
      <c r="H598" t="s">
        <v>15</v>
      </c>
      <c r="I598">
        <v>11378</v>
      </c>
    </row>
    <row r="599" spans="1:9" x14ac:dyDescent="0.3">
      <c r="A599">
        <v>598</v>
      </c>
      <c r="B599" t="s">
        <v>2469</v>
      </c>
      <c r="C599" t="s">
        <v>2470</v>
      </c>
      <c r="D599" t="s">
        <v>11</v>
      </c>
      <c r="E599" t="s">
        <v>2471</v>
      </c>
      <c r="F599" t="s">
        <v>2472</v>
      </c>
      <c r="G599" t="s">
        <v>1731</v>
      </c>
      <c r="H599" t="s">
        <v>15</v>
      </c>
      <c r="I599">
        <v>14043</v>
      </c>
    </row>
    <row r="600" spans="1:9" x14ac:dyDescent="0.3">
      <c r="A600">
        <v>599</v>
      </c>
      <c r="B600" t="s">
        <v>2473</v>
      </c>
      <c r="C600" t="s">
        <v>2474</v>
      </c>
      <c r="D600" t="s">
        <v>11</v>
      </c>
      <c r="E600" t="s">
        <v>2475</v>
      </c>
      <c r="F600" t="s">
        <v>2476</v>
      </c>
      <c r="G600" t="s">
        <v>924</v>
      </c>
      <c r="H600" t="s">
        <v>80</v>
      </c>
      <c r="I600">
        <v>79106</v>
      </c>
    </row>
    <row r="601" spans="1:9" x14ac:dyDescent="0.3">
      <c r="A601">
        <v>600</v>
      </c>
      <c r="B601" t="s">
        <v>2477</v>
      </c>
      <c r="C601" t="s">
        <v>2478</v>
      </c>
      <c r="D601" t="s">
        <v>2479</v>
      </c>
      <c r="E601" t="s">
        <v>2480</v>
      </c>
      <c r="F601" t="s">
        <v>2481</v>
      </c>
      <c r="G601" t="s">
        <v>455</v>
      </c>
      <c r="H601" t="s">
        <v>21</v>
      </c>
      <c r="I601">
        <v>92111</v>
      </c>
    </row>
    <row r="602" spans="1:9" x14ac:dyDescent="0.3">
      <c r="A602">
        <v>601</v>
      </c>
      <c r="B602" t="s">
        <v>2482</v>
      </c>
      <c r="C602" t="s">
        <v>2483</v>
      </c>
      <c r="D602" t="s">
        <v>11</v>
      </c>
      <c r="E602" t="s">
        <v>2484</v>
      </c>
      <c r="F602" t="s">
        <v>2485</v>
      </c>
      <c r="G602" t="s">
        <v>216</v>
      </c>
      <c r="H602" t="s">
        <v>21</v>
      </c>
      <c r="I602">
        <v>91316</v>
      </c>
    </row>
    <row r="603" spans="1:9" x14ac:dyDescent="0.3">
      <c r="A603">
        <v>602</v>
      </c>
      <c r="B603" t="s">
        <v>2486</v>
      </c>
      <c r="C603" t="s">
        <v>1055</v>
      </c>
      <c r="D603" t="s">
        <v>11</v>
      </c>
      <c r="E603" t="s">
        <v>2487</v>
      </c>
      <c r="F603" t="s">
        <v>2488</v>
      </c>
      <c r="G603" t="s">
        <v>924</v>
      </c>
      <c r="H603" t="s">
        <v>80</v>
      </c>
      <c r="I603">
        <v>79106</v>
      </c>
    </row>
    <row r="604" spans="1:9" x14ac:dyDescent="0.3">
      <c r="A604">
        <v>603</v>
      </c>
      <c r="B604" t="s">
        <v>2489</v>
      </c>
      <c r="C604" t="s">
        <v>1131</v>
      </c>
      <c r="D604" t="s">
        <v>11</v>
      </c>
      <c r="E604" t="s">
        <v>2490</v>
      </c>
      <c r="F604" t="s">
        <v>2491</v>
      </c>
      <c r="G604" t="s">
        <v>2492</v>
      </c>
      <c r="H604" t="s">
        <v>15</v>
      </c>
      <c r="I604">
        <v>11040</v>
      </c>
    </row>
    <row r="605" spans="1:9" x14ac:dyDescent="0.3">
      <c r="A605">
        <v>604</v>
      </c>
      <c r="B605" t="s">
        <v>2493</v>
      </c>
      <c r="C605" t="s">
        <v>2166</v>
      </c>
      <c r="D605" t="s">
        <v>11</v>
      </c>
      <c r="E605" t="s">
        <v>2494</v>
      </c>
      <c r="F605" t="s">
        <v>2495</v>
      </c>
      <c r="G605" t="s">
        <v>323</v>
      </c>
      <c r="H605" t="s">
        <v>15</v>
      </c>
      <c r="I605">
        <v>11701</v>
      </c>
    </row>
    <row r="606" spans="1:9" x14ac:dyDescent="0.3">
      <c r="A606">
        <v>605</v>
      </c>
      <c r="B606" t="s">
        <v>2496</v>
      </c>
      <c r="C606" t="s">
        <v>292</v>
      </c>
      <c r="D606" t="s">
        <v>11</v>
      </c>
      <c r="E606" t="s">
        <v>2497</v>
      </c>
      <c r="F606" t="s">
        <v>2498</v>
      </c>
      <c r="G606" t="s">
        <v>1837</v>
      </c>
      <c r="H606" t="s">
        <v>15</v>
      </c>
      <c r="I606">
        <v>10801</v>
      </c>
    </row>
    <row r="607" spans="1:9" x14ac:dyDescent="0.3">
      <c r="A607">
        <v>606</v>
      </c>
      <c r="B607" t="s">
        <v>2499</v>
      </c>
      <c r="C607" t="s">
        <v>345</v>
      </c>
      <c r="D607" t="s">
        <v>11</v>
      </c>
      <c r="E607" t="s">
        <v>2500</v>
      </c>
      <c r="F607" t="s">
        <v>2501</v>
      </c>
      <c r="G607" t="s">
        <v>1627</v>
      </c>
      <c r="H607" t="s">
        <v>15</v>
      </c>
      <c r="I607">
        <v>12590</v>
      </c>
    </row>
    <row r="608" spans="1:9" x14ac:dyDescent="0.3">
      <c r="A608">
        <v>607</v>
      </c>
      <c r="B608" t="s">
        <v>874</v>
      </c>
      <c r="C608" t="s">
        <v>2107</v>
      </c>
      <c r="D608" t="s">
        <v>11</v>
      </c>
      <c r="E608" t="s">
        <v>2502</v>
      </c>
      <c r="F608" t="s">
        <v>2503</v>
      </c>
      <c r="G608" t="s">
        <v>1911</v>
      </c>
      <c r="H608" t="s">
        <v>21</v>
      </c>
      <c r="I608">
        <v>92083</v>
      </c>
    </row>
    <row r="609" spans="1:9" x14ac:dyDescent="0.3">
      <c r="A609">
        <v>608</v>
      </c>
      <c r="B609" t="s">
        <v>2504</v>
      </c>
      <c r="C609" t="s">
        <v>2505</v>
      </c>
      <c r="D609" t="s">
        <v>11</v>
      </c>
      <c r="E609" t="s">
        <v>2506</v>
      </c>
      <c r="F609" t="s">
        <v>2507</v>
      </c>
      <c r="G609" t="s">
        <v>1750</v>
      </c>
      <c r="H609" t="s">
        <v>15</v>
      </c>
      <c r="I609">
        <v>11967</v>
      </c>
    </row>
    <row r="610" spans="1:9" x14ac:dyDescent="0.3">
      <c r="A610">
        <v>609</v>
      </c>
      <c r="B610" t="s">
        <v>554</v>
      </c>
      <c r="C610" t="s">
        <v>142</v>
      </c>
      <c r="D610" t="s">
        <v>11</v>
      </c>
      <c r="E610" t="s">
        <v>2508</v>
      </c>
      <c r="F610" t="s">
        <v>2509</v>
      </c>
      <c r="G610" t="s">
        <v>519</v>
      </c>
      <c r="H610" t="s">
        <v>15</v>
      </c>
      <c r="I610">
        <v>11421</v>
      </c>
    </row>
    <row r="611" spans="1:9" x14ac:dyDescent="0.3">
      <c r="A611">
        <v>610</v>
      </c>
      <c r="B611" t="s">
        <v>2510</v>
      </c>
      <c r="C611" t="s">
        <v>297</v>
      </c>
      <c r="D611" t="s">
        <v>11</v>
      </c>
      <c r="E611" t="s">
        <v>2511</v>
      </c>
      <c r="F611" t="s">
        <v>2512</v>
      </c>
      <c r="G611" t="s">
        <v>53</v>
      </c>
      <c r="H611" t="s">
        <v>15</v>
      </c>
      <c r="I611">
        <v>11372</v>
      </c>
    </row>
    <row r="612" spans="1:9" x14ac:dyDescent="0.3">
      <c r="A612">
        <v>611</v>
      </c>
      <c r="B612" t="s">
        <v>2513</v>
      </c>
      <c r="C612" t="s">
        <v>1456</v>
      </c>
      <c r="D612" t="s">
        <v>11</v>
      </c>
      <c r="E612" t="s">
        <v>2514</v>
      </c>
      <c r="F612" t="s">
        <v>2515</v>
      </c>
      <c r="G612" t="s">
        <v>1293</v>
      </c>
      <c r="H612" t="s">
        <v>15</v>
      </c>
      <c r="I612">
        <v>11756</v>
      </c>
    </row>
    <row r="613" spans="1:9" x14ac:dyDescent="0.3">
      <c r="A613">
        <v>612</v>
      </c>
      <c r="B613" t="s">
        <v>2516</v>
      </c>
      <c r="C613" t="s">
        <v>2517</v>
      </c>
      <c r="D613" t="s">
        <v>11</v>
      </c>
      <c r="E613" t="s">
        <v>2518</v>
      </c>
      <c r="F613" t="s">
        <v>2519</v>
      </c>
      <c r="G613" t="s">
        <v>938</v>
      </c>
      <c r="H613" t="s">
        <v>15</v>
      </c>
      <c r="I613">
        <v>12020</v>
      </c>
    </row>
    <row r="614" spans="1:9" x14ac:dyDescent="0.3">
      <c r="A614">
        <v>613</v>
      </c>
      <c r="B614" t="s">
        <v>2520</v>
      </c>
      <c r="C614" t="s">
        <v>1138</v>
      </c>
      <c r="D614" t="s">
        <v>11</v>
      </c>
      <c r="E614" t="s">
        <v>2521</v>
      </c>
      <c r="F614" t="s">
        <v>2522</v>
      </c>
      <c r="G614" t="s">
        <v>1571</v>
      </c>
      <c r="H614" t="s">
        <v>15</v>
      </c>
      <c r="I614">
        <v>11793</v>
      </c>
    </row>
    <row r="615" spans="1:9" x14ac:dyDescent="0.3">
      <c r="A615">
        <v>614</v>
      </c>
      <c r="B615" t="s">
        <v>2523</v>
      </c>
      <c r="C615" t="s">
        <v>2524</v>
      </c>
      <c r="D615" t="s">
        <v>11</v>
      </c>
      <c r="E615" t="s">
        <v>2525</v>
      </c>
      <c r="F615" t="s">
        <v>2526</v>
      </c>
      <c r="G615" t="s">
        <v>1906</v>
      </c>
      <c r="H615" t="s">
        <v>15</v>
      </c>
      <c r="I615">
        <v>12010</v>
      </c>
    </row>
    <row r="616" spans="1:9" x14ac:dyDescent="0.3">
      <c r="A616">
        <v>615</v>
      </c>
      <c r="B616" t="s">
        <v>2260</v>
      </c>
      <c r="C616" t="s">
        <v>2375</v>
      </c>
      <c r="D616" t="s">
        <v>11</v>
      </c>
      <c r="E616" t="s">
        <v>2527</v>
      </c>
      <c r="F616" t="s">
        <v>2528</v>
      </c>
      <c r="G616" t="s">
        <v>2529</v>
      </c>
      <c r="H616" t="s">
        <v>15</v>
      </c>
      <c r="I616">
        <v>11365</v>
      </c>
    </row>
    <row r="617" spans="1:9" x14ac:dyDescent="0.3">
      <c r="A617">
        <v>616</v>
      </c>
      <c r="B617" t="s">
        <v>2264</v>
      </c>
      <c r="C617" t="s">
        <v>2530</v>
      </c>
      <c r="D617" t="s">
        <v>11</v>
      </c>
      <c r="E617" t="s">
        <v>2531</v>
      </c>
      <c r="F617" t="s">
        <v>2532</v>
      </c>
      <c r="G617" t="s">
        <v>475</v>
      </c>
      <c r="H617" t="s">
        <v>15</v>
      </c>
      <c r="I617">
        <v>12866</v>
      </c>
    </row>
    <row r="618" spans="1:9" x14ac:dyDescent="0.3">
      <c r="A618">
        <v>617</v>
      </c>
      <c r="B618" t="s">
        <v>2533</v>
      </c>
      <c r="C618" t="s">
        <v>1813</v>
      </c>
      <c r="D618" t="s">
        <v>11</v>
      </c>
      <c r="E618" t="s">
        <v>2534</v>
      </c>
      <c r="F618" t="s">
        <v>2535</v>
      </c>
      <c r="G618" t="s">
        <v>2536</v>
      </c>
      <c r="H618" t="s">
        <v>15</v>
      </c>
      <c r="I618">
        <v>10598</v>
      </c>
    </row>
    <row r="619" spans="1:9" x14ac:dyDescent="0.3">
      <c r="A619">
        <v>618</v>
      </c>
      <c r="B619" t="s">
        <v>2537</v>
      </c>
      <c r="C619" t="s">
        <v>1038</v>
      </c>
      <c r="D619" t="s">
        <v>11</v>
      </c>
      <c r="E619" t="s">
        <v>2538</v>
      </c>
      <c r="F619" t="s">
        <v>2539</v>
      </c>
      <c r="G619" t="s">
        <v>226</v>
      </c>
      <c r="H619" t="s">
        <v>15</v>
      </c>
      <c r="I619">
        <v>11418</v>
      </c>
    </row>
    <row r="620" spans="1:9" x14ac:dyDescent="0.3">
      <c r="A620">
        <v>619</v>
      </c>
      <c r="B620" t="s">
        <v>2540</v>
      </c>
      <c r="C620" t="s">
        <v>1936</v>
      </c>
      <c r="D620" t="s">
        <v>2541</v>
      </c>
      <c r="E620" t="s">
        <v>2542</v>
      </c>
      <c r="F620" t="s">
        <v>2543</v>
      </c>
      <c r="G620" t="s">
        <v>545</v>
      </c>
      <c r="H620" t="s">
        <v>21</v>
      </c>
      <c r="I620">
        <v>92806</v>
      </c>
    </row>
    <row r="621" spans="1:9" x14ac:dyDescent="0.3">
      <c r="A621">
        <v>620</v>
      </c>
      <c r="B621" t="s">
        <v>2544</v>
      </c>
      <c r="C621" t="s">
        <v>103</v>
      </c>
      <c r="D621" t="s">
        <v>11</v>
      </c>
      <c r="E621" t="s">
        <v>2545</v>
      </c>
      <c r="F621" t="s">
        <v>2546</v>
      </c>
      <c r="G621" t="s">
        <v>957</v>
      </c>
      <c r="H621" t="s">
        <v>15</v>
      </c>
      <c r="I621">
        <v>11432</v>
      </c>
    </row>
    <row r="622" spans="1:9" x14ac:dyDescent="0.3">
      <c r="A622">
        <v>621</v>
      </c>
      <c r="B622" t="s">
        <v>2547</v>
      </c>
      <c r="C622" t="s">
        <v>1899</v>
      </c>
      <c r="D622" t="s">
        <v>11</v>
      </c>
      <c r="E622" t="s">
        <v>2548</v>
      </c>
      <c r="F622" t="s">
        <v>2549</v>
      </c>
      <c r="G622" t="s">
        <v>251</v>
      </c>
      <c r="H622" t="s">
        <v>21</v>
      </c>
      <c r="I622">
        <v>94580</v>
      </c>
    </row>
    <row r="623" spans="1:9" x14ac:dyDescent="0.3">
      <c r="A623">
        <v>622</v>
      </c>
      <c r="B623" t="s">
        <v>2516</v>
      </c>
      <c r="C623" t="s">
        <v>851</v>
      </c>
      <c r="D623" t="s">
        <v>11</v>
      </c>
      <c r="E623" t="s">
        <v>2550</v>
      </c>
      <c r="F623" t="s">
        <v>2551</v>
      </c>
      <c r="G623" t="s">
        <v>2552</v>
      </c>
      <c r="H623" t="s">
        <v>15</v>
      </c>
      <c r="I623">
        <v>12065</v>
      </c>
    </row>
    <row r="624" spans="1:9" x14ac:dyDescent="0.3">
      <c r="A624">
        <v>623</v>
      </c>
      <c r="B624" t="s">
        <v>2553</v>
      </c>
      <c r="C624" t="s">
        <v>1481</v>
      </c>
      <c r="D624" t="s">
        <v>11</v>
      </c>
      <c r="E624" t="s">
        <v>2554</v>
      </c>
      <c r="F624" t="s">
        <v>2555</v>
      </c>
      <c r="G624" t="s">
        <v>646</v>
      </c>
      <c r="H624" t="s">
        <v>15</v>
      </c>
      <c r="I624">
        <v>11727</v>
      </c>
    </row>
    <row r="625" spans="1:9" x14ac:dyDescent="0.3">
      <c r="A625">
        <v>624</v>
      </c>
      <c r="B625" t="s">
        <v>2556</v>
      </c>
      <c r="C625" t="s">
        <v>2557</v>
      </c>
      <c r="D625" t="s">
        <v>2558</v>
      </c>
      <c r="E625" t="s">
        <v>2559</v>
      </c>
      <c r="F625" t="s">
        <v>2560</v>
      </c>
      <c r="G625" t="s">
        <v>146</v>
      </c>
      <c r="H625" t="s">
        <v>15</v>
      </c>
      <c r="I625">
        <v>11561</v>
      </c>
    </row>
    <row r="626" spans="1:9" x14ac:dyDescent="0.3">
      <c r="A626">
        <v>625</v>
      </c>
      <c r="B626" t="s">
        <v>2561</v>
      </c>
      <c r="C626" t="s">
        <v>2562</v>
      </c>
      <c r="D626" t="s">
        <v>11</v>
      </c>
      <c r="E626" t="s">
        <v>2563</v>
      </c>
      <c r="F626" t="s">
        <v>2564</v>
      </c>
      <c r="G626" t="s">
        <v>864</v>
      </c>
      <c r="H626" t="s">
        <v>15</v>
      </c>
      <c r="I626">
        <v>14580</v>
      </c>
    </row>
    <row r="627" spans="1:9" x14ac:dyDescent="0.3">
      <c r="A627">
        <v>626</v>
      </c>
      <c r="B627" t="s">
        <v>2565</v>
      </c>
      <c r="C627" t="s">
        <v>178</v>
      </c>
      <c r="D627" t="s">
        <v>11</v>
      </c>
      <c r="E627" t="s">
        <v>2566</v>
      </c>
      <c r="F627" t="s">
        <v>2567</v>
      </c>
      <c r="G627" t="s">
        <v>1434</v>
      </c>
      <c r="H627" t="s">
        <v>15</v>
      </c>
      <c r="I627">
        <v>12302</v>
      </c>
    </row>
    <row r="628" spans="1:9" x14ac:dyDescent="0.3">
      <c r="A628">
        <v>627</v>
      </c>
      <c r="B628" t="s">
        <v>177</v>
      </c>
      <c r="C628" t="s">
        <v>780</v>
      </c>
      <c r="D628" t="s">
        <v>11</v>
      </c>
      <c r="E628" t="s">
        <v>2568</v>
      </c>
      <c r="F628" t="s">
        <v>2569</v>
      </c>
      <c r="G628" t="s">
        <v>435</v>
      </c>
      <c r="H628" t="s">
        <v>21</v>
      </c>
      <c r="I628">
        <v>91010</v>
      </c>
    </row>
    <row r="629" spans="1:9" x14ac:dyDescent="0.3">
      <c r="A629">
        <v>628</v>
      </c>
      <c r="B629" t="s">
        <v>2570</v>
      </c>
      <c r="C629" t="s">
        <v>2571</v>
      </c>
      <c r="D629" t="s">
        <v>11</v>
      </c>
      <c r="E629" t="s">
        <v>2572</v>
      </c>
      <c r="F629" t="s">
        <v>2573</v>
      </c>
      <c r="G629" t="s">
        <v>627</v>
      </c>
      <c r="H629" t="s">
        <v>15</v>
      </c>
      <c r="I629">
        <v>14094</v>
      </c>
    </row>
    <row r="630" spans="1:9" x14ac:dyDescent="0.3">
      <c r="A630">
        <v>629</v>
      </c>
      <c r="B630" t="s">
        <v>2574</v>
      </c>
      <c r="C630" t="s">
        <v>2575</v>
      </c>
      <c r="D630" t="s">
        <v>2576</v>
      </c>
      <c r="E630" t="s">
        <v>2577</v>
      </c>
      <c r="F630" t="s">
        <v>2578</v>
      </c>
      <c r="G630" t="s">
        <v>48</v>
      </c>
      <c r="H630" t="s">
        <v>15</v>
      </c>
      <c r="I630">
        <v>14215</v>
      </c>
    </row>
    <row r="631" spans="1:9" x14ac:dyDescent="0.3">
      <c r="A631">
        <v>630</v>
      </c>
      <c r="B631" t="s">
        <v>2579</v>
      </c>
      <c r="C631" t="s">
        <v>202</v>
      </c>
      <c r="D631" t="s">
        <v>11</v>
      </c>
      <c r="E631" t="s">
        <v>2580</v>
      </c>
      <c r="F631" t="s">
        <v>2581</v>
      </c>
      <c r="G631" t="s">
        <v>1906</v>
      </c>
      <c r="H631" t="s">
        <v>15</v>
      </c>
      <c r="I631">
        <v>12010</v>
      </c>
    </row>
    <row r="632" spans="1:9" x14ac:dyDescent="0.3">
      <c r="A632">
        <v>631</v>
      </c>
      <c r="B632" t="s">
        <v>2582</v>
      </c>
      <c r="C632" t="s">
        <v>1555</v>
      </c>
      <c r="D632" t="s">
        <v>11</v>
      </c>
      <c r="E632" t="s">
        <v>2583</v>
      </c>
      <c r="F632" t="s">
        <v>2584</v>
      </c>
      <c r="G632" t="s">
        <v>156</v>
      </c>
      <c r="H632" t="s">
        <v>15</v>
      </c>
      <c r="I632">
        <v>10562</v>
      </c>
    </row>
    <row r="633" spans="1:9" x14ac:dyDescent="0.3">
      <c r="A633">
        <v>632</v>
      </c>
      <c r="B633" t="s">
        <v>2585</v>
      </c>
      <c r="C633" t="s">
        <v>2586</v>
      </c>
      <c r="D633" t="s">
        <v>11</v>
      </c>
      <c r="E633" t="s">
        <v>2587</v>
      </c>
      <c r="F633" t="s">
        <v>2588</v>
      </c>
      <c r="G633" t="s">
        <v>449</v>
      </c>
      <c r="H633" t="s">
        <v>15</v>
      </c>
      <c r="I633">
        <v>11010</v>
      </c>
    </row>
    <row r="634" spans="1:9" x14ac:dyDescent="0.3">
      <c r="A634">
        <v>633</v>
      </c>
      <c r="B634" t="s">
        <v>2589</v>
      </c>
      <c r="C634" t="s">
        <v>1104</v>
      </c>
      <c r="D634" t="s">
        <v>2590</v>
      </c>
      <c r="E634" t="s">
        <v>2591</v>
      </c>
      <c r="F634" t="s">
        <v>2592</v>
      </c>
      <c r="G634" t="s">
        <v>545</v>
      </c>
      <c r="H634" t="s">
        <v>21</v>
      </c>
      <c r="I634">
        <v>92806</v>
      </c>
    </row>
    <row r="635" spans="1:9" x14ac:dyDescent="0.3">
      <c r="A635">
        <v>634</v>
      </c>
      <c r="B635" t="s">
        <v>2137</v>
      </c>
      <c r="C635" t="s">
        <v>1563</v>
      </c>
      <c r="D635" t="s">
        <v>11</v>
      </c>
      <c r="E635" t="s">
        <v>2593</v>
      </c>
      <c r="F635" t="s">
        <v>2594</v>
      </c>
      <c r="G635" t="s">
        <v>1762</v>
      </c>
      <c r="H635" t="s">
        <v>15</v>
      </c>
      <c r="I635">
        <v>10512</v>
      </c>
    </row>
    <row r="636" spans="1:9" x14ac:dyDescent="0.3">
      <c r="A636">
        <v>635</v>
      </c>
      <c r="B636" t="s">
        <v>2595</v>
      </c>
      <c r="C636" t="s">
        <v>2596</v>
      </c>
      <c r="D636" t="s">
        <v>11</v>
      </c>
      <c r="E636" t="s">
        <v>2597</v>
      </c>
      <c r="F636" t="s">
        <v>2598</v>
      </c>
      <c r="G636" t="s">
        <v>267</v>
      </c>
      <c r="H636" t="s">
        <v>15</v>
      </c>
      <c r="I636">
        <v>11566</v>
      </c>
    </row>
    <row r="637" spans="1:9" x14ac:dyDescent="0.3">
      <c r="A637">
        <v>636</v>
      </c>
      <c r="B637" t="s">
        <v>2599</v>
      </c>
      <c r="C637" t="s">
        <v>2600</v>
      </c>
      <c r="D637" t="s">
        <v>11</v>
      </c>
      <c r="E637" t="s">
        <v>2601</v>
      </c>
      <c r="F637" t="s">
        <v>2602</v>
      </c>
      <c r="G637" t="s">
        <v>533</v>
      </c>
      <c r="H637" t="s">
        <v>15</v>
      </c>
      <c r="I637">
        <v>11001</v>
      </c>
    </row>
    <row r="638" spans="1:9" x14ac:dyDescent="0.3">
      <c r="A638">
        <v>637</v>
      </c>
      <c r="B638" t="s">
        <v>2603</v>
      </c>
      <c r="C638" t="s">
        <v>477</v>
      </c>
      <c r="D638" t="s">
        <v>11</v>
      </c>
      <c r="E638" t="s">
        <v>2604</v>
      </c>
      <c r="F638" t="s">
        <v>2605</v>
      </c>
      <c r="G638" t="s">
        <v>156</v>
      </c>
      <c r="H638" t="s">
        <v>15</v>
      </c>
      <c r="I638">
        <v>10562</v>
      </c>
    </row>
    <row r="639" spans="1:9" x14ac:dyDescent="0.3">
      <c r="A639">
        <v>638</v>
      </c>
      <c r="B639" t="s">
        <v>2606</v>
      </c>
      <c r="C639" t="s">
        <v>477</v>
      </c>
      <c r="D639" t="s">
        <v>11</v>
      </c>
      <c r="E639" t="s">
        <v>2607</v>
      </c>
      <c r="F639" t="s">
        <v>2608</v>
      </c>
      <c r="G639" t="s">
        <v>1281</v>
      </c>
      <c r="H639" t="s">
        <v>15</v>
      </c>
      <c r="I639">
        <v>12601</v>
      </c>
    </row>
    <row r="640" spans="1:9" x14ac:dyDescent="0.3">
      <c r="A640">
        <v>639</v>
      </c>
      <c r="B640" t="s">
        <v>2609</v>
      </c>
      <c r="C640" t="s">
        <v>1384</v>
      </c>
      <c r="D640" t="s">
        <v>11</v>
      </c>
      <c r="E640" t="s">
        <v>2610</v>
      </c>
      <c r="F640" t="s">
        <v>2611</v>
      </c>
      <c r="G640" t="s">
        <v>200</v>
      </c>
      <c r="H640" t="s">
        <v>15</v>
      </c>
      <c r="I640">
        <v>11378</v>
      </c>
    </row>
    <row r="641" spans="1:9" x14ac:dyDescent="0.3">
      <c r="A641">
        <v>640</v>
      </c>
      <c r="B641" t="s">
        <v>2612</v>
      </c>
      <c r="C641" t="s">
        <v>2613</v>
      </c>
      <c r="D641" t="s">
        <v>2614</v>
      </c>
      <c r="E641" t="s">
        <v>2615</v>
      </c>
      <c r="F641" t="s">
        <v>2616</v>
      </c>
      <c r="G641" t="s">
        <v>2216</v>
      </c>
      <c r="H641" t="s">
        <v>15</v>
      </c>
      <c r="I641">
        <v>10956</v>
      </c>
    </row>
    <row r="642" spans="1:9" x14ac:dyDescent="0.3">
      <c r="A642">
        <v>641</v>
      </c>
      <c r="B642" t="s">
        <v>2617</v>
      </c>
      <c r="C642" t="s">
        <v>1229</v>
      </c>
      <c r="D642" t="s">
        <v>11</v>
      </c>
      <c r="E642" t="s">
        <v>2618</v>
      </c>
      <c r="F642" t="s">
        <v>2619</v>
      </c>
      <c r="G642" t="s">
        <v>277</v>
      </c>
      <c r="H642" t="s">
        <v>21</v>
      </c>
      <c r="I642">
        <v>91740</v>
      </c>
    </row>
    <row r="643" spans="1:9" x14ac:dyDescent="0.3">
      <c r="A643">
        <v>642</v>
      </c>
      <c r="B643" t="s">
        <v>279</v>
      </c>
      <c r="C643" t="s">
        <v>2620</v>
      </c>
      <c r="D643" t="s">
        <v>11</v>
      </c>
      <c r="E643" t="s">
        <v>2621</v>
      </c>
      <c r="F643" t="s">
        <v>2622</v>
      </c>
      <c r="G643" t="s">
        <v>864</v>
      </c>
      <c r="H643" t="s">
        <v>15</v>
      </c>
      <c r="I643">
        <v>14580</v>
      </c>
    </row>
    <row r="644" spans="1:9" x14ac:dyDescent="0.3">
      <c r="A644">
        <v>643</v>
      </c>
      <c r="B644" t="s">
        <v>2623</v>
      </c>
      <c r="C644" t="s">
        <v>2624</v>
      </c>
      <c r="D644" t="s">
        <v>11</v>
      </c>
      <c r="E644" t="s">
        <v>2625</v>
      </c>
      <c r="F644" t="s">
        <v>2626</v>
      </c>
      <c r="G644" t="s">
        <v>533</v>
      </c>
      <c r="H644" t="s">
        <v>15</v>
      </c>
      <c r="I644">
        <v>11001</v>
      </c>
    </row>
    <row r="645" spans="1:9" x14ac:dyDescent="0.3">
      <c r="A645">
        <v>644</v>
      </c>
      <c r="B645" t="s">
        <v>2627</v>
      </c>
      <c r="C645" t="s">
        <v>2628</v>
      </c>
      <c r="D645" t="s">
        <v>11</v>
      </c>
      <c r="E645" t="s">
        <v>2629</v>
      </c>
      <c r="F645" t="s">
        <v>2630</v>
      </c>
      <c r="G645" t="s">
        <v>420</v>
      </c>
      <c r="H645" t="s">
        <v>15</v>
      </c>
      <c r="I645">
        <v>11757</v>
      </c>
    </row>
    <row r="646" spans="1:9" x14ac:dyDescent="0.3">
      <c r="A646">
        <v>645</v>
      </c>
      <c r="B646" t="s">
        <v>2631</v>
      </c>
      <c r="C646" t="s">
        <v>274</v>
      </c>
      <c r="D646" t="s">
        <v>2632</v>
      </c>
      <c r="E646" t="s">
        <v>2633</v>
      </c>
      <c r="F646" t="s">
        <v>2634</v>
      </c>
      <c r="G646" t="s">
        <v>1059</v>
      </c>
      <c r="H646" t="s">
        <v>15</v>
      </c>
      <c r="I646">
        <v>11717</v>
      </c>
    </row>
    <row r="647" spans="1:9" x14ac:dyDescent="0.3">
      <c r="A647">
        <v>646</v>
      </c>
      <c r="B647" t="s">
        <v>2635</v>
      </c>
      <c r="C647" t="s">
        <v>2636</v>
      </c>
      <c r="D647" t="s">
        <v>11</v>
      </c>
      <c r="E647" t="s">
        <v>2637</v>
      </c>
      <c r="F647" t="s">
        <v>2638</v>
      </c>
      <c r="G647" t="s">
        <v>366</v>
      </c>
      <c r="H647" t="s">
        <v>21</v>
      </c>
      <c r="I647">
        <v>91733</v>
      </c>
    </row>
    <row r="648" spans="1:9" x14ac:dyDescent="0.3">
      <c r="A648">
        <v>647</v>
      </c>
      <c r="B648" t="s">
        <v>2639</v>
      </c>
      <c r="C648" t="s">
        <v>2640</v>
      </c>
      <c r="D648" t="s">
        <v>11</v>
      </c>
      <c r="E648" t="s">
        <v>2641</v>
      </c>
      <c r="F648" t="s">
        <v>2642</v>
      </c>
      <c r="G648" t="s">
        <v>226</v>
      </c>
      <c r="H648" t="s">
        <v>15</v>
      </c>
      <c r="I648">
        <v>11418</v>
      </c>
    </row>
    <row r="649" spans="1:9" x14ac:dyDescent="0.3">
      <c r="A649">
        <v>648</v>
      </c>
      <c r="B649" t="s">
        <v>2643</v>
      </c>
      <c r="C649" t="s">
        <v>2111</v>
      </c>
      <c r="D649" t="s">
        <v>11</v>
      </c>
      <c r="E649" t="s">
        <v>2644</v>
      </c>
      <c r="F649" t="s">
        <v>2645</v>
      </c>
      <c r="G649" t="s">
        <v>1121</v>
      </c>
      <c r="H649" t="s">
        <v>21</v>
      </c>
      <c r="I649">
        <v>94806</v>
      </c>
    </row>
    <row r="650" spans="1:9" x14ac:dyDescent="0.3">
      <c r="A650">
        <v>649</v>
      </c>
      <c r="B650" t="s">
        <v>2646</v>
      </c>
      <c r="C650" t="s">
        <v>1029</v>
      </c>
      <c r="D650" t="s">
        <v>11</v>
      </c>
      <c r="E650" t="s">
        <v>2647</v>
      </c>
      <c r="F650" t="s">
        <v>2648</v>
      </c>
      <c r="G650" t="s">
        <v>1253</v>
      </c>
      <c r="H650" t="s">
        <v>15</v>
      </c>
      <c r="I650">
        <v>11779</v>
      </c>
    </row>
    <row r="651" spans="1:9" x14ac:dyDescent="0.3">
      <c r="A651">
        <v>650</v>
      </c>
      <c r="B651" t="s">
        <v>2649</v>
      </c>
      <c r="C651" t="s">
        <v>2650</v>
      </c>
      <c r="D651" t="s">
        <v>11</v>
      </c>
      <c r="E651" t="s">
        <v>2651</v>
      </c>
      <c r="F651" t="s">
        <v>2652</v>
      </c>
      <c r="G651" t="s">
        <v>156</v>
      </c>
      <c r="H651" t="s">
        <v>15</v>
      </c>
      <c r="I651">
        <v>10562</v>
      </c>
    </row>
    <row r="652" spans="1:9" x14ac:dyDescent="0.3">
      <c r="A652">
        <v>651</v>
      </c>
      <c r="B652" t="s">
        <v>2653</v>
      </c>
      <c r="C652" t="s">
        <v>1662</v>
      </c>
      <c r="D652" t="s">
        <v>11</v>
      </c>
      <c r="E652" t="s">
        <v>2654</v>
      </c>
      <c r="F652" t="s">
        <v>2655</v>
      </c>
      <c r="G652" t="s">
        <v>1627</v>
      </c>
      <c r="H652" t="s">
        <v>15</v>
      </c>
      <c r="I652">
        <v>12590</v>
      </c>
    </row>
    <row r="653" spans="1:9" x14ac:dyDescent="0.3">
      <c r="A653">
        <v>652</v>
      </c>
      <c r="B653" t="s">
        <v>2656</v>
      </c>
      <c r="C653" t="s">
        <v>340</v>
      </c>
      <c r="D653" t="s">
        <v>2657</v>
      </c>
      <c r="E653" t="s">
        <v>2658</v>
      </c>
      <c r="F653" t="s">
        <v>2659</v>
      </c>
      <c r="G653" t="s">
        <v>466</v>
      </c>
      <c r="H653" t="s">
        <v>15</v>
      </c>
      <c r="I653">
        <v>12180</v>
      </c>
    </row>
    <row r="654" spans="1:9" x14ac:dyDescent="0.3">
      <c r="A654">
        <v>653</v>
      </c>
      <c r="B654" t="s">
        <v>2660</v>
      </c>
      <c r="C654" t="s">
        <v>670</v>
      </c>
      <c r="D654" t="s">
        <v>11</v>
      </c>
      <c r="E654" t="s">
        <v>2661</v>
      </c>
      <c r="F654" t="s">
        <v>2662</v>
      </c>
      <c r="G654" t="s">
        <v>2663</v>
      </c>
      <c r="H654" t="s">
        <v>15</v>
      </c>
      <c r="I654">
        <v>14701</v>
      </c>
    </row>
    <row r="655" spans="1:9" x14ac:dyDescent="0.3">
      <c r="A655">
        <v>654</v>
      </c>
      <c r="B655" t="s">
        <v>2664</v>
      </c>
      <c r="C655" t="s">
        <v>953</v>
      </c>
      <c r="D655" t="s">
        <v>2665</v>
      </c>
      <c r="E655" t="s">
        <v>2666</v>
      </c>
      <c r="F655" t="s">
        <v>2667</v>
      </c>
      <c r="G655" t="s">
        <v>455</v>
      </c>
      <c r="H655" t="s">
        <v>21</v>
      </c>
      <c r="I655">
        <v>92111</v>
      </c>
    </row>
    <row r="656" spans="1:9" x14ac:dyDescent="0.3">
      <c r="A656">
        <v>655</v>
      </c>
      <c r="B656" t="s">
        <v>2668</v>
      </c>
      <c r="C656" t="s">
        <v>202</v>
      </c>
      <c r="D656" t="s">
        <v>11</v>
      </c>
      <c r="E656" t="s">
        <v>2669</v>
      </c>
      <c r="F656" t="s">
        <v>2670</v>
      </c>
      <c r="G656" t="s">
        <v>101</v>
      </c>
      <c r="H656" t="s">
        <v>15</v>
      </c>
      <c r="I656">
        <v>10583</v>
      </c>
    </row>
    <row r="657" spans="1:9" x14ac:dyDescent="0.3">
      <c r="A657">
        <v>656</v>
      </c>
      <c r="B657" t="s">
        <v>2671</v>
      </c>
      <c r="C657" t="s">
        <v>2672</v>
      </c>
      <c r="D657" t="s">
        <v>11</v>
      </c>
      <c r="E657" t="s">
        <v>2673</v>
      </c>
      <c r="F657" t="s">
        <v>2674</v>
      </c>
      <c r="G657" t="s">
        <v>533</v>
      </c>
      <c r="H657" t="s">
        <v>15</v>
      </c>
      <c r="I657">
        <v>11001</v>
      </c>
    </row>
    <row r="658" spans="1:9" x14ac:dyDescent="0.3">
      <c r="A658">
        <v>657</v>
      </c>
      <c r="B658" t="s">
        <v>2675</v>
      </c>
      <c r="C658" t="s">
        <v>2107</v>
      </c>
      <c r="D658" t="s">
        <v>11</v>
      </c>
      <c r="E658" t="s">
        <v>2676</v>
      </c>
      <c r="F658" t="s">
        <v>2677</v>
      </c>
      <c r="G658" t="s">
        <v>55</v>
      </c>
      <c r="H658" t="s">
        <v>15</v>
      </c>
      <c r="I658">
        <v>11510</v>
      </c>
    </row>
    <row r="659" spans="1:9" x14ac:dyDescent="0.3">
      <c r="A659">
        <v>658</v>
      </c>
      <c r="B659" t="s">
        <v>2678</v>
      </c>
      <c r="C659" t="s">
        <v>780</v>
      </c>
      <c r="D659" t="s">
        <v>11</v>
      </c>
      <c r="E659" t="s">
        <v>2679</v>
      </c>
      <c r="F659" t="s">
        <v>2680</v>
      </c>
      <c r="G659" t="s">
        <v>68</v>
      </c>
      <c r="H659" t="s">
        <v>15</v>
      </c>
      <c r="I659">
        <v>10952</v>
      </c>
    </row>
    <row r="660" spans="1:9" x14ac:dyDescent="0.3">
      <c r="A660">
        <v>659</v>
      </c>
      <c r="B660" t="s">
        <v>2681</v>
      </c>
      <c r="C660" t="s">
        <v>2682</v>
      </c>
      <c r="D660" t="s">
        <v>11</v>
      </c>
      <c r="E660" t="s">
        <v>2683</v>
      </c>
      <c r="F660" t="s">
        <v>2684</v>
      </c>
      <c r="G660" t="s">
        <v>695</v>
      </c>
      <c r="H660" t="s">
        <v>15</v>
      </c>
      <c r="I660">
        <v>10573</v>
      </c>
    </row>
    <row r="661" spans="1:9" x14ac:dyDescent="0.3">
      <c r="A661">
        <v>660</v>
      </c>
      <c r="B661" t="s">
        <v>2685</v>
      </c>
      <c r="C661" t="s">
        <v>1038</v>
      </c>
      <c r="D661" t="s">
        <v>11</v>
      </c>
      <c r="E661" t="s">
        <v>2686</v>
      </c>
      <c r="F661" t="s">
        <v>2687</v>
      </c>
      <c r="G661" t="s">
        <v>970</v>
      </c>
      <c r="H661" t="s">
        <v>21</v>
      </c>
      <c r="I661">
        <v>93555</v>
      </c>
    </row>
    <row r="662" spans="1:9" x14ac:dyDescent="0.3">
      <c r="A662">
        <v>661</v>
      </c>
      <c r="B662" t="s">
        <v>2688</v>
      </c>
      <c r="C662" t="s">
        <v>1527</v>
      </c>
      <c r="D662" t="s">
        <v>11</v>
      </c>
      <c r="E662" t="s">
        <v>2689</v>
      </c>
      <c r="F662" t="s">
        <v>2690</v>
      </c>
      <c r="G662" t="s">
        <v>63</v>
      </c>
      <c r="H662" t="s">
        <v>15</v>
      </c>
      <c r="I662">
        <v>10950</v>
      </c>
    </row>
    <row r="663" spans="1:9" x14ac:dyDescent="0.3">
      <c r="A663">
        <v>662</v>
      </c>
      <c r="B663" t="s">
        <v>2691</v>
      </c>
      <c r="C663" t="s">
        <v>70</v>
      </c>
      <c r="D663" t="s">
        <v>11</v>
      </c>
      <c r="E663" t="s">
        <v>2692</v>
      </c>
      <c r="F663" t="s">
        <v>2693</v>
      </c>
      <c r="G663" t="s">
        <v>101</v>
      </c>
      <c r="H663" t="s">
        <v>15</v>
      </c>
      <c r="I663">
        <v>10583</v>
      </c>
    </row>
    <row r="664" spans="1:9" x14ac:dyDescent="0.3">
      <c r="A664">
        <v>663</v>
      </c>
      <c r="B664" t="s">
        <v>2694</v>
      </c>
      <c r="C664" t="s">
        <v>2695</v>
      </c>
      <c r="D664" t="s">
        <v>11</v>
      </c>
      <c r="E664" t="s">
        <v>2696</v>
      </c>
      <c r="F664" t="s">
        <v>2697</v>
      </c>
      <c r="G664" t="s">
        <v>929</v>
      </c>
      <c r="H664" t="s">
        <v>15</v>
      </c>
      <c r="I664">
        <v>12553</v>
      </c>
    </row>
    <row r="665" spans="1:9" x14ac:dyDescent="0.3">
      <c r="A665">
        <v>664</v>
      </c>
      <c r="B665" t="s">
        <v>1742</v>
      </c>
      <c r="C665" t="s">
        <v>2698</v>
      </c>
      <c r="D665" t="s">
        <v>11</v>
      </c>
      <c r="E665" t="s">
        <v>2699</v>
      </c>
      <c r="F665" t="s">
        <v>2700</v>
      </c>
      <c r="G665" t="s">
        <v>2078</v>
      </c>
      <c r="H665" t="s">
        <v>15</v>
      </c>
      <c r="I665">
        <v>11368</v>
      </c>
    </row>
    <row r="666" spans="1:9" x14ac:dyDescent="0.3">
      <c r="A666">
        <v>665</v>
      </c>
      <c r="B666" t="s">
        <v>2701</v>
      </c>
      <c r="C666" t="s">
        <v>2042</v>
      </c>
      <c r="D666" t="s">
        <v>2702</v>
      </c>
      <c r="E666" t="s">
        <v>2703</v>
      </c>
      <c r="F666" t="s">
        <v>2704</v>
      </c>
      <c r="G666" t="s">
        <v>171</v>
      </c>
      <c r="H666" t="s">
        <v>21</v>
      </c>
      <c r="I666">
        <v>94603</v>
      </c>
    </row>
    <row r="667" spans="1:9" x14ac:dyDescent="0.3">
      <c r="A667">
        <v>666</v>
      </c>
      <c r="B667" t="s">
        <v>2705</v>
      </c>
      <c r="C667" t="s">
        <v>2706</v>
      </c>
      <c r="D667" t="s">
        <v>11</v>
      </c>
      <c r="E667" t="s">
        <v>2707</v>
      </c>
      <c r="F667" t="s">
        <v>2708</v>
      </c>
      <c r="G667" t="s">
        <v>533</v>
      </c>
      <c r="H667" t="s">
        <v>15</v>
      </c>
      <c r="I667">
        <v>11001</v>
      </c>
    </row>
    <row r="668" spans="1:9" x14ac:dyDescent="0.3">
      <c r="A668">
        <v>667</v>
      </c>
      <c r="B668" t="s">
        <v>2709</v>
      </c>
      <c r="C668" t="s">
        <v>2710</v>
      </c>
      <c r="D668" t="s">
        <v>11</v>
      </c>
      <c r="E668" t="s">
        <v>2711</v>
      </c>
      <c r="F668" t="s">
        <v>2712</v>
      </c>
      <c r="G668" t="s">
        <v>226</v>
      </c>
      <c r="H668" t="s">
        <v>15</v>
      </c>
      <c r="I668">
        <v>11418</v>
      </c>
    </row>
    <row r="669" spans="1:9" x14ac:dyDescent="0.3">
      <c r="A669">
        <v>668</v>
      </c>
      <c r="B669" t="s">
        <v>2713</v>
      </c>
      <c r="C669" t="s">
        <v>629</v>
      </c>
      <c r="D669" t="s">
        <v>11</v>
      </c>
      <c r="E669" t="s">
        <v>2714</v>
      </c>
      <c r="F669" t="s">
        <v>2715</v>
      </c>
      <c r="G669" t="s">
        <v>2037</v>
      </c>
      <c r="H669" t="s">
        <v>80</v>
      </c>
      <c r="I669">
        <v>77566</v>
      </c>
    </row>
    <row r="670" spans="1:9" x14ac:dyDescent="0.3">
      <c r="A670">
        <v>669</v>
      </c>
      <c r="B670" t="s">
        <v>2716</v>
      </c>
      <c r="C670" t="s">
        <v>1273</v>
      </c>
      <c r="D670" t="s">
        <v>11</v>
      </c>
      <c r="E670" t="s">
        <v>2717</v>
      </c>
      <c r="F670" t="s">
        <v>2718</v>
      </c>
      <c r="G670" t="s">
        <v>1787</v>
      </c>
      <c r="H670" t="s">
        <v>80</v>
      </c>
      <c r="I670">
        <v>78552</v>
      </c>
    </row>
    <row r="671" spans="1:9" x14ac:dyDescent="0.3">
      <c r="A671">
        <v>670</v>
      </c>
      <c r="B671" t="s">
        <v>2719</v>
      </c>
      <c r="C671" t="s">
        <v>1452</v>
      </c>
      <c r="D671" t="s">
        <v>11</v>
      </c>
      <c r="E671" t="s">
        <v>2720</v>
      </c>
      <c r="F671" t="s">
        <v>2721</v>
      </c>
      <c r="G671" t="s">
        <v>195</v>
      </c>
      <c r="H671" t="s">
        <v>15</v>
      </c>
      <c r="I671">
        <v>13090</v>
      </c>
    </row>
    <row r="672" spans="1:9" x14ac:dyDescent="0.3">
      <c r="A672">
        <v>671</v>
      </c>
      <c r="B672" t="s">
        <v>1925</v>
      </c>
      <c r="C672" t="s">
        <v>812</v>
      </c>
      <c r="D672" t="s">
        <v>11</v>
      </c>
      <c r="E672" t="s">
        <v>2722</v>
      </c>
      <c r="F672" t="s">
        <v>2723</v>
      </c>
      <c r="G672" t="s">
        <v>755</v>
      </c>
      <c r="H672" t="s">
        <v>21</v>
      </c>
      <c r="I672">
        <v>92220</v>
      </c>
    </row>
    <row r="673" spans="1:9" x14ac:dyDescent="0.3">
      <c r="A673">
        <v>672</v>
      </c>
      <c r="B673" t="s">
        <v>2724</v>
      </c>
      <c r="C673" t="s">
        <v>2725</v>
      </c>
      <c r="D673" t="s">
        <v>11</v>
      </c>
      <c r="E673" t="s">
        <v>2726</v>
      </c>
      <c r="F673" t="s">
        <v>2727</v>
      </c>
      <c r="G673" t="s">
        <v>1837</v>
      </c>
      <c r="H673" t="s">
        <v>15</v>
      </c>
      <c r="I673">
        <v>10801</v>
      </c>
    </row>
    <row r="674" spans="1:9" x14ac:dyDescent="0.3">
      <c r="A674">
        <v>673</v>
      </c>
      <c r="B674" t="s">
        <v>2728</v>
      </c>
      <c r="C674" t="s">
        <v>2124</v>
      </c>
      <c r="D674" t="s">
        <v>11</v>
      </c>
      <c r="E674" t="s">
        <v>2729</v>
      </c>
      <c r="F674" t="s">
        <v>2730</v>
      </c>
      <c r="G674" t="s">
        <v>1695</v>
      </c>
      <c r="H674" t="s">
        <v>21</v>
      </c>
      <c r="I674">
        <v>93635</v>
      </c>
    </row>
    <row r="675" spans="1:9" x14ac:dyDescent="0.3">
      <c r="A675">
        <v>674</v>
      </c>
      <c r="B675" t="s">
        <v>2731</v>
      </c>
      <c r="C675" t="s">
        <v>1439</v>
      </c>
      <c r="D675" t="s">
        <v>11</v>
      </c>
      <c r="E675" t="s">
        <v>2732</v>
      </c>
      <c r="F675" t="s">
        <v>2733</v>
      </c>
      <c r="G675" t="s">
        <v>475</v>
      </c>
      <c r="H675" t="s">
        <v>15</v>
      </c>
      <c r="I675">
        <v>12866</v>
      </c>
    </row>
    <row r="676" spans="1:9" x14ac:dyDescent="0.3">
      <c r="A676">
        <v>675</v>
      </c>
      <c r="B676" t="s">
        <v>2734</v>
      </c>
      <c r="C676" t="s">
        <v>2735</v>
      </c>
      <c r="D676" t="s">
        <v>2736</v>
      </c>
      <c r="E676" t="s">
        <v>2737</v>
      </c>
      <c r="F676" t="s">
        <v>2738</v>
      </c>
      <c r="G676" t="s">
        <v>1145</v>
      </c>
      <c r="H676" t="s">
        <v>80</v>
      </c>
      <c r="I676">
        <v>79930</v>
      </c>
    </row>
    <row r="677" spans="1:9" x14ac:dyDescent="0.3">
      <c r="A677">
        <v>676</v>
      </c>
      <c r="B677" t="s">
        <v>2739</v>
      </c>
      <c r="C677" t="s">
        <v>2624</v>
      </c>
      <c r="D677" t="s">
        <v>11</v>
      </c>
      <c r="E677" t="s">
        <v>2740</v>
      </c>
      <c r="F677" t="s">
        <v>2741</v>
      </c>
      <c r="G677" t="s">
        <v>420</v>
      </c>
      <c r="H677" t="s">
        <v>15</v>
      </c>
      <c r="I677">
        <v>11757</v>
      </c>
    </row>
    <row r="678" spans="1:9" x14ac:dyDescent="0.3">
      <c r="A678">
        <v>677</v>
      </c>
      <c r="B678" t="s">
        <v>2742</v>
      </c>
      <c r="C678" t="s">
        <v>2743</v>
      </c>
      <c r="D678" t="s">
        <v>11</v>
      </c>
      <c r="E678" t="s">
        <v>2744</v>
      </c>
      <c r="F678" t="s">
        <v>2745</v>
      </c>
      <c r="G678" t="s">
        <v>740</v>
      </c>
      <c r="H678" t="s">
        <v>80</v>
      </c>
      <c r="I678">
        <v>78023</v>
      </c>
    </row>
    <row r="679" spans="1:9" x14ac:dyDescent="0.3">
      <c r="A679">
        <v>678</v>
      </c>
      <c r="B679" t="s">
        <v>2004</v>
      </c>
      <c r="C679" t="s">
        <v>234</v>
      </c>
      <c r="D679" t="s">
        <v>11</v>
      </c>
      <c r="E679" t="s">
        <v>2746</v>
      </c>
      <c r="F679" t="s">
        <v>2747</v>
      </c>
      <c r="G679" t="s">
        <v>1000</v>
      </c>
      <c r="H679" t="s">
        <v>15</v>
      </c>
      <c r="I679">
        <v>11357</v>
      </c>
    </row>
    <row r="680" spans="1:9" x14ac:dyDescent="0.3">
      <c r="A680">
        <v>679</v>
      </c>
      <c r="B680" t="s">
        <v>2748</v>
      </c>
      <c r="C680" t="s">
        <v>2749</v>
      </c>
      <c r="D680" t="s">
        <v>11</v>
      </c>
      <c r="E680" t="s">
        <v>2750</v>
      </c>
      <c r="F680" t="s">
        <v>2751</v>
      </c>
      <c r="G680" t="s">
        <v>2752</v>
      </c>
      <c r="H680" t="s">
        <v>15</v>
      </c>
      <c r="I680">
        <v>11704</v>
      </c>
    </row>
    <row r="681" spans="1:9" x14ac:dyDescent="0.3">
      <c r="A681">
        <v>680</v>
      </c>
      <c r="B681" t="s">
        <v>2753</v>
      </c>
      <c r="C681" t="s">
        <v>2754</v>
      </c>
      <c r="D681" t="s">
        <v>2755</v>
      </c>
      <c r="E681" t="s">
        <v>2756</v>
      </c>
      <c r="F681" t="s">
        <v>2757</v>
      </c>
      <c r="G681" t="s">
        <v>2216</v>
      </c>
      <c r="H681" t="s">
        <v>15</v>
      </c>
      <c r="I681">
        <v>10956</v>
      </c>
    </row>
    <row r="682" spans="1:9" x14ac:dyDescent="0.3">
      <c r="A682">
        <v>681</v>
      </c>
      <c r="B682" t="s">
        <v>2758</v>
      </c>
      <c r="C682" t="s">
        <v>2759</v>
      </c>
      <c r="D682" t="s">
        <v>11</v>
      </c>
      <c r="E682" t="s">
        <v>2760</v>
      </c>
      <c r="F682" t="s">
        <v>2761</v>
      </c>
      <c r="G682" t="s">
        <v>1064</v>
      </c>
      <c r="H682" t="s">
        <v>15</v>
      </c>
      <c r="I682">
        <v>11741</v>
      </c>
    </row>
    <row r="683" spans="1:9" x14ac:dyDescent="0.3">
      <c r="A683">
        <v>682</v>
      </c>
      <c r="B683" t="s">
        <v>2762</v>
      </c>
      <c r="C683" t="s">
        <v>2763</v>
      </c>
      <c r="D683" t="s">
        <v>11</v>
      </c>
      <c r="E683" t="s">
        <v>2764</v>
      </c>
      <c r="F683" t="s">
        <v>2765</v>
      </c>
      <c r="G683" t="s">
        <v>14</v>
      </c>
      <c r="H683" t="s">
        <v>15</v>
      </c>
      <c r="I683">
        <v>14127</v>
      </c>
    </row>
    <row r="684" spans="1:9" x14ac:dyDescent="0.3">
      <c r="A684">
        <v>683</v>
      </c>
      <c r="B684" t="s">
        <v>2766</v>
      </c>
      <c r="C684" t="s">
        <v>10</v>
      </c>
      <c r="D684" t="s">
        <v>11</v>
      </c>
      <c r="E684" t="s">
        <v>2767</v>
      </c>
      <c r="F684" t="s">
        <v>2768</v>
      </c>
      <c r="G684" t="s">
        <v>267</v>
      </c>
      <c r="H684" t="s">
        <v>15</v>
      </c>
      <c r="I684">
        <v>11566</v>
      </c>
    </row>
    <row r="685" spans="1:9" x14ac:dyDescent="0.3">
      <c r="A685">
        <v>684</v>
      </c>
      <c r="B685" t="s">
        <v>2769</v>
      </c>
      <c r="C685" t="s">
        <v>2770</v>
      </c>
      <c r="D685" t="s">
        <v>11</v>
      </c>
      <c r="E685" t="s">
        <v>2771</v>
      </c>
      <c r="F685" t="s">
        <v>2772</v>
      </c>
      <c r="G685" t="s">
        <v>1129</v>
      </c>
      <c r="H685" t="s">
        <v>15</v>
      </c>
      <c r="I685">
        <v>14304</v>
      </c>
    </row>
    <row r="686" spans="1:9" x14ac:dyDescent="0.3">
      <c r="A686">
        <v>685</v>
      </c>
      <c r="B686" t="s">
        <v>2773</v>
      </c>
      <c r="C686" t="s">
        <v>2774</v>
      </c>
      <c r="D686" t="s">
        <v>11</v>
      </c>
      <c r="E686" t="s">
        <v>2775</v>
      </c>
      <c r="F686" t="s">
        <v>2776</v>
      </c>
      <c r="G686" t="s">
        <v>1492</v>
      </c>
      <c r="H686" t="s">
        <v>15</v>
      </c>
      <c r="I686">
        <v>11375</v>
      </c>
    </row>
    <row r="687" spans="1:9" x14ac:dyDescent="0.3">
      <c r="A687">
        <v>686</v>
      </c>
      <c r="B687" t="s">
        <v>2777</v>
      </c>
      <c r="C687" t="s">
        <v>2778</v>
      </c>
      <c r="D687" t="s">
        <v>11</v>
      </c>
      <c r="E687" t="s">
        <v>2779</v>
      </c>
      <c r="F687" t="s">
        <v>2780</v>
      </c>
      <c r="G687" t="s">
        <v>818</v>
      </c>
      <c r="H687" t="s">
        <v>21</v>
      </c>
      <c r="I687">
        <v>95050</v>
      </c>
    </row>
    <row r="688" spans="1:9" x14ac:dyDescent="0.3">
      <c r="A688">
        <v>687</v>
      </c>
      <c r="B688" t="s">
        <v>2781</v>
      </c>
      <c r="C688" t="s">
        <v>1865</v>
      </c>
      <c r="D688" t="s">
        <v>11</v>
      </c>
      <c r="E688" t="s">
        <v>2782</v>
      </c>
      <c r="F688" t="s">
        <v>2783</v>
      </c>
      <c r="G688" t="s">
        <v>328</v>
      </c>
      <c r="H688" t="s">
        <v>80</v>
      </c>
      <c r="I688">
        <v>75115</v>
      </c>
    </row>
    <row r="689" spans="1:9" x14ac:dyDescent="0.3">
      <c r="A689">
        <v>688</v>
      </c>
      <c r="B689" t="s">
        <v>2784</v>
      </c>
      <c r="C689" t="s">
        <v>2785</v>
      </c>
      <c r="D689" t="s">
        <v>11</v>
      </c>
      <c r="E689" t="s">
        <v>2786</v>
      </c>
      <c r="F689" t="s">
        <v>2787</v>
      </c>
      <c r="G689" t="s">
        <v>20</v>
      </c>
      <c r="H689" t="s">
        <v>21</v>
      </c>
      <c r="I689">
        <v>95008</v>
      </c>
    </row>
    <row r="690" spans="1:9" x14ac:dyDescent="0.3">
      <c r="A690">
        <v>689</v>
      </c>
      <c r="B690" t="s">
        <v>2788</v>
      </c>
      <c r="C690" t="s">
        <v>2789</v>
      </c>
      <c r="D690" t="s">
        <v>11</v>
      </c>
      <c r="E690" t="s">
        <v>2790</v>
      </c>
      <c r="F690" t="s">
        <v>2791</v>
      </c>
      <c r="G690" t="s">
        <v>282</v>
      </c>
      <c r="H690" t="s">
        <v>15</v>
      </c>
      <c r="I690">
        <v>13501</v>
      </c>
    </row>
    <row r="691" spans="1:9" x14ac:dyDescent="0.3">
      <c r="A691">
        <v>690</v>
      </c>
      <c r="B691" t="s">
        <v>1877</v>
      </c>
      <c r="C691" t="s">
        <v>1086</v>
      </c>
      <c r="D691" t="s">
        <v>11</v>
      </c>
      <c r="E691" t="s">
        <v>2792</v>
      </c>
      <c r="F691" t="s">
        <v>2793</v>
      </c>
      <c r="G691" t="s">
        <v>53</v>
      </c>
      <c r="H691" t="s">
        <v>15</v>
      </c>
      <c r="I691">
        <v>11372</v>
      </c>
    </row>
    <row r="692" spans="1:9" x14ac:dyDescent="0.3">
      <c r="A692">
        <v>691</v>
      </c>
      <c r="B692" t="s">
        <v>2794</v>
      </c>
      <c r="C692" t="s">
        <v>2795</v>
      </c>
      <c r="D692" t="s">
        <v>2796</v>
      </c>
      <c r="E692" t="s">
        <v>2797</v>
      </c>
      <c r="F692" t="s">
        <v>2798</v>
      </c>
      <c r="G692" t="s">
        <v>232</v>
      </c>
      <c r="H692" t="s">
        <v>80</v>
      </c>
      <c r="I692">
        <v>77016</v>
      </c>
    </row>
    <row r="693" spans="1:9" x14ac:dyDescent="0.3">
      <c r="A693">
        <v>692</v>
      </c>
      <c r="B693" t="s">
        <v>2799</v>
      </c>
      <c r="C693" t="s">
        <v>1594</v>
      </c>
      <c r="D693" t="s">
        <v>11</v>
      </c>
      <c r="E693" t="s">
        <v>2800</v>
      </c>
      <c r="F693" t="s">
        <v>2801</v>
      </c>
      <c r="G693" t="s">
        <v>205</v>
      </c>
      <c r="H693" t="s">
        <v>15</v>
      </c>
      <c r="I693">
        <v>11102</v>
      </c>
    </row>
    <row r="694" spans="1:9" x14ac:dyDescent="0.3">
      <c r="A694">
        <v>693</v>
      </c>
      <c r="B694" t="s">
        <v>2802</v>
      </c>
      <c r="C694" t="s">
        <v>836</v>
      </c>
      <c r="D694" t="s">
        <v>2803</v>
      </c>
      <c r="E694" t="s">
        <v>2804</v>
      </c>
      <c r="F694" t="s">
        <v>2805</v>
      </c>
      <c r="G694" t="s">
        <v>74</v>
      </c>
      <c r="H694" t="s">
        <v>15</v>
      </c>
      <c r="I694">
        <v>11550</v>
      </c>
    </row>
    <row r="695" spans="1:9" x14ac:dyDescent="0.3">
      <c r="A695">
        <v>694</v>
      </c>
      <c r="B695" t="s">
        <v>2806</v>
      </c>
      <c r="C695" t="s">
        <v>2807</v>
      </c>
      <c r="D695" t="s">
        <v>11</v>
      </c>
      <c r="E695" t="s">
        <v>2808</v>
      </c>
      <c r="F695" t="s">
        <v>2809</v>
      </c>
      <c r="G695" t="s">
        <v>375</v>
      </c>
      <c r="H695" t="s">
        <v>15</v>
      </c>
      <c r="I695">
        <v>14120</v>
      </c>
    </row>
    <row r="696" spans="1:9" x14ac:dyDescent="0.3">
      <c r="A696">
        <v>695</v>
      </c>
      <c r="B696" t="s">
        <v>1538</v>
      </c>
      <c r="C696" t="s">
        <v>1287</v>
      </c>
      <c r="D696" t="s">
        <v>11</v>
      </c>
      <c r="E696" t="s">
        <v>2810</v>
      </c>
      <c r="F696" t="s">
        <v>2811</v>
      </c>
      <c r="G696" t="s">
        <v>1750</v>
      </c>
      <c r="H696" t="s">
        <v>15</v>
      </c>
      <c r="I696">
        <v>11967</v>
      </c>
    </row>
    <row r="697" spans="1:9" x14ac:dyDescent="0.3">
      <c r="A697">
        <v>696</v>
      </c>
      <c r="B697" t="s">
        <v>2812</v>
      </c>
      <c r="C697" t="s">
        <v>1199</v>
      </c>
      <c r="D697" t="s">
        <v>11</v>
      </c>
      <c r="E697" t="s">
        <v>2813</v>
      </c>
      <c r="F697" t="s">
        <v>2814</v>
      </c>
      <c r="G697" t="s">
        <v>216</v>
      </c>
      <c r="H697" t="s">
        <v>21</v>
      </c>
      <c r="I697">
        <v>91316</v>
      </c>
    </row>
    <row r="698" spans="1:9" x14ac:dyDescent="0.3">
      <c r="A698">
        <v>697</v>
      </c>
      <c r="B698" t="s">
        <v>756</v>
      </c>
      <c r="C698" t="s">
        <v>2815</v>
      </c>
      <c r="D698" t="s">
        <v>2816</v>
      </c>
      <c r="E698" t="s">
        <v>2817</v>
      </c>
      <c r="F698" t="s">
        <v>2818</v>
      </c>
      <c r="G698" t="s">
        <v>455</v>
      </c>
      <c r="H698" t="s">
        <v>21</v>
      </c>
      <c r="I698">
        <v>92111</v>
      </c>
    </row>
    <row r="699" spans="1:9" x14ac:dyDescent="0.3">
      <c r="A699">
        <v>698</v>
      </c>
      <c r="B699" t="s">
        <v>1819</v>
      </c>
      <c r="C699" t="s">
        <v>408</v>
      </c>
      <c r="D699" t="s">
        <v>11</v>
      </c>
      <c r="E699" t="s">
        <v>2819</v>
      </c>
      <c r="F699" t="s">
        <v>2820</v>
      </c>
      <c r="G699" t="s">
        <v>2078</v>
      </c>
      <c r="H699" t="s">
        <v>15</v>
      </c>
      <c r="I699">
        <v>11368</v>
      </c>
    </row>
    <row r="700" spans="1:9" x14ac:dyDescent="0.3">
      <c r="A700">
        <v>699</v>
      </c>
      <c r="B700" t="s">
        <v>2821</v>
      </c>
      <c r="C700" t="s">
        <v>1377</v>
      </c>
      <c r="D700" t="s">
        <v>11</v>
      </c>
      <c r="E700" t="s">
        <v>2822</v>
      </c>
      <c r="F700" t="s">
        <v>2823</v>
      </c>
      <c r="G700" t="s">
        <v>304</v>
      </c>
      <c r="H700" t="s">
        <v>15</v>
      </c>
      <c r="I700">
        <v>11570</v>
      </c>
    </row>
    <row r="701" spans="1:9" x14ac:dyDescent="0.3">
      <c r="A701">
        <v>700</v>
      </c>
      <c r="B701" t="s">
        <v>1623</v>
      </c>
      <c r="C701" t="s">
        <v>2824</v>
      </c>
      <c r="D701" t="s">
        <v>2825</v>
      </c>
      <c r="E701" t="s">
        <v>2826</v>
      </c>
      <c r="F701" t="s">
        <v>2827</v>
      </c>
      <c r="G701" t="s">
        <v>602</v>
      </c>
      <c r="H701" t="s">
        <v>80</v>
      </c>
      <c r="I701">
        <v>78418</v>
      </c>
    </row>
    <row r="702" spans="1:9" x14ac:dyDescent="0.3">
      <c r="A702">
        <v>701</v>
      </c>
      <c r="B702" t="s">
        <v>2828</v>
      </c>
      <c r="C702" t="s">
        <v>1373</v>
      </c>
      <c r="D702" t="s">
        <v>2829</v>
      </c>
      <c r="E702" t="s">
        <v>2830</v>
      </c>
      <c r="F702" t="s">
        <v>2831</v>
      </c>
      <c r="G702" t="s">
        <v>810</v>
      </c>
      <c r="H702" t="s">
        <v>21</v>
      </c>
      <c r="I702">
        <v>93035</v>
      </c>
    </row>
    <row r="703" spans="1:9" x14ac:dyDescent="0.3">
      <c r="A703">
        <v>702</v>
      </c>
      <c r="B703" t="s">
        <v>1446</v>
      </c>
      <c r="C703" t="s">
        <v>2832</v>
      </c>
      <c r="D703" t="s">
        <v>11</v>
      </c>
      <c r="E703" t="s">
        <v>2833</v>
      </c>
      <c r="F703" t="s">
        <v>2834</v>
      </c>
      <c r="G703" t="s">
        <v>267</v>
      </c>
      <c r="H703" t="s">
        <v>15</v>
      </c>
      <c r="I703">
        <v>11566</v>
      </c>
    </row>
    <row r="704" spans="1:9" x14ac:dyDescent="0.3">
      <c r="A704">
        <v>703</v>
      </c>
      <c r="B704" t="s">
        <v>283</v>
      </c>
      <c r="C704" t="s">
        <v>2571</v>
      </c>
      <c r="D704" t="s">
        <v>11</v>
      </c>
      <c r="E704" t="s">
        <v>2835</v>
      </c>
      <c r="F704" t="s">
        <v>2836</v>
      </c>
      <c r="G704" t="s">
        <v>176</v>
      </c>
      <c r="H704" t="s">
        <v>21</v>
      </c>
      <c r="I704">
        <v>92831</v>
      </c>
    </row>
    <row r="705" spans="1:9" x14ac:dyDescent="0.3">
      <c r="A705">
        <v>704</v>
      </c>
      <c r="B705" t="s">
        <v>865</v>
      </c>
      <c r="C705" t="s">
        <v>2837</v>
      </c>
      <c r="D705" t="s">
        <v>2838</v>
      </c>
      <c r="E705" t="s">
        <v>2839</v>
      </c>
      <c r="F705" t="s">
        <v>2840</v>
      </c>
      <c r="G705" t="s">
        <v>1955</v>
      </c>
      <c r="H705" t="s">
        <v>21</v>
      </c>
      <c r="I705">
        <v>93306</v>
      </c>
    </row>
    <row r="706" spans="1:9" x14ac:dyDescent="0.3">
      <c r="A706">
        <v>705</v>
      </c>
      <c r="B706" t="s">
        <v>2841</v>
      </c>
      <c r="C706" t="s">
        <v>2842</v>
      </c>
      <c r="D706" t="s">
        <v>11</v>
      </c>
      <c r="E706" t="s">
        <v>2843</v>
      </c>
      <c r="F706" t="s">
        <v>2844</v>
      </c>
      <c r="G706" t="s">
        <v>722</v>
      </c>
      <c r="H706" t="s">
        <v>15</v>
      </c>
      <c r="I706">
        <v>11743</v>
      </c>
    </row>
    <row r="707" spans="1:9" x14ac:dyDescent="0.3">
      <c r="A707">
        <v>706</v>
      </c>
      <c r="B707" t="s">
        <v>286</v>
      </c>
      <c r="C707" t="s">
        <v>917</v>
      </c>
      <c r="D707" t="s">
        <v>11</v>
      </c>
      <c r="E707" t="s">
        <v>2845</v>
      </c>
      <c r="F707" t="s">
        <v>2846</v>
      </c>
      <c r="G707" t="s">
        <v>1165</v>
      </c>
      <c r="H707" t="s">
        <v>15</v>
      </c>
      <c r="I707">
        <v>11762</v>
      </c>
    </row>
    <row r="708" spans="1:9" x14ac:dyDescent="0.3">
      <c r="A708">
        <v>707</v>
      </c>
      <c r="B708" t="s">
        <v>1935</v>
      </c>
      <c r="C708" t="s">
        <v>2847</v>
      </c>
      <c r="D708" t="s">
        <v>11</v>
      </c>
      <c r="E708" t="s">
        <v>2848</v>
      </c>
      <c r="F708" t="s">
        <v>2849</v>
      </c>
      <c r="G708" t="s">
        <v>783</v>
      </c>
      <c r="H708" t="s">
        <v>15</v>
      </c>
      <c r="I708">
        <v>11377</v>
      </c>
    </row>
    <row r="709" spans="1:9" x14ac:dyDescent="0.3">
      <c r="A709">
        <v>708</v>
      </c>
      <c r="B709" t="s">
        <v>1485</v>
      </c>
      <c r="C709" t="s">
        <v>1452</v>
      </c>
      <c r="D709" t="s">
        <v>11</v>
      </c>
      <c r="E709" t="s">
        <v>2850</v>
      </c>
      <c r="F709" t="s">
        <v>2851</v>
      </c>
      <c r="G709" t="s">
        <v>877</v>
      </c>
      <c r="H709" t="s">
        <v>21</v>
      </c>
      <c r="I709">
        <v>92307</v>
      </c>
    </row>
    <row r="710" spans="1:9" x14ac:dyDescent="0.3">
      <c r="A710">
        <v>709</v>
      </c>
      <c r="B710" t="s">
        <v>2852</v>
      </c>
      <c r="C710" t="s">
        <v>2853</v>
      </c>
      <c r="D710" t="s">
        <v>11</v>
      </c>
      <c r="E710" t="s">
        <v>2854</v>
      </c>
      <c r="F710" t="s">
        <v>2855</v>
      </c>
      <c r="G710" t="s">
        <v>1492</v>
      </c>
      <c r="H710" t="s">
        <v>15</v>
      </c>
      <c r="I710">
        <v>11375</v>
      </c>
    </row>
    <row r="711" spans="1:9" x14ac:dyDescent="0.3">
      <c r="A711">
        <v>710</v>
      </c>
      <c r="B711" t="s">
        <v>2094</v>
      </c>
      <c r="C711" t="s">
        <v>555</v>
      </c>
      <c r="D711" t="s">
        <v>11</v>
      </c>
      <c r="E711" t="s">
        <v>2856</v>
      </c>
      <c r="F711" t="s">
        <v>2857</v>
      </c>
      <c r="G711" t="s">
        <v>929</v>
      </c>
      <c r="H711" t="s">
        <v>15</v>
      </c>
      <c r="I711">
        <v>12553</v>
      </c>
    </row>
    <row r="712" spans="1:9" x14ac:dyDescent="0.3">
      <c r="A712">
        <v>711</v>
      </c>
      <c r="B712" t="s">
        <v>2858</v>
      </c>
      <c r="C712" t="s">
        <v>2859</v>
      </c>
      <c r="D712" t="s">
        <v>11</v>
      </c>
      <c r="E712" t="s">
        <v>2860</v>
      </c>
      <c r="F712" t="s">
        <v>2861</v>
      </c>
      <c r="G712" t="s">
        <v>700</v>
      </c>
      <c r="H712" t="s">
        <v>15</v>
      </c>
      <c r="I712">
        <v>10301</v>
      </c>
    </row>
    <row r="713" spans="1:9" x14ac:dyDescent="0.3">
      <c r="A713">
        <v>712</v>
      </c>
      <c r="B713" t="s">
        <v>2862</v>
      </c>
      <c r="C713" t="s">
        <v>2245</v>
      </c>
      <c r="D713" t="s">
        <v>11</v>
      </c>
      <c r="E713" t="s">
        <v>2863</v>
      </c>
      <c r="F713" t="s">
        <v>2864</v>
      </c>
      <c r="G713" t="s">
        <v>908</v>
      </c>
      <c r="H713" t="s">
        <v>21</v>
      </c>
      <c r="I713">
        <v>95060</v>
      </c>
    </row>
    <row r="714" spans="1:9" x14ac:dyDescent="0.3">
      <c r="A714">
        <v>713</v>
      </c>
      <c r="B714" t="s">
        <v>2865</v>
      </c>
      <c r="C714" t="s">
        <v>2866</v>
      </c>
      <c r="D714" t="s">
        <v>11</v>
      </c>
      <c r="E714" t="s">
        <v>2867</v>
      </c>
      <c r="F714" t="s">
        <v>2868</v>
      </c>
      <c r="G714" t="s">
        <v>384</v>
      </c>
      <c r="H714" t="s">
        <v>15</v>
      </c>
      <c r="I714">
        <v>11776</v>
      </c>
    </row>
    <row r="715" spans="1:9" x14ac:dyDescent="0.3">
      <c r="A715">
        <v>714</v>
      </c>
      <c r="B715" t="s">
        <v>2869</v>
      </c>
      <c r="C715" t="s">
        <v>2075</v>
      </c>
      <c r="D715" t="s">
        <v>11</v>
      </c>
      <c r="E715" t="s">
        <v>2870</v>
      </c>
      <c r="F715" t="s">
        <v>2871</v>
      </c>
      <c r="G715" t="s">
        <v>295</v>
      </c>
      <c r="H715" t="s">
        <v>15</v>
      </c>
      <c r="I715">
        <v>10451</v>
      </c>
    </row>
    <row r="716" spans="1:9" x14ac:dyDescent="0.3">
      <c r="A716">
        <v>715</v>
      </c>
      <c r="B716" t="s">
        <v>2872</v>
      </c>
      <c r="C716" t="s">
        <v>2873</v>
      </c>
      <c r="D716" t="s">
        <v>11</v>
      </c>
      <c r="E716" t="s">
        <v>2874</v>
      </c>
      <c r="F716" t="s">
        <v>2875</v>
      </c>
      <c r="G716" t="s">
        <v>151</v>
      </c>
      <c r="H716" t="s">
        <v>15</v>
      </c>
      <c r="I716">
        <v>11104</v>
      </c>
    </row>
    <row r="717" spans="1:9" x14ac:dyDescent="0.3">
      <c r="A717">
        <v>716</v>
      </c>
      <c r="B717" t="s">
        <v>2876</v>
      </c>
      <c r="C717" t="s">
        <v>2877</v>
      </c>
      <c r="D717" t="s">
        <v>11</v>
      </c>
      <c r="E717" t="s">
        <v>2878</v>
      </c>
      <c r="F717" t="s">
        <v>2879</v>
      </c>
      <c r="G717" t="s">
        <v>646</v>
      </c>
      <c r="H717" t="s">
        <v>15</v>
      </c>
      <c r="I717">
        <v>11727</v>
      </c>
    </row>
    <row r="718" spans="1:9" x14ac:dyDescent="0.3">
      <c r="A718">
        <v>717</v>
      </c>
      <c r="B718" t="s">
        <v>2880</v>
      </c>
      <c r="C718" t="s">
        <v>2881</v>
      </c>
      <c r="D718" t="s">
        <v>11</v>
      </c>
      <c r="E718" t="s">
        <v>2882</v>
      </c>
      <c r="F718" t="s">
        <v>2883</v>
      </c>
      <c r="G718" t="s">
        <v>731</v>
      </c>
      <c r="H718" t="s">
        <v>15</v>
      </c>
      <c r="I718">
        <v>11803</v>
      </c>
    </row>
    <row r="719" spans="1:9" x14ac:dyDescent="0.3">
      <c r="A719">
        <v>718</v>
      </c>
      <c r="B719" t="s">
        <v>2884</v>
      </c>
      <c r="C719" t="s">
        <v>2885</v>
      </c>
      <c r="D719" t="s">
        <v>11</v>
      </c>
      <c r="E719" t="s">
        <v>2886</v>
      </c>
      <c r="F719" t="s">
        <v>2887</v>
      </c>
      <c r="G719" t="s">
        <v>975</v>
      </c>
      <c r="H719" t="s">
        <v>15</v>
      </c>
      <c r="I719">
        <v>11784</v>
      </c>
    </row>
    <row r="720" spans="1:9" x14ac:dyDescent="0.3">
      <c r="A720">
        <v>719</v>
      </c>
      <c r="B720" t="s">
        <v>2678</v>
      </c>
      <c r="C720" t="s">
        <v>1739</v>
      </c>
      <c r="D720" t="s">
        <v>11</v>
      </c>
      <c r="E720" t="s">
        <v>2888</v>
      </c>
      <c r="F720" t="s">
        <v>2889</v>
      </c>
      <c r="G720" t="s">
        <v>2890</v>
      </c>
      <c r="H720" t="s">
        <v>15</v>
      </c>
      <c r="I720">
        <v>13760</v>
      </c>
    </row>
    <row r="721" spans="1:9" x14ac:dyDescent="0.3">
      <c r="A721">
        <v>720</v>
      </c>
      <c r="B721" t="s">
        <v>2891</v>
      </c>
      <c r="C721" t="s">
        <v>2892</v>
      </c>
      <c r="D721" t="s">
        <v>2893</v>
      </c>
      <c r="E721" t="s">
        <v>2894</v>
      </c>
      <c r="F721" t="s">
        <v>2895</v>
      </c>
      <c r="G721" t="s">
        <v>1917</v>
      </c>
      <c r="H721" t="s">
        <v>15</v>
      </c>
      <c r="I721">
        <v>14606</v>
      </c>
    </row>
    <row r="722" spans="1:9" x14ac:dyDescent="0.3">
      <c r="A722">
        <v>721</v>
      </c>
      <c r="B722" t="s">
        <v>616</v>
      </c>
      <c r="C722" t="s">
        <v>2896</v>
      </c>
      <c r="D722" t="s">
        <v>11</v>
      </c>
      <c r="E722" t="s">
        <v>2897</v>
      </c>
      <c r="F722" t="s">
        <v>2898</v>
      </c>
      <c r="G722" t="s">
        <v>750</v>
      </c>
      <c r="H722" t="s">
        <v>15</v>
      </c>
      <c r="I722">
        <v>11795</v>
      </c>
    </row>
    <row r="723" spans="1:9" x14ac:dyDescent="0.3">
      <c r="A723">
        <v>722</v>
      </c>
      <c r="B723" t="s">
        <v>2899</v>
      </c>
      <c r="C723" t="s">
        <v>1394</v>
      </c>
      <c r="D723" t="s">
        <v>2900</v>
      </c>
      <c r="E723" t="s">
        <v>2901</v>
      </c>
      <c r="F723" t="s">
        <v>2902</v>
      </c>
      <c r="G723" t="s">
        <v>2903</v>
      </c>
      <c r="H723" t="s">
        <v>80</v>
      </c>
      <c r="I723">
        <v>78213</v>
      </c>
    </row>
    <row r="724" spans="1:9" x14ac:dyDescent="0.3">
      <c r="A724">
        <v>723</v>
      </c>
      <c r="B724" t="s">
        <v>2904</v>
      </c>
      <c r="C724" t="s">
        <v>1421</v>
      </c>
      <c r="D724" t="s">
        <v>11</v>
      </c>
      <c r="E724" t="s">
        <v>2905</v>
      </c>
      <c r="F724" t="s">
        <v>2906</v>
      </c>
      <c r="G724" t="s">
        <v>1627</v>
      </c>
      <c r="H724" t="s">
        <v>15</v>
      </c>
      <c r="I724">
        <v>12590</v>
      </c>
    </row>
    <row r="725" spans="1:9" x14ac:dyDescent="0.3">
      <c r="A725">
        <v>724</v>
      </c>
      <c r="B725" t="s">
        <v>2907</v>
      </c>
      <c r="C725" t="s">
        <v>847</v>
      </c>
      <c r="D725" t="s">
        <v>11</v>
      </c>
      <c r="E725" t="s">
        <v>2908</v>
      </c>
      <c r="F725" t="s">
        <v>2909</v>
      </c>
      <c r="G725" t="s">
        <v>156</v>
      </c>
      <c r="H725" t="s">
        <v>15</v>
      </c>
      <c r="I725">
        <v>10562</v>
      </c>
    </row>
    <row r="726" spans="1:9" x14ac:dyDescent="0.3">
      <c r="A726">
        <v>725</v>
      </c>
      <c r="B726" t="s">
        <v>751</v>
      </c>
      <c r="C726" t="s">
        <v>2910</v>
      </c>
      <c r="D726" t="s">
        <v>11</v>
      </c>
      <c r="E726" t="s">
        <v>2911</v>
      </c>
      <c r="F726" t="s">
        <v>2912</v>
      </c>
      <c r="G726" t="s">
        <v>920</v>
      </c>
      <c r="H726" t="s">
        <v>15</v>
      </c>
      <c r="I726">
        <v>11374</v>
      </c>
    </row>
    <row r="727" spans="1:9" x14ac:dyDescent="0.3">
      <c r="A727">
        <v>726</v>
      </c>
      <c r="B727" t="s">
        <v>2913</v>
      </c>
      <c r="C727" t="s">
        <v>747</v>
      </c>
      <c r="D727" t="s">
        <v>11</v>
      </c>
      <c r="E727" t="s">
        <v>2914</v>
      </c>
      <c r="F727" t="s">
        <v>2915</v>
      </c>
      <c r="G727" t="s">
        <v>384</v>
      </c>
      <c r="H727" t="s">
        <v>15</v>
      </c>
      <c r="I727">
        <v>11776</v>
      </c>
    </row>
    <row r="728" spans="1:9" x14ac:dyDescent="0.3">
      <c r="A728">
        <v>727</v>
      </c>
      <c r="B728" t="s">
        <v>16</v>
      </c>
      <c r="C728" t="s">
        <v>2916</v>
      </c>
      <c r="D728" t="s">
        <v>11</v>
      </c>
      <c r="E728" t="s">
        <v>2917</v>
      </c>
      <c r="F728" t="s">
        <v>2918</v>
      </c>
      <c r="G728" t="s">
        <v>101</v>
      </c>
      <c r="H728" t="s">
        <v>15</v>
      </c>
      <c r="I728">
        <v>10583</v>
      </c>
    </row>
    <row r="729" spans="1:9" x14ac:dyDescent="0.3">
      <c r="A729">
        <v>728</v>
      </c>
      <c r="B729" t="s">
        <v>2919</v>
      </c>
      <c r="C729" t="s">
        <v>820</v>
      </c>
      <c r="D729" t="s">
        <v>11</v>
      </c>
      <c r="E729" t="s">
        <v>2920</v>
      </c>
      <c r="F729" t="s">
        <v>2921</v>
      </c>
      <c r="G729" t="s">
        <v>14</v>
      </c>
      <c r="H729" t="s">
        <v>15</v>
      </c>
      <c r="I729">
        <v>14127</v>
      </c>
    </row>
    <row r="730" spans="1:9" x14ac:dyDescent="0.3">
      <c r="A730">
        <v>729</v>
      </c>
      <c r="B730" t="s">
        <v>2922</v>
      </c>
      <c r="C730" t="s">
        <v>1951</v>
      </c>
      <c r="D730" t="s">
        <v>11</v>
      </c>
      <c r="E730" t="s">
        <v>2923</v>
      </c>
      <c r="F730" t="s">
        <v>2924</v>
      </c>
      <c r="G730" t="s">
        <v>877</v>
      </c>
      <c r="H730" t="s">
        <v>21</v>
      </c>
      <c r="I730">
        <v>92307</v>
      </c>
    </row>
    <row r="731" spans="1:9" x14ac:dyDescent="0.3">
      <c r="A731">
        <v>730</v>
      </c>
      <c r="B731" t="s">
        <v>2925</v>
      </c>
      <c r="C731" t="s">
        <v>2926</v>
      </c>
      <c r="D731" t="s">
        <v>11</v>
      </c>
      <c r="E731" t="s">
        <v>2927</v>
      </c>
      <c r="F731" t="s">
        <v>2928</v>
      </c>
      <c r="G731" t="s">
        <v>924</v>
      </c>
      <c r="H731" t="s">
        <v>80</v>
      </c>
      <c r="I731">
        <v>79106</v>
      </c>
    </row>
    <row r="732" spans="1:9" x14ac:dyDescent="0.3">
      <c r="A732">
        <v>731</v>
      </c>
      <c r="B732" t="s">
        <v>2929</v>
      </c>
      <c r="C732" t="s">
        <v>2930</v>
      </c>
      <c r="D732" t="s">
        <v>2931</v>
      </c>
      <c r="E732" t="s">
        <v>2932</v>
      </c>
      <c r="F732" t="s">
        <v>2933</v>
      </c>
      <c r="G732" t="s">
        <v>810</v>
      </c>
      <c r="H732" t="s">
        <v>21</v>
      </c>
      <c r="I732">
        <v>93035</v>
      </c>
    </row>
    <row r="733" spans="1:9" x14ac:dyDescent="0.3">
      <c r="A733">
        <v>732</v>
      </c>
      <c r="B733" t="s">
        <v>2934</v>
      </c>
      <c r="C733" t="s">
        <v>2223</v>
      </c>
      <c r="D733" t="s">
        <v>11</v>
      </c>
      <c r="E733" t="s">
        <v>2935</v>
      </c>
      <c r="F733" t="s">
        <v>2936</v>
      </c>
      <c r="G733" t="s">
        <v>282</v>
      </c>
      <c r="H733" t="s">
        <v>15</v>
      </c>
      <c r="I733">
        <v>13501</v>
      </c>
    </row>
    <row r="734" spans="1:9" x14ac:dyDescent="0.3">
      <c r="A734">
        <v>733</v>
      </c>
      <c r="B734" t="s">
        <v>2937</v>
      </c>
      <c r="C734" t="s">
        <v>2938</v>
      </c>
      <c r="D734" t="s">
        <v>11</v>
      </c>
      <c r="E734" t="s">
        <v>2939</v>
      </c>
      <c r="F734" t="s">
        <v>2940</v>
      </c>
      <c r="G734" t="s">
        <v>722</v>
      </c>
      <c r="H734" t="s">
        <v>15</v>
      </c>
      <c r="I734">
        <v>11743</v>
      </c>
    </row>
    <row r="735" spans="1:9" x14ac:dyDescent="0.3">
      <c r="A735">
        <v>734</v>
      </c>
      <c r="B735" t="s">
        <v>2941</v>
      </c>
      <c r="C735" t="s">
        <v>2942</v>
      </c>
      <c r="D735" t="s">
        <v>11</v>
      </c>
      <c r="E735" t="s">
        <v>2943</v>
      </c>
      <c r="F735" t="s">
        <v>2944</v>
      </c>
      <c r="G735" t="s">
        <v>1036</v>
      </c>
      <c r="H735" t="s">
        <v>15</v>
      </c>
      <c r="I735">
        <v>11772</v>
      </c>
    </row>
    <row r="736" spans="1:9" x14ac:dyDescent="0.3">
      <c r="A736">
        <v>735</v>
      </c>
      <c r="B736" t="s">
        <v>2945</v>
      </c>
      <c r="C736" t="s">
        <v>472</v>
      </c>
      <c r="D736" t="s">
        <v>11</v>
      </c>
      <c r="E736" t="s">
        <v>2946</v>
      </c>
      <c r="F736" t="s">
        <v>2947</v>
      </c>
      <c r="G736" t="s">
        <v>135</v>
      </c>
      <c r="H736" t="s">
        <v>21</v>
      </c>
      <c r="I736">
        <v>95301</v>
      </c>
    </row>
    <row r="737" spans="1:9" x14ac:dyDescent="0.3">
      <c r="A737">
        <v>736</v>
      </c>
      <c r="B737" t="s">
        <v>2948</v>
      </c>
      <c r="C737" t="s">
        <v>989</v>
      </c>
      <c r="D737" t="s">
        <v>11</v>
      </c>
      <c r="E737" t="s">
        <v>2949</v>
      </c>
      <c r="F737" t="s">
        <v>2950</v>
      </c>
      <c r="G737" t="s">
        <v>26</v>
      </c>
      <c r="H737" t="s">
        <v>21</v>
      </c>
      <c r="I737">
        <v>90278</v>
      </c>
    </row>
    <row r="738" spans="1:9" x14ac:dyDescent="0.3">
      <c r="A738">
        <v>737</v>
      </c>
      <c r="B738" t="s">
        <v>2951</v>
      </c>
      <c r="C738" t="s">
        <v>2952</v>
      </c>
      <c r="D738" t="s">
        <v>11</v>
      </c>
      <c r="E738" t="s">
        <v>2953</v>
      </c>
      <c r="F738" t="s">
        <v>2954</v>
      </c>
      <c r="G738" t="s">
        <v>2381</v>
      </c>
      <c r="H738" t="s">
        <v>15</v>
      </c>
      <c r="I738">
        <v>13021</v>
      </c>
    </row>
    <row r="739" spans="1:9" x14ac:dyDescent="0.3">
      <c r="A739">
        <v>738</v>
      </c>
      <c r="B739" t="s">
        <v>2955</v>
      </c>
      <c r="C739" t="s">
        <v>1404</v>
      </c>
      <c r="D739" t="s">
        <v>2956</v>
      </c>
      <c r="E739" t="s">
        <v>2957</v>
      </c>
      <c r="F739" t="s">
        <v>2958</v>
      </c>
      <c r="G739" t="s">
        <v>810</v>
      </c>
      <c r="H739" t="s">
        <v>21</v>
      </c>
      <c r="I739">
        <v>93035</v>
      </c>
    </row>
    <row r="740" spans="1:9" x14ac:dyDescent="0.3">
      <c r="A740">
        <v>739</v>
      </c>
      <c r="B740" t="s">
        <v>2959</v>
      </c>
      <c r="C740" t="s">
        <v>2960</v>
      </c>
      <c r="D740" t="s">
        <v>11</v>
      </c>
      <c r="E740" t="s">
        <v>2961</v>
      </c>
      <c r="F740" t="s">
        <v>2962</v>
      </c>
      <c r="G740" t="s">
        <v>480</v>
      </c>
      <c r="H740" t="s">
        <v>15</v>
      </c>
      <c r="I740">
        <v>11361</v>
      </c>
    </row>
    <row r="741" spans="1:9" x14ac:dyDescent="0.3">
      <c r="A741">
        <v>740</v>
      </c>
      <c r="B741" t="s">
        <v>2963</v>
      </c>
      <c r="C741" t="s">
        <v>340</v>
      </c>
      <c r="D741" t="s">
        <v>11</v>
      </c>
      <c r="E741" t="s">
        <v>2964</v>
      </c>
      <c r="F741" t="s">
        <v>2965</v>
      </c>
      <c r="G741" t="s">
        <v>1310</v>
      </c>
      <c r="H741" t="s">
        <v>15</v>
      </c>
      <c r="I741">
        <v>11720</v>
      </c>
    </row>
    <row r="742" spans="1:9" x14ac:dyDescent="0.3">
      <c r="A742">
        <v>741</v>
      </c>
      <c r="B742" t="s">
        <v>2966</v>
      </c>
      <c r="C742" t="s">
        <v>2286</v>
      </c>
      <c r="D742" t="s">
        <v>11</v>
      </c>
      <c r="E742" t="s">
        <v>2967</v>
      </c>
      <c r="F742" t="s">
        <v>2968</v>
      </c>
      <c r="G742" t="s">
        <v>682</v>
      </c>
      <c r="H742" t="s">
        <v>15</v>
      </c>
      <c r="I742">
        <v>11412</v>
      </c>
    </row>
    <row r="743" spans="1:9" x14ac:dyDescent="0.3">
      <c r="A743">
        <v>742</v>
      </c>
      <c r="B743" t="s">
        <v>2574</v>
      </c>
      <c r="C743" t="s">
        <v>2969</v>
      </c>
      <c r="D743" t="s">
        <v>11</v>
      </c>
      <c r="E743" t="s">
        <v>2970</v>
      </c>
      <c r="F743" t="s">
        <v>2971</v>
      </c>
      <c r="G743" t="s">
        <v>1505</v>
      </c>
      <c r="H743" t="s">
        <v>15</v>
      </c>
      <c r="I743">
        <v>10550</v>
      </c>
    </row>
    <row r="744" spans="1:9" x14ac:dyDescent="0.3">
      <c r="A744">
        <v>743</v>
      </c>
      <c r="B744" t="s">
        <v>2972</v>
      </c>
      <c r="C744" t="s">
        <v>2973</v>
      </c>
      <c r="D744" t="s">
        <v>11</v>
      </c>
      <c r="E744" t="s">
        <v>2974</v>
      </c>
      <c r="F744" t="s">
        <v>2975</v>
      </c>
      <c r="G744" t="s">
        <v>79</v>
      </c>
      <c r="H744" t="s">
        <v>80</v>
      </c>
      <c r="I744">
        <v>75604</v>
      </c>
    </row>
    <row r="745" spans="1:9" x14ac:dyDescent="0.3">
      <c r="A745">
        <v>744</v>
      </c>
      <c r="B745" t="s">
        <v>2976</v>
      </c>
      <c r="C745" t="s">
        <v>1919</v>
      </c>
      <c r="D745" t="s">
        <v>11</v>
      </c>
      <c r="E745" t="s">
        <v>2977</v>
      </c>
      <c r="F745" t="s">
        <v>2978</v>
      </c>
      <c r="G745" t="s">
        <v>1505</v>
      </c>
      <c r="H745" t="s">
        <v>15</v>
      </c>
      <c r="I745">
        <v>10550</v>
      </c>
    </row>
    <row r="746" spans="1:9" x14ac:dyDescent="0.3">
      <c r="A746">
        <v>745</v>
      </c>
      <c r="B746" t="s">
        <v>2979</v>
      </c>
      <c r="C746" t="s">
        <v>2980</v>
      </c>
      <c r="D746" t="s">
        <v>11</v>
      </c>
      <c r="E746" t="s">
        <v>2981</v>
      </c>
      <c r="F746" t="s">
        <v>2982</v>
      </c>
      <c r="G746" t="s">
        <v>533</v>
      </c>
      <c r="H746" t="s">
        <v>15</v>
      </c>
      <c r="I746">
        <v>11001</v>
      </c>
    </row>
    <row r="747" spans="1:9" x14ac:dyDescent="0.3">
      <c r="A747">
        <v>746</v>
      </c>
      <c r="B747" t="s">
        <v>2983</v>
      </c>
      <c r="C747" t="s">
        <v>1546</v>
      </c>
      <c r="D747" t="s">
        <v>11</v>
      </c>
      <c r="E747" t="s">
        <v>2984</v>
      </c>
      <c r="F747" t="s">
        <v>2985</v>
      </c>
      <c r="G747" t="s">
        <v>300</v>
      </c>
      <c r="H747" t="s">
        <v>15</v>
      </c>
      <c r="I747">
        <v>11722</v>
      </c>
    </row>
    <row r="748" spans="1:9" x14ac:dyDescent="0.3">
      <c r="A748">
        <v>747</v>
      </c>
      <c r="B748" t="s">
        <v>2986</v>
      </c>
      <c r="C748" t="s">
        <v>1524</v>
      </c>
      <c r="D748" t="s">
        <v>11</v>
      </c>
      <c r="E748" t="s">
        <v>2987</v>
      </c>
      <c r="F748" t="s">
        <v>2988</v>
      </c>
      <c r="G748" t="s">
        <v>85</v>
      </c>
      <c r="H748" t="s">
        <v>80</v>
      </c>
      <c r="I748">
        <v>75126</v>
      </c>
    </row>
    <row r="749" spans="1:9" x14ac:dyDescent="0.3">
      <c r="A749">
        <v>748</v>
      </c>
      <c r="B749" t="s">
        <v>2989</v>
      </c>
      <c r="C749" t="s">
        <v>2990</v>
      </c>
      <c r="D749" t="s">
        <v>11</v>
      </c>
      <c r="E749" t="s">
        <v>2991</v>
      </c>
      <c r="F749" t="s">
        <v>2992</v>
      </c>
      <c r="G749" t="s">
        <v>524</v>
      </c>
      <c r="H749" t="s">
        <v>15</v>
      </c>
      <c r="I749">
        <v>11373</v>
      </c>
    </row>
    <row r="750" spans="1:9" x14ac:dyDescent="0.3">
      <c r="A750">
        <v>749</v>
      </c>
      <c r="B750" t="s">
        <v>2993</v>
      </c>
      <c r="C750" t="s">
        <v>1204</v>
      </c>
      <c r="D750" t="s">
        <v>11</v>
      </c>
      <c r="E750" t="s">
        <v>2994</v>
      </c>
      <c r="F750" t="s">
        <v>2995</v>
      </c>
      <c r="G750" t="s">
        <v>444</v>
      </c>
      <c r="H750" t="s">
        <v>21</v>
      </c>
      <c r="I750">
        <v>91784</v>
      </c>
    </row>
    <row r="751" spans="1:9" x14ac:dyDescent="0.3">
      <c r="A751">
        <v>750</v>
      </c>
      <c r="B751" t="s">
        <v>1779</v>
      </c>
      <c r="C751" t="s">
        <v>2996</v>
      </c>
      <c r="D751" t="s">
        <v>11</v>
      </c>
      <c r="E751" t="s">
        <v>2997</v>
      </c>
      <c r="F751" t="s">
        <v>2998</v>
      </c>
      <c r="G751" t="s">
        <v>68</v>
      </c>
      <c r="H751" t="s">
        <v>15</v>
      </c>
      <c r="I751">
        <v>10952</v>
      </c>
    </row>
    <row r="752" spans="1:9" x14ac:dyDescent="0.3">
      <c r="A752">
        <v>751</v>
      </c>
      <c r="B752" t="s">
        <v>2999</v>
      </c>
      <c r="C752" t="s">
        <v>3000</v>
      </c>
      <c r="D752" t="s">
        <v>11</v>
      </c>
      <c r="E752" t="s">
        <v>3001</v>
      </c>
      <c r="F752" t="s">
        <v>3002</v>
      </c>
      <c r="G752" t="s">
        <v>411</v>
      </c>
      <c r="H752" t="s">
        <v>21</v>
      </c>
      <c r="I752">
        <v>92236</v>
      </c>
    </row>
    <row r="753" spans="1:9" x14ac:dyDescent="0.3">
      <c r="A753">
        <v>752</v>
      </c>
      <c r="B753" t="s">
        <v>1212</v>
      </c>
      <c r="C753" t="s">
        <v>3003</v>
      </c>
      <c r="D753" t="s">
        <v>11</v>
      </c>
      <c r="E753" t="s">
        <v>3004</v>
      </c>
      <c r="F753" t="s">
        <v>3005</v>
      </c>
      <c r="G753" t="s">
        <v>216</v>
      </c>
      <c r="H753" t="s">
        <v>21</v>
      </c>
      <c r="I753">
        <v>91316</v>
      </c>
    </row>
    <row r="754" spans="1:9" x14ac:dyDescent="0.3">
      <c r="A754">
        <v>753</v>
      </c>
      <c r="B754" t="s">
        <v>3006</v>
      </c>
      <c r="C754" t="s">
        <v>3007</v>
      </c>
      <c r="D754" t="s">
        <v>11</v>
      </c>
      <c r="E754" t="s">
        <v>3008</v>
      </c>
      <c r="F754" t="s">
        <v>3009</v>
      </c>
      <c r="G754" t="s">
        <v>272</v>
      </c>
      <c r="H754" t="s">
        <v>15</v>
      </c>
      <c r="I754">
        <v>11369</v>
      </c>
    </row>
    <row r="755" spans="1:9" x14ac:dyDescent="0.3">
      <c r="A755">
        <v>754</v>
      </c>
      <c r="B755" t="s">
        <v>2922</v>
      </c>
      <c r="C755" t="s">
        <v>3010</v>
      </c>
      <c r="D755" t="s">
        <v>11</v>
      </c>
      <c r="E755" t="s">
        <v>3011</v>
      </c>
      <c r="F755" t="s">
        <v>3012</v>
      </c>
      <c r="G755" t="s">
        <v>1585</v>
      </c>
      <c r="H755" t="s">
        <v>15</v>
      </c>
      <c r="I755">
        <v>11580</v>
      </c>
    </row>
    <row r="756" spans="1:9" x14ac:dyDescent="0.3">
      <c r="A756">
        <v>755</v>
      </c>
      <c r="B756" t="s">
        <v>779</v>
      </c>
      <c r="C756" t="s">
        <v>772</v>
      </c>
      <c r="D756" t="s">
        <v>11</v>
      </c>
      <c r="E756" t="s">
        <v>3013</v>
      </c>
      <c r="F756" t="s">
        <v>3014</v>
      </c>
      <c r="G756" t="s">
        <v>2492</v>
      </c>
      <c r="H756" t="s">
        <v>15</v>
      </c>
      <c r="I756">
        <v>11040</v>
      </c>
    </row>
    <row r="757" spans="1:9" x14ac:dyDescent="0.3">
      <c r="A757">
        <v>756</v>
      </c>
      <c r="B757" t="s">
        <v>3015</v>
      </c>
      <c r="C757" t="s">
        <v>2620</v>
      </c>
      <c r="D757" t="s">
        <v>11</v>
      </c>
      <c r="E757" t="s">
        <v>3016</v>
      </c>
      <c r="F757" t="s">
        <v>3017</v>
      </c>
      <c r="G757" t="s">
        <v>2752</v>
      </c>
      <c r="H757" t="s">
        <v>15</v>
      </c>
      <c r="I757">
        <v>11704</v>
      </c>
    </row>
    <row r="758" spans="1:9" x14ac:dyDescent="0.3">
      <c r="A758">
        <v>757</v>
      </c>
      <c r="B758" t="s">
        <v>3018</v>
      </c>
      <c r="C758" t="s">
        <v>1546</v>
      </c>
      <c r="D758" t="s">
        <v>11</v>
      </c>
      <c r="E758" t="s">
        <v>3019</v>
      </c>
      <c r="F758" t="s">
        <v>3020</v>
      </c>
      <c r="G758" t="s">
        <v>1293</v>
      </c>
      <c r="H758" t="s">
        <v>15</v>
      </c>
      <c r="I758">
        <v>11756</v>
      </c>
    </row>
    <row r="759" spans="1:9" x14ac:dyDescent="0.3">
      <c r="A759">
        <v>758</v>
      </c>
      <c r="B759" t="s">
        <v>3021</v>
      </c>
      <c r="C759" t="s">
        <v>3022</v>
      </c>
      <c r="D759" t="s">
        <v>11</v>
      </c>
      <c r="E759" t="s">
        <v>3023</v>
      </c>
      <c r="F759" t="s">
        <v>3024</v>
      </c>
      <c r="G759" t="s">
        <v>221</v>
      </c>
      <c r="H759" t="s">
        <v>15</v>
      </c>
      <c r="I759">
        <v>12804</v>
      </c>
    </row>
    <row r="760" spans="1:9" x14ac:dyDescent="0.3">
      <c r="A760">
        <v>759</v>
      </c>
      <c r="B760" t="s">
        <v>3025</v>
      </c>
      <c r="C760" t="s">
        <v>2795</v>
      </c>
      <c r="D760" t="s">
        <v>3026</v>
      </c>
      <c r="E760" t="s">
        <v>3027</v>
      </c>
      <c r="F760" t="s">
        <v>3028</v>
      </c>
      <c r="G760" t="s">
        <v>171</v>
      </c>
      <c r="H760" t="s">
        <v>21</v>
      </c>
      <c r="I760">
        <v>94603</v>
      </c>
    </row>
    <row r="761" spans="1:9" x14ac:dyDescent="0.3">
      <c r="A761">
        <v>760</v>
      </c>
      <c r="B761" t="s">
        <v>3029</v>
      </c>
      <c r="C761" t="s">
        <v>3030</v>
      </c>
      <c r="D761" t="s">
        <v>11</v>
      </c>
      <c r="E761" t="s">
        <v>3031</v>
      </c>
      <c r="F761" t="s">
        <v>3032</v>
      </c>
      <c r="G761" t="s">
        <v>323</v>
      </c>
      <c r="H761" t="s">
        <v>15</v>
      </c>
      <c r="I761">
        <v>11701</v>
      </c>
    </row>
    <row r="762" spans="1:9" x14ac:dyDescent="0.3">
      <c r="A762">
        <v>761</v>
      </c>
      <c r="B762" t="s">
        <v>3033</v>
      </c>
      <c r="C762" t="s">
        <v>3034</v>
      </c>
      <c r="D762" t="s">
        <v>11</v>
      </c>
      <c r="E762" t="s">
        <v>3035</v>
      </c>
      <c r="F762" t="s">
        <v>3036</v>
      </c>
      <c r="G762" t="s">
        <v>1253</v>
      </c>
      <c r="H762" t="s">
        <v>15</v>
      </c>
      <c r="I762">
        <v>11779</v>
      </c>
    </row>
    <row r="763" spans="1:9" x14ac:dyDescent="0.3">
      <c r="A763">
        <v>762</v>
      </c>
      <c r="B763" t="s">
        <v>3037</v>
      </c>
      <c r="C763" t="s">
        <v>232</v>
      </c>
      <c r="D763" t="s">
        <v>11</v>
      </c>
      <c r="E763" t="s">
        <v>3038</v>
      </c>
      <c r="F763" t="s">
        <v>3039</v>
      </c>
      <c r="G763" t="s">
        <v>300</v>
      </c>
      <c r="H763" t="s">
        <v>15</v>
      </c>
      <c r="I763">
        <v>11722</v>
      </c>
    </row>
    <row r="764" spans="1:9" x14ac:dyDescent="0.3">
      <c r="A764">
        <v>763</v>
      </c>
      <c r="B764" t="s">
        <v>3040</v>
      </c>
      <c r="C764" t="s">
        <v>1806</v>
      </c>
      <c r="D764" t="s">
        <v>11</v>
      </c>
      <c r="E764" t="s">
        <v>3041</v>
      </c>
      <c r="F764" t="s">
        <v>3042</v>
      </c>
      <c r="G764" t="s">
        <v>524</v>
      </c>
      <c r="H764" t="s">
        <v>15</v>
      </c>
      <c r="I764">
        <v>11373</v>
      </c>
    </row>
    <row r="765" spans="1:9" x14ac:dyDescent="0.3">
      <c r="A765">
        <v>764</v>
      </c>
      <c r="B765" t="s">
        <v>3043</v>
      </c>
      <c r="C765" t="s">
        <v>1075</v>
      </c>
      <c r="D765" t="s">
        <v>11</v>
      </c>
      <c r="E765" t="s">
        <v>3044</v>
      </c>
      <c r="F765" t="s">
        <v>3045</v>
      </c>
      <c r="G765" t="s">
        <v>975</v>
      </c>
      <c r="H765" t="s">
        <v>15</v>
      </c>
      <c r="I765">
        <v>11784</v>
      </c>
    </row>
    <row r="766" spans="1:9" x14ac:dyDescent="0.3">
      <c r="A766">
        <v>765</v>
      </c>
      <c r="B766" t="s">
        <v>3046</v>
      </c>
      <c r="C766" t="s">
        <v>368</v>
      </c>
      <c r="D766" t="s">
        <v>11</v>
      </c>
      <c r="E766" t="s">
        <v>3047</v>
      </c>
      <c r="F766" t="s">
        <v>3048</v>
      </c>
      <c r="G766" t="s">
        <v>156</v>
      </c>
      <c r="H766" t="s">
        <v>15</v>
      </c>
      <c r="I766">
        <v>10562</v>
      </c>
    </row>
    <row r="767" spans="1:9" x14ac:dyDescent="0.3">
      <c r="A767">
        <v>766</v>
      </c>
      <c r="B767" t="s">
        <v>3049</v>
      </c>
      <c r="C767" t="s">
        <v>3050</v>
      </c>
      <c r="D767" t="s">
        <v>11</v>
      </c>
      <c r="E767" t="s">
        <v>3051</v>
      </c>
      <c r="F767" t="s">
        <v>3052</v>
      </c>
      <c r="G767" t="s">
        <v>1434</v>
      </c>
      <c r="H767" t="s">
        <v>15</v>
      </c>
      <c r="I767">
        <v>12302</v>
      </c>
    </row>
    <row r="768" spans="1:9" x14ac:dyDescent="0.3">
      <c r="A768">
        <v>767</v>
      </c>
      <c r="B768" t="s">
        <v>3053</v>
      </c>
      <c r="C768" t="s">
        <v>2297</v>
      </c>
      <c r="D768" t="s">
        <v>3054</v>
      </c>
      <c r="E768" t="s">
        <v>3055</v>
      </c>
      <c r="F768" t="s">
        <v>3056</v>
      </c>
      <c r="G768" t="s">
        <v>545</v>
      </c>
      <c r="H768" t="s">
        <v>21</v>
      </c>
      <c r="I768">
        <v>92806</v>
      </c>
    </row>
    <row r="769" spans="1:9" x14ac:dyDescent="0.3">
      <c r="A769">
        <v>768</v>
      </c>
      <c r="B769" t="s">
        <v>3057</v>
      </c>
      <c r="C769" t="s">
        <v>1033</v>
      </c>
      <c r="D769" t="s">
        <v>11</v>
      </c>
      <c r="E769" t="s">
        <v>3058</v>
      </c>
      <c r="F769" t="s">
        <v>3059</v>
      </c>
      <c r="G769" t="s">
        <v>1121</v>
      </c>
      <c r="H769" t="s">
        <v>21</v>
      </c>
      <c r="I769">
        <v>94806</v>
      </c>
    </row>
    <row r="770" spans="1:9" x14ac:dyDescent="0.3">
      <c r="A770">
        <v>769</v>
      </c>
      <c r="B770" t="s">
        <v>3060</v>
      </c>
      <c r="C770" t="s">
        <v>340</v>
      </c>
      <c r="D770" t="s">
        <v>11</v>
      </c>
      <c r="E770" t="s">
        <v>3061</v>
      </c>
      <c r="F770" t="s">
        <v>3062</v>
      </c>
      <c r="G770" t="s">
        <v>1363</v>
      </c>
      <c r="H770" t="s">
        <v>15</v>
      </c>
      <c r="I770">
        <v>11413</v>
      </c>
    </row>
    <row r="771" spans="1:9" x14ac:dyDescent="0.3">
      <c r="A771">
        <v>770</v>
      </c>
      <c r="B771" t="s">
        <v>3063</v>
      </c>
      <c r="C771" t="s">
        <v>3064</v>
      </c>
      <c r="D771" t="s">
        <v>11</v>
      </c>
      <c r="E771" t="s">
        <v>3065</v>
      </c>
      <c r="F771" t="s">
        <v>3066</v>
      </c>
      <c r="G771" t="s">
        <v>745</v>
      </c>
      <c r="H771" t="s">
        <v>15</v>
      </c>
      <c r="I771">
        <v>11706</v>
      </c>
    </row>
    <row r="772" spans="1:9" x14ac:dyDescent="0.3">
      <c r="A772">
        <v>771</v>
      </c>
      <c r="B772" t="s">
        <v>3067</v>
      </c>
      <c r="C772" t="s">
        <v>2042</v>
      </c>
      <c r="D772" t="s">
        <v>3068</v>
      </c>
      <c r="E772" t="s">
        <v>3069</v>
      </c>
      <c r="F772" t="s">
        <v>3070</v>
      </c>
      <c r="G772" t="s">
        <v>48</v>
      </c>
      <c r="H772" t="s">
        <v>15</v>
      </c>
      <c r="I772">
        <v>14215</v>
      </c>
    </row>
    <row r="773" spans="1:9" x14ac:dyDescent="0.3">
      <c r="A773">
        <v>772</v>
      </c>
      <c r="B773" t="s">
        <v>3071</v>
      </c>
      <c r="C773" t="s">
        <v>3072</v>
      </c>
      <c r="D773" t="s">
        <v>11</v>
      </c>
      <c r="E773" t="s">
        <v>3073</v>
      </c>
      <c r="F773" t="s">
        <v>3074</v>
      </c>
      <c r="G773" t="s">
        <v>2536</v>
      </c>
      <c r="H773" t="s">
        <v>15</v>
      </c>
      <c r="I773">
        <v>10598</v>
      </c>
    </row>
    <row r="774" spans="1:9" x14ac:dyDescent="0.3">
      <c r="A774">
        <v>773</v>
      </c>
      <c r="B774" t="s">
        <v>3075</v>
      </c>
      <c r="C774" t="s">
        <v>3076</v>
      </c>
      <c r="D774" t="s">
        <v>11</v>
      </c>
      <c r="E774" t="s">
        <v>3077</v>
      </c>
      <c r="F774" t="s">
        <v>3078</v>
      </c>
      <c r="G774" t="s">
        <v>663</v>
      </c>
      <c r="H774" t="s">
        <v>15</v>
      </c>
      <c r="I774">
        <v>11758</v>
      </c>
    </row>
    <row r="775" spans="1:9" x14ac:dyDescent="0.3">
      <c r="A775">
        <v>774</v>
      </c>
      <c r="B775" t="s">
        <v>3079</v>
      </c>
      <c r="C775" t="s">
        <v>1024</v>
      </c>
      <c r="D775" t="s">
        <v>11</v>
      </c>
      <c r="E775" t="s">
        <v>3080</v>
      </c>
      <c r="F775" t="s">
        <v>3081</v>
      </c>
      <c r="G775" t="s">
        <v>1041</v>
      </c>
      <c r="H775" t="s">
        <v>21</v>
      </c>
      <c r="I775">
        <v>90260</v>
      </c>
    </row>
    <row r="776" spans="1:9" x14ac:dyDescent="0.3">
      <c r="A776">
        <v>775</v>
      </c>
      <c r="B776" t="s">
        <v>2734</v>
      </c>
      <c r="C776" t="s">
        <v>3082</v>
      </c>
      <c r="D776" t="s">
        <v>11</v>
      </c>
      <c r="E776" t="s">
        <v>3083</v>
      </c>
      <c r="F776" t="s">
        <v>3084</v>
      </c>
      <c r="G776" t="s">
        <v>1036</v>
      </c>
      <c r="H776" t="s">
        <v>15</v>
      </c>
      <c r="I776">
        <v>11772</v>
      </c>
    </row>
    <row r="777" spans="1:9" x14ac:dyDescent="0.3">
      <c r="A777">
        <v>776</v>
      </c>
      <c r="B777" t="s">
        <v>3085</v>
      </c>
      <c r="C777" t="s">
        <v>3086</v>
      </c>
      <c r="D777" t="s">
        <v>11</v>
      </c>
      <c r="E777" t="s">
        <v>3087</v>
      </c>
      <c r="F777" t="s">
        <v>3088</v>
      </c>
      <c r="G777" t="s">
        <v>366</v>
      </c>
      <c r="H777" t="s">
        <v>21</v>
      </c>
      <c r="I777">
        <v>91733</v>
      </c>
    </row>
    <row r="778" spans="1:9" x14ac:dyDescent="0.3">
      <c r="A778">
        <v>777</v>
      </c>
      <c r="B778" t="s">
        <v>3089</v>
      </c>
      <c r="C778" t="s">
        <v>905</v>
      </c>
      <c r="D778" t="s">
        <v>11</v>
      </c>
      <c r="E778" t="s">
        <v>3090</v>
      </c>
      <c r="F778" t="s">
        <v>3091</v>
      </c>
      <c r="G778" t="s">
        <v>1227</v>
      </c>
      <c r="H778" t="s">
        <v>15</v>
      </c>
      <c r="I778">
        <v>12401</v>
      </c>
    </row>
    <row r="779" spans="1:9" x14ac:dyDescent="0.3">
      <c r="A779">
        <v>778</v>
      </c>
      <c r="B779" t="s">
        <v>3092</v>
      </c>
      <c r="C779" t="s">
        <v>2710</v>
      </c>
      <c r="D779" t="s">
        <v>11</v>
      </c>
      <c r="E779" t="s">
        <v>3093</v>
      </c>
      <c r="F779" t="s">
        <v>3094</v>
      </c>
      <c r="G779" t="s">
        <v>120</v>
      </c>
      <c r="H779" t="s">
        <v>80</v>
      </c>
      <c r="I779">
        <v>77904</v>
      </c>
    </row>
    <row r="780" spans="1:9" x14ac:dyDescent="0.3">
      <c r="A780">
        <v>779</v>
      </c>
      <c r="B780" t="s">
        <v>3095</v>
      </c>
      <c r="C780" t="s">
        <v>3086</v>
      </c>
      <c r="D780" t="s">
        <v>11</v>
      </c>
      <c r="E780" t="s">
        <v>3096</v>
      </c>
      <c r="F780" t="s">
        <v>3097</v>
      </c>
      <c r="G780" t="s">
        <v>205</v>
      </c>
      <c r="H780" t="s">
        <v>15</v>
      </c>
      <c r="I780">
        <v>11102</v>
      </c>
    </row>
    <row r="781" spans="1:9" x14ac:dyDescent="0.3">
      <c r="A781">
        <v>780</v>
      </c>
      <c r="B781" t="s">
        <v>3098</v>
      </c>
      <c r="C781" t="s">
        <v>3099</v>
      </c>
      <c r="D781" t="s">
        <v>11</v>
      </c>
      <c r="E781" t="s">
        <v>3100</v>
      </c>
      <c r="F781" t="s">
        <v>3101</v>
      </c>
      <c r="G781" t="s">
        <v>267</v>
      </c>
      <c r="H781" t="s">
        <v>15</v>
      </c>
      <c r="I781">
        <v>11566</v>
      </c>
    </row>
    <row r="782" spans="1:9" x14ac:dyDescent="0.3">
      <c r="A782">
        <v>781</v>
      </c>
      <c r="B782" t="s">
        <v>2282</v>
      </c>
      <c r="C782" t="s">
        <v>959</v>
      </c>
      <c r="D782" t="s">
        <v>11</v>
      </c>
      <c r="E782" t="s">
        <v>3102</v>
      </c>
      <c r="F782" t="s">
        <v>3103</v>
      </c>
      <c r="G782" t="s">
        <v>480</v>
      </c>
      <c r="H782" t="s">
        <v>15</v>
      </c>
      <c r="I782">
        <v>11361</v>
      </c>
    </row>
    <row r="783" spans="1:9" x14ac:dyDescent="0.3">
      <c r="A783">
        <v>782</v>
      </c>
      <c r="B783" t="s">
        <v>3104</v>
      </c>
      <c r="C783" t="s">
        <v>437</v>
      </c>
      <c r="D783" t="s">
        <v>11</v>
      </c>
      <c r="E783" t="s">
        <v>3105</v>
      </c>
      <c r="F783" t="s">
        <v>3106</v>
      </c>
      <c r="G783" t="s">
        <v>783</v>
      </c>
      <c r="H783" t="s">
        <v>15</v>
      </c>
      <c r="I783">
        <v>11377</v>
      </c>
    </row>
    <row r="784" spans="1:9" x14ac:dyDescent="0.3">
      <c r="A784">
        <v>783</v>
      </c>
      <c r="B784" t="s">
        <v>2070</v>
      </c>
      <c r="C784" t="s">
        <v>3107</v>
      </c>
      <c r="D784" t="s">
        <v>3108</v>
      </c>
      <c r="E784" t="s">
        <v>3109</v>
      </c>
      <c r="F784" t="s">
        <v>3110</v>
      </c>
      <c r="G784" t="s">
        <v>211</v>
      </c>
      <c r="H784" t="s">
        <v>15</v>
      </c>
      <c r="I784">
        <v>14086</v>
      </c>
    </row>
    <row r="785" spans="1:9" x14ac:dyDescent="0.3">
      <c r="A785">
        <v>784</v>
      </c>
      <c r="B785" t="s">
        <v>3111</v>
      </c>
      <c r="C785" t="s">
        <v>3112</v>
      </c>
      <c r="D785" t="s">
        <v>11</v>
      </c>
      <c r="E785" t="s">
        <v>3113</v>
      </c>
      <c r="F785" t="s">
        <v>3114</v>
      </c>
      <c r="G785" t="s">
        <v>938</v>
      </c>
      <c r="H785" t="s">
        <v>15</v>
      </c>
      <c r="I785">
        <v>12020</v>
      </c>
    </row>
    <row r="786" spans="1:9" x14ac:dyDescent="0.3">
      <c r="A786">
        <v>785</v>
      </c>
      <c r="B786" t="s">
        <v>3115</v>
      </c>
      <c r="C786" t="s">
        <v>790</v>
      </c>
      <c r="D786" t="s">
        <v>11</v>
      </c>
      <c r="E786" t="s">
        <v>3116</v>
      </c>
      <c r="F786" t="s">
        <v>3117</v>
      </c>
      <c r="G786" t="s">
        <v>641</v>
      </c>
      <c r="H786" t="s">
        <v>15</v>
      </c>
      <c r="I786">
        <v>14075</v>
      </c>
    </row>
    <row r="787" spans="1:9" x14ac:dyDescent="0.3">
      <c r="A787">
        <v>786</v>
      </c>
      <c r="B787" t="s">
        <v>3118</v>
      </c>
      <c r="C787" t="s">
        <v>3119</v>
      </c>
      <c r="D787" t="s">
        <v>11</v>
      </c>
      <c r="E787" t="s">
        <v>3120</v>
      </c>
      <c r="F787" t="s">
        <v>3121</v>
      </c>
      <c r="G787" t="s">
        <v>2148</v>
      </c>
      <c r="H787" t="s">
        <v>15</v>
      </c>
      <c r="I787">
        <v>11419</v>
      </c>
    </row>
    <row r="788" spans="1:9" x14ac:dyDescent="0.3">
      <c r="A788">
        <v>787</v>
      </c>
      <c r="B788" t="s">
        <v>3122</v>
      </c>
      <c r="C788" t="s">
        <v>3123</v>
      </c>
      <c r="D788" t="s">
        <v>11</v>
      </c>
      <c r="E788" t="s">
        <v>3124</v>
      </c>
      <c r="F788" t="s">
        <v>3125</v>
      </c>
      <c r="G788" t="s">
        <v>1505</v>
      </c>
      <c r="H788" t="s">
        <v>15</v>
      </c>
      <c r="I788">
        <v>10550</v>
      </c>
    </row>
    <row r="789" spans="1:9" x14ac:dyDescent="0.3">
      <c r="A789">
        <v>788</v>
      </c>
      <c r="B789" t="s">
        <v>3126</v>
      </c>
      <c r="C789" t="s">
        <v>2613</v>
      </c>
      <c r="D789" t="s">
        <v>11</v>
      </c>
      <c r="E789" t="s">
        <v>3127</v>
      </c>
      <c r="F789" t="s">
        <v>3128</v>
      </c>
      <c r="G789" t="s">
        <v>3129</v>
      </c>
      <c r="H789" t="s">
        <v>80</v>
      </c>
      <c r="I789">
        <v>76522</v>
      </c>
    </row>
    <row r="790" spans="1:9" x14ac:dyDescent="0.3">
      <c r="A790">
        <v>789</v>
      </c>
      <c r="B790" t="s">
        <v>3130</v>
      </c>
      <c r="C790" t="s">
        <v>3131</v>
      </c>
      <c r="D790" t="s">
        <v>11</v>
      </c>
      <c r="E790" t="s">
        <v>3132</v>
      </c>
      <c r="F790" t="s">
        <v>3133</v>
      </c>
      <c r="G790" t="s">
        <v>1129</v>
      </c>
      <c r="H790" t="s">
        <v>15</v>
      </c>
      <c r="I790">
        <v>14304</v>
      </c>
    </row>
    <row r="791" spans="1:9" x14ac:dyDescent="0.3">
      <c r="A791">
        <v>790</v>
      </c>
      <c r="B791" t="s">
        <v>362</v>
      </c>
      <c r="C791" t="s">
        <v>1590</v>
      </c>
      <c r="D791" t="s">
        <v>11</v>
      </c>
      <c r="E791" t="s">
        <v>3134</v>
      </c>
      <c r="F791" t="s">
        <v>3135</v>
      </c>
      <c r="G791" t="s">
        <v>596</v>
      </c>
      <c r="H791" t="s">
        <v>15</v>
      </c>
      <c r="I791">
        <v>11414</v>
      </c>
    </row>
    <row r="792" spans="1:9" x14ac:dyDescent="0.3">
      <c r="A792">
        <v>791</v>
      </c>
      <c r="B792" t="s">
        <v>3136</v>
      </c>
      <c r="C792" t="s">
        <v>3137</v>
      </c>
      <c r="D792" t="s">
        <v>11</v>
      </c>
      <c r="E792" t="s">
        <v>3138</v>
      </c>
      <c r="F792" t="s">
        <v>3139</v>
      </c>
      <c r="G792" t="s">
        <v>938</v>
      </c>
      <c r="H792" t="s">
        <v>15</v>
      </c>
      <c r="I792">
        <v>12020</v>
      </c>
    </row>
    <row r="793" spans="1:9" x14ac:dyDescent="0.3">
      <c r="A793">
        <v>792</v>
      </c>
      <c r="B793" t="s">
        <v>3140</v>
      </c>
      <c r="C793" t="s">
        <v>2198</v>
      </c>
      <c r="D793" t="s">
        <v>11</v>
      </c>
      <c r="E793" t="s">
        <v>3141</v>
      </c>
      <c r="F793" t="s">
        <v>3142</v>
      </c>
      <c r="G793" t="s">
        <v>2752</v>
      </c>
      <c r="H793" t="s">
        <v>15</v>
      </c>
      <c r="I793">
        <v>11704</v>
      </c>
    </row>
    <row r="794" spans="1:9" x14ac:dyDescent="0.3">
      <c r="A794">
        <v>793</v>
      </c>
      <c r="B794" t="s">
        <v>3143</v>
      </c>
      <c r="C794" t="s">
        <v>3144</v>
      </c>
      <c r="D794" t="s">
        <v>11</v>
      </c>
      <c r="E794" t="s">
        <v>3145</v>
      </c>
      <c r="F794" t="s">
        <v>3146</v>
      </c>
      <c r="G794" t="s">
        <v>524</v>
      </c>
      <c r="H794" t="s">
        <v>15</v>
      </c>
      <c r="I794">
        <v>11373</v>
      </c>
    </row>
    <row r="795" spans="1:9" x14ac:dyDescent="0.3">
      <c r="A795">
        <v>794</v>
      </c>
      <c r="B795" t="s">
        <v>3147</v>
      </c>
      <c r="C795" t="s">
        <v>3148</v>
      </c>
      <c r="D795" t="s">
        <v>11</v>
      </c>
      <c r="E795" t="s">
        <v>3149</v>
      </c>
      <c r="F795" t="s">
        <v>3150</v>
      </c>
      <c r="G795" t="s">
        <v>26</v>
      </c>
      <c r="H795" t="s">
        <v>21</v>
      </c>
      <c r="I795">
        <v>90278</v>
      </c>
    </row>
    <row r="796" spans="1:9" x14ac:dyDescent="0.3">
      <c r="A796">
        <v>795</v>
      </c>
      <c r="B796" t="s">
        <v>3151</v>
      </c>
      <c r="C796" t="s">
        <v>3003</v>
      </c>
      <c r="D796" t="s">
        <v>11</v>
      </c>
      <c r="E796" t="s">
        <v>3152</v>
      </c>
      <c r="F796" t="s">
        <v>3153</v>
      </c>
      <c r="G796" t="s">
        <v>449</v>
      </c>
      <c r="H796" t="s">
        <v>15</v>
      </c>
      <c r="I796">
        <v>11010</v>
      </c>
    </row>
    <row r="797" spans="1:9" x14ac:dyDescent="0.3">
      <c r="A797">
        <v>796</v>
      </c>
      <c r="B797" t="s">
        <v>3154</v>
      </c>
      <c r="C797" t="s">
        <v>1633</v>
      </c>
      <c r="D797" t="s">
        <v>11</v>
      </c>
      <c r="E797" t="s">
        <v>3155</v>
      </c>
      <c r="F797" t="s">
        <v>3156</v>
      </c>
      <c r="G797" t="s">
        <v>444</v>
      </c>
      <c r="H797" t="s">
        <v>21</v>
      </c>
      <c r="I797">
        <v>91784</v>
      </c>
    </row>
    <row r="798" spans="1:9" x14ac:dyDescent="0.3">
      <c r="A798">
        <v>797</v>
      </c>
      <c r="B798" t="s">
        <v>3157</v>
      </c>
      <c r="C798" t="s">
        <v>3158</v>
      </c>
      <c r="D798" t="s">
        <v>11</v>
      </c>
      <c r="E798" t="s">
        <v>3159</v>
      </c>
      <c r="F798" t="s">
        <v>3160</v>
      </c>
      <c r="G798" t="s">
        <v>480</v>
      </c>
      <c r="H798" t="s">
        <v>15</v>
      </c>
      <c r="I798">
        <v>11361</v>
      </c>
    </row>
    <row r="799" spans="1:9" x14ac:dyDescent="0.3">
      <c r="A799">
        <v>798</v>
      </c>
      <c r="B799" t="s">
        <v>3161</v>
      </c>
      <c r="C799" t="s">
        <v>3112</v>
      </c>
      <c r="D799" t="s">
        <v>11</v>
      </c>
      <c r="E799" t="s">
        <v>3162</v>
      </c>
      <c r="F799" t="s">
        <v>3163</v>
      </c>
      <c r="G799" t="s">
        <v>1165</v>
      </c>
      <c r="H799" t="s">
        <v>15</v>
      </c>
      <c r="I799">
        <v>11762</v>
      </c>
    </row>
    <row r="800" spans="1:9" x14ac:dyDescent="0.3">
      <c r="A800">
        <v>799</v>
      </c>
      <c r="B800" t="s">
        <v>3164</v>
      </c>
      <c r="C800" t="s">
        <v>2837</v>
      </c>
      <c r="D800" t="s">
        <v>11</v>
      </c>
      <c r="E800" t="s">
        <v>3165</v>
      </c>
      <c r="F800" t="s">
        <v>3166</v>
      </c>
      <c r="G800" t="s">
        <v>722</v>
      </c>
      <c r="H800" t="s">
        <v>15</v>
      </c>
      <c r="I800">
        <v>11743</v>
      </c>
    </row>
    <row r="801" spans="1:9" x14ac:dyDescent="0.3">
      <c r="A801">
        <v>800</v>
      </c>
      <c r="B801" t="s">
        <v>3167</v>
      </c>
      <c r="C801" t="s">
        <v>2807</v>
      </c>
      <c r="D801" t="s">
        <v>11</v>
      </c>
      <c r="E801" t="s">
        <v>3168</v>
      </c>
      <c r="F801" t="s">
        <v>3169</v>
      </c>
      <c r="G801" t="s">
        <v>579</v>
      </c>
      <c r="H801" t="s">
        <v>15</v>
      </c>
      <c r="I801">
        <v>14534</v>
      </c>
    </row>
    <row r="802" spans="1:9" x14ac:dyDescent="0.3">
      <c r="A802">
        <v>801</v>
      </c>
      <c r="B802" t="s">
        <v>3170</v>
      </c>
      <c r="C802" t="s">
        <v>3171</v>
      </c>
      <c r="D802" t="s">
        <v>11</v>
      </c>
      <c r="E802" t="s">
        <v>3172</v>
      </c>
      <c r="F802" t="s">
        <v>3173</v>
      </c>
      <c r="G802" t="s">
        <v>1245</v>
      </c>
      <c r="H802" t="s">
        <v>15</v>
      </c>
      <c r="I802">
        <v>12533</v>
      </c>
    </row>
    <row r="803" spans="1:9" x14ac:dyDescent="0.3">
      <c r="A803">
        <v>802</v>
      </c>
      <c r="B803" t="s">
        <v>3174</v>
      </c>
      <c r="C803" t="s">
        <v>3175</v>
      </c>
      <c r="D803" t="s">
        <v>11</v>
      </c>
      <c r="E803" t="s">
        <v>3176</v>
      </c>
      <c r="F803" t="s">
        <v>3177</v>
      </c>
      <c r="G803" t="s">
        <v>79</v>
      </c>
      <c r="H803" t="s">
        <v>80</v>
      </c>
      <c r="I803">
        <v>75604</v>
      </c>
    </row>
    <row r="804" spans="1:9" x14ac:dyDescent="0.3">
      <c r="A804">
        <v>803</v>
      </c>
      <c r="B804" t="s">
        <v>3178</v>
      </c>
      <c r="C804" t="s">
        <v>1616</v>
      </c>
      <c r="D804" t="s">
        <v>11</v>
      </c>
      <c r="E804" t="s">
        <v>3179</v>
      </c>
      <c r="F804" t="s">
        <v>3180</v>
      </c>
      <c r="G804" t="s">
        <v>1000</v>
      </c>
      <c r="H804" t="s">
        <v>15</v>
      </c>
      <c r="I804">
        <v>11357</v>
      </c>
    </row>
    <row r="805" spans="1:9" x14ac:dyDescent="0.3">
      <c r="A805">
        <v>804</v>
      </c>
      <c r="B805" t="s">
        <v>3181</v>
      </c>
      <c r="C805" t="s">
        <v>3182</v>
      </c>
      <c r="D805" t="s">
        <v>11</v>
      </c>
      <c r="E805" t="s">
        <v>3183</v>
      </c>
      <c r="F805" t="s">
        <v>3184</v>
      </c>
      <c r="G805" t="s">
        <v>1585</v>
      </c>
      <c r="H805" t="s">
        <v>15</v>
      </c>
      <c r="I805">
        <v>11580</v>
      </c>
    </row>
    <row r="806" spans="1:9" x14ac:dyDescent="0.3">
      <c r="A806">
        <v>805</v>
      </c>
      <c r="B806" t="s">
        <v>3185</v>
      </c>
      <c r="C806" t="s">
        <v>2095</v>
      </c>
      <c r="D806" t="s">
        <v>11</v>
      </c>
      <c r="E806" t="s">
        <v>3186</v>
      </c>
      <c r="F806" t="s">
        <v>3187</v>
      </c>
      <c r="G806" t="s">
        <v>2552</v>
      </c>
      <c r="H806" t="s">
        <v>15</v>
      </c>
      <c r="I806">
        <v>12065</v>
      </c>
    </row>
    <row r="807" spans="1:9" x14ac:dyDescent="0.3">
      <c r="A807">
        <v>806</v>
      </c>
      <c r="B807" t="s">
        <v>3188</v>
      </c>
      <c r="C807" t="s">
        <v>1666</v>
      </c>
      <c r="D807" t="s">
        <v>11</v>
      </c>
      <c r="E807" t="s">
        <v>3189</v>
      </c>
      <c r="F807" t="s">
        <v>3190</v>
      </c>
      <c r="G807" t="s">
        <v>700</v>
      </c>
      <c r="H807" t="s">
        <v>15</v>
      </c>
      <c r="I807">
        <v>10301</v>
      </c>
    </row>
    <row r="808" spans="1:9" x14ac:dyDescent="0.3">
      <c r="A808">
        <v>807</v>
      </c>
      <c r="B808" t="s">
        <v>3191</v>
      </c>
      <c r="C808" t="s">
        <v>3192</v>
      </c>
      <c r="D808" t="s">
        <v>11</v>
      </c>
      <c r="E808" t="s">
        <v>3193</v>
      </c>
      <c r="F808" t="s">
        <v>3194</v>
      </c>
      <c r="G808" t="s">
        <v>750</v>
      </c>
      <c r="H808" t="s">
        <v>15</v>
      </c>
      <c r="I808">
        <v>11795</v>
      </c>
    </row>
    <row r="809" spans="1:9" x14ac:dyDescent="0.3">
      <c r="A809">
        <v>808</v>
      </c>
      <c r="B809" t="s">
        <v>3195</v>
      </c>
      <c r="C809" t="s">
        <v>1830</v>
      </c>
      <c r="D809" t="s">
        <v>11</v>
      </c>
      <c r="E809" t="s">
        <v>3196</v>
      </c>
      <c r="F809" t="s">
        <v>3197</v>
      </c>
      <c r="G809" t="s">
        <v>348</v>
      </c>
      <c r="H809" t="s">
        <v>80</v>
      </c>
      <c r="I809">
        <v>75088</v>
      </c>
    </row>
    <row r="810" spans="1:9" x14ac:dyDescent="0.3">
      <c r="A810">
        <v>809</v>
      </c>
      <c r="B810" t="s">
        <v>3198</v>
      </c>
      <c r="C810" t="s">
        <v>3199</v>
      </c>
      <c r="D810" t="s">
        <v>11</v>
      </c>
      <c r="E810" t="s">
        <v>3200</v>
      </c>
      <c r="F810" t="s">
        <v>3201</v>
      </c>
      <c r="G810" t="s">
        <v>1222</v>
      </c>
      <c r="H810" t="s">
        <v>15</v>
      </c>
      <c r="I810">
        <v>11710</v>
      </c>
    </row>
    <row r="811" spans="1:9" x14ac:dyDescent="0.3">
      <c r="A811">
        <v>810</v>
      </c>
      <c r="B811" t="s">
        <v>3202</v>
      </c>
      <c r="C811" t="s">
        <v>3203</v>
      </c>
      <c r="D811" t="s">
        <v>3204</v>
      </c>
      <c r="E811" t="s">
        <v>3205</v>
      </c>
      <c r="F811" t="s">
        <v>3206</v>
      </c>
      <c r="G811" t="s">
        <v>232</v>
      </c>
      <c r="H811" t="s">
        <v>80</v>
      </c>
      <c r="I811">
        <v>77016</v>
      </c>
    </row>
    <row r="812" spans="1:9" x14ac:dyDescent="0.3">
      <c r="A812">
        <v>811</v>
      </c>
      <c r="B812" t="s">
        <v>3207</v>
      </c>
      <c r="C812" t="s">
        <v>794</v>
      </c>
      <c r="D812" t="s">
        <v>11</v>
      </c>
      <c r="E812" t="s">
        <v>3208</v>
      </c>
      <c r="F812" t="s">
        <v>3209</v>
      </c>
      <c r="G812" t="s">
        <v>700</v>
      </c>
      <c r="H812" t="s">
        <v>15</v>
      </c>
      <c r="I812">
        <v>10301</v>
      </c>
    </row>
    <row r="813" spans="1:9" x14ac:dyDescent="0.3">
      <c r="A813">
        <v>812</v>
      </c>
      <c r="B813" t="s">
        <v>3210</v>
      </c>
      <c r="C813" t="s">
        <v>1259</v>
      </c>
      <c r="D813" t="s">
        <v>11</v>
      </c>
      <c r="E813" t="s">
        <v>3211</v>
      </c>
      <c r="F813" t="s">
        <v>3212</v>
      </c>
      <c r="G813" t="s">
        <v>519</v>
      </c>
      <c r="H813" t="s">
        <v>15</v>
      </c>
      <c r="I813">
        <v>11421</v>
      </c>
    </row>
    <row r="814" spans="1:9" x14ac:dyDescent="0.3">
      <c r="A814">
        <v>813</v>
      </c>
      <c r="B814" t="s">
        <v>3213</v>
      </c>
      <c r="C814" t="s">
        <v>3214</v>
      </c>
      <c r="D814" t="s">
        <v>11</v>
      </c>
      <c r="E814" t="s">
        <v>3215</v>
      </c>
      <c r="F814" t="s">
        <v>3216</v>
      </c>
      <c r="G814" t="s">
        <v>553</v>
      </c>
      <c r="H814" t="s">
        <v>15</v>
      </c>
      <c r="I814">
        <v>11552</v>
      </c>
    </row>
    <row r="815" spans="1:9" x14ac:dyDescent="0.3">
      <c r="A815">
        <v>814</v>
      </c>
      <c r="B815" t="s">
        <v>3217</v>
      </c>
      <c r="C815" t="s">
        <v>1895</v>
      </c>
      <c r="D815" t="s">
        <v>11</v>
      </c>
      <c r="E815" t="s">
        <v>3218</v>
      </c>
      <c r="F815" t="s">
        <v>3219</v>
      </c>
      <c r="G815" t="s">
        <v>420</v>
      </c>
      <c r="H815" t="s">
        <v>15</v>
      </c>
      <c r="I815">
        <v>11757</v>
      </c>
    </row>
    <row r="816" spans="1:9" x14ac:dyDescent="0.3">
      <c r="A816">
        <v>815</v>
      </c>
      <c r="B816" t="s">
        <v>3220</v>
      </c>
      <c r="C816" t="s">
        <v>2969</v>
      </c>
      <c r="D816" t="s">
        <v>11</v>
      </c>
      <c r="E816" t="s">
        <v>3221</v>
      </c>
      <c r="F816" t="s">
        <v>3222</v>
      </c>
      <c r="G816" t="s">
        <v>903</v>
      </c>
      <c r="H816" t="s">
        <v>15</v>
      </c>
      <c r="I816">
        <v>11801</v>
      </c>
    </row>
    <row r="817" spans="1:9" x14ac:dyDescent="0.3">
      <c r="A817">
        <v>816</v>
      </c>
      <c r="B817" t="s">
        <v>1802</v>
      </c>
      <c r="C817" t="s">
        <v>1481</v>
      </c>
      <c r="D817" t="s">
        <v>11</v>
      </c>
      <c r="E817" t="s">
        <v>3223</v>
      </c>
      <c r="F817" t="s">
        <v>3224</v>
      </c>
      <c r="G817" t="s">
        <v>1911</v>
      </c>
      <c r="H817" t="s">
        <v>21</v>
      </c>
      <c r="I817">
        <v>92083</v>
      </c>
    </row>
    <row r="818" spans="1:9" x14ac:dyDescent="0.3">
      <c r="A818">
        <v>817</v>
      </c>
      <c r="B818" t="s">
        <v>3225</v>
      </c>
      <c r="C818" t="s">
        <v>887</v>
      </c>
      <c r="D818" t="s">
        <v>3226</v>
      </c>
      <c r="E818" t="s">
        <v>3227</v>
      </c>
      <c r="F818" t="s">
        <v>3228</v>
      </c>
      <c r="G818" t="s">
        <v>211</v>
      </c>
      <c r="H818" t="s">
        <v>15</v>
      </c>
      <c r="I818">
        <v>14086</v>
      </c>
    </row>
    <row r="819" spans="1:9" x14ac:dyDescent="0.3">
      <c r="A819">
        <v>818</v>
      </c>
      <c r="B819" t="s">
        <v>3229</v>
      </c>
      <c r="C819" t="s">
        <v>1542</v>
      </c>
      <c r="D819" t="s">
        <v>3230</v>
      </c>
      <c r="E819" t="s">
        <v>3231</v>
      </c>
      <c r="F819" t="s">
        <v>3232</v>
      </c>
      <c r="G819" t="s">
        <v>455</v>
      </c>
      <c r="H819" t="s">
        <v>21</v>
      </c>
      <c r="I819">
        <v>92111</v>
      </c>
    </row>
    <row r="820" spans="1:9" x14ac:dyDescent="0.3">
      <c r="A820">
        <v>819</v>
      </c>
      <c r="B820" t="s">
        <v>3233</v>
      </c>
      <c r="C820" t="s">
        <v>2194</v>
      </c>
      <c r="D820" t="s">
        <v>11</v>
      </c>
      <c r="E820" t="s">
        <v>3234</v>
      </c>
      <c r="F820" t="s">
        <v>3235</v>
      </c>
      <c r="G820" t="s">
        <v>2890</v>
      </c>
      <c r="H820" t="s">
        <v>15</v>
      </c>
      <c r="I820">
        <v>13760</v>
      </c>
    </row>
    <row r="821" spans="1:9" x14ac:dyDescent="0.3">
      <c r="A821">
        <v>820</v>
      </c>
      <c r="B821" t="s">
        <v>3236</v>
      </c>
      <c r="C821" t="s">
        <v>790</v>
      </c>
      <c r="D821" t="s">
        <v>11</v>
      </c>
      <c r="E821" t="s">
        <v>3237</v>
      </c>
      <c r="F821" t="s">
        <v>3238</v>
      </c>
      <c r="G821" t="s">
        <v>1434</v>
      </c>
      <c r="H821" t="s">
        <v>15</v>
      </c>
      <c r="I821">
        <v>12302</v>
      </c>
    </row>
    <row r="822" spans="1:9" x14ac:dyDescent="0.3">
      <c r="A822">
        <v>821</v>
      </c>
      <c r="B822" t="s">
        <v>3239</v>
      </c>
      <c r="C822" t="s">
        <v>3240</v>
      </c>
      <c r="D822" t="s">
        <v>11</v>
      </c>
      <c r="E822" t="s">
        <v>3241</v>
      </c>
      <c r="F822" t="s">
        <v>3242</v>
      </c>
      <c r="G822" t="s">
        <v>205</v>
      </c>
      <c r="H822" t="s">
        <v>15</v>
      </c>
      <c r="I822">
        <v>11102</v>
      </c>
    </row>
    <row r="823" spans="1:9" x14ac:dyDescent="0.3">
      <c r="A823">
        <v>822</v>
      </c>
      <c r="B823" t="s">
        <v>3243</v>
      </c>
      <c r="C823" t="s">
        <v>3244</v>
      </c>
      <c r="D823" t="s">
        <v>11</v>
      </c>
      <c r="E823" t="s">
        <v>3245</v>
      </c>
      <c r="F823" t="s">
        <v>3246</v>
      </c>
      <c r="G823" t="s">
        <v>596</v>
      </c>
      <c r="H823" t="s">
        <v>15</v>
      </c>
      <c r="I823">
        <v>11414</v>
      </c>
    </row>
    <row r="824" spans="1:9" x14ac:dyDescent="0.3">
      <c r="A824">
        <v>823</v>
      </c>
      <c r="B824" t="s">
        <v>3247</v>
      </c>
      <c r="C824" t="s">
        <v>1697</v>
      </c>
      <c r="D824" t="s">
        <v>11</v>
      </c>
      <c r="E824" t="s">
        <v>3248</v>
      </c>
      <c r="F824" t="s">
        <v>3249</v>
      </c>
      <c r="G824" t="s">
        <v>200</v>
      </c>
      <c r="H824" t="s">
        <v>15</v>
      </c>
      <c r="I824">
        <v>11378</v>
      </c>
    </row>
    <row r="825" spans="1:9" x14ac:dyDescent="0.3">
      <c r="A825">
        <v>824</v>
      </c>
      <c r="B825" t="s">
        <v>3250</v>
      </c>
      <c r="C825" t="s">
        <v>1515</v>
      </c>
      <c r="D825" t="s">
        <v>11</v>
      </c>
      <c r="E825" t="s">
        <v>3251</v>
      </c>
      <c r="F825" t="s">
        <v>3252</v>
      </c>
      <c r="G825" t="s">
        <v>864</v>
      </c>
      <c r="H825" t="s">
        <v>15</v>
      </c>
      <c r="I825">
        <v>14580</v>
      </c>
    </row>
    <row r="826" spans="1:9" x14ac:dyDescent="0.3">
      <c r="A826">
        <v>825</v>
      </c>
      <c r="B826" t="s">
        <v>3253</v>
      </c>
      <c r="C826" t="s">
        <v>2575</v>
      </c>
      <c r="D826" t="s">
        <v>11</v>
      </c>
      <c r="E826" t="s">
        <v>3254</v>
      </c>
      <c r="F826" t="s">
        <v>3255</v>
      </c>
      <c r="G826" t="s">
        <v>903</v>
      </c>
      <c r="H826" t="s">
        <v>15</v>
      </c>
      <c r="I826">
        <v>11801</v>
      </c>
    </row>
    <row r="827" spans="1:9" x14ac:dyDescent="0.3">
      <c r="A827">
        <v>826</v>
      </c>
      <c r="B827" t="s">
        <v>3256</v>
      </c>
      <c r="C827" t="s">
        <v>3064</v>
      </c>
      <c r="D827" t="s">
        <v>11</v>
      </c>
      <c r="E827" t="s">
        <v>3257</v>
      </c>
      <c r="F827" t="s">
        <v>3258</v>
      </c>
      <c r="G827" t="s">
        <v>709</v>
      </c>
      <c r="H827" t="s">
        <v>15</v>
      </c>
      <c r="I827">
        <v>11787</v>
      </c>
    </row>
    <row r="828" spans="1:9" x14ac:dyDescent="0.3">
      <c r="A828">
        <v>827</v>
      </c>
      <c r="B828" t="s">
        <v>3259</v>
      </c>
      <c r="C828" t="s">
        <v>2142</v>
      </c>
      <c r="D828" t="s">
        <v>11</v>
      </c>
      <c r="E828" t="s">
        <v>3260</v>
      </c>
      <c r="F828" t="s">
        <v>3261</v>
      </c>
      <c r="G828" t="s">
        <v>151</v>
      </c>
      <c r="H828" t="s">
        <v>15</v>
      </c>
      <c r="I828">
        <v>11104</v>
      </c>
    </row>
    <row r="829" spans="1:9" x14ac:dyDescent="0.3">
      <c r="A829">
        <v>828</v>
      </c>
      <c r="B829" t="s">
        <v>3262</v>
      </c>
      <c r="C829" t="s">
        <v>865</v>
      </c>
      <c r="D829" t="s">
        <v>11</v>
      </c>
      <c r="E829" t="s">
        <v>3263</v>
      </c>
      <c r="F829" t="s">
        <v>3264</v>
      </c>
      <c r="G829" t="s">
        <v>1505</v>
      </c>
      <c r="H829" t="s">
        <v>15</v>
      </c>
      <c r="I829">
        <v>10550</v>
      </c>
    </row>
    <row r="830" spans="1:9" x14ac:dyDescent="0.3">
      <c r="A830">
        <v>829</v>
      </c>
      <c r="B830" t="s">
        <v>3265</v>
      </c>
      <c r="C830" t="s">
        <v>3266</v>
      </c>
      <c r="D830" t="s">
        <v>11</v>
      </c>
      <c r="E830" t="s">
        <v>3267</v>
      </c>
      <c r="F830" t="s">
        <v>3268</v>
      </c>
      <c r="G830" t="s">
        <v>627</v>
      </c>
      <c r="H830" t="s">
        <v>15</v>
      </c>
      <c r="I830">
        <v>14094</v>
      </c>
    </row>
    <row r="831" spans="1:9" x14ac:dyDescent="0.3">
      <c r="A831">
        <v>830</v>
      </c>
      <c r="B831" t="s">
        <v>3269</v>
      </c>
      <c r="C831" t="s">
        <v>2430</v>
      </c>
      <c r="D831" t="s">
        <v>11</v>
      </c>
      <c r="E831" t="s">
        <v>3270</v>
      </c>
      <c r="F831" t="s">
        <v>3271</v>
      </c>
      <c r="G831" t="s">
        <v>3129</v>
      </c>
      <c r="H831" t="s">
        <v>80</v>
      </c>
      <c r="I831">
        <v>76522</v>
      </c>
    </row>
    <row r="832" spans="1:9" x14ac:dyDescent="0.3">
      <c r="A832">
        <v>831</v>
      </c>
      <c r="B832" t="s">
        <v>741</v>
      </c>
      <c r="C832" t="s">
        <v>244</v>
      </c>
      <c r="D832" t="s">
        <v>11</v>
      </c>
      <c r="E832" t="s">
        <v>3272</v>
      </c>
      <c r="F832" t="s">
        <v>3273</v>
      </c>
      <c r="G832" t="s">
        <v>430</v>
      </c>
      <c r="H832" t="s">
        <v>15</v>
      </c>
      <c r="I832">
        <v>13126</v>
      </c>
    </row>
    <row r="833" spans="1:9" x14ac:dyDescent="0.3">
      <c r="A833">
        <v>832</v>
      </c>
      <c r="B833" t="s">
        <v>291</v>
      </c>
      <c r="C833" t="s">
        <v>2095</v>
      </c>
      <c r="D833" t="s">
        <v>11</v>
      </c>
      <c r="E833" t="s">
        <v>3274</v>
      </c>
      <c r="F833" t="s">
        <v>3275</v>
      </c>
      <c r="G833" t="s">
        <v>938</v>
      </c>
      <c r="H833" t="s">
        <v>15</v>
      </c>
      <c r="I833">
        <v>12020</v>
      </c>
    </row>
    <row r="834" spans="1:9" x14ac:dyDescent="0.3">
      <c r="A834">
        <v>833</v>
      </c>
      <c r="B834" t="s">
        <v>3276</v>
      </c>
      <c r="C834" t="s">
        <v>3277</v>
      </c>
      <c r="D834" t="s">
        <v>11</v>
      </c>
      <c r="E834" t="s">
        <v>3278</v>
      </c>
      <c r="F834" t="s">
        <v>3279</v>
      </c>
      <c r="G834" t="s">
        <v>1000</v>
      </c>
      <c r="H834" t="s">
        <v>15</v>
      </c>
      <c r="I834">
        <v>11357</v>
      </c>
    </row>
    <row r="835" spans="1:9" x14ac:dyDescent="0.3">
      <c r="A835">
        <v>834</v>
      </c>
      <c r="B835" t="s">
        <v>3280</v>
      </c>
      <c r="C835" t="s">
        <v>3281</v>
      </c>
      <c r="D835" t="s">
        <v>11</v>
      </c>
      <c r="E835" t="s">
        <v>3282</v>
      </c>
      <c r="F835" t="s">
        <v>3283</v>
      </c>
      <c r="G835" t="s">
        <v>570</v>
      </c>
      <c r="H835" t="s">
        <v>80</v>
      </c>
      <c r="I835">
        <v>76039</v>
      </c>
    </row>
    <row r="836" spans="1:9" x14ac:dyDescent="0.3">
      <c r="A836">
        <v>835</v>
      </c>
      <c r="B836" t="s">
        <v>3284</v>
      </c>
      <c r="C836" t="s">
        <v>3144</v>
      </c>
      <c r="D836" t="s">
        <v>11</v>
      </c>
      <c r="E836" t="s">
        <v>3285</v>
      </c>
      <c r="F836" t="s">
        <v>3286</v>
      </c>
      <c r="G836" t="s">
        <v>570</v>
      </c>
      <c r="H836" t="s">
        <v>80</v>
      </c>
      <c r="I836">
        <v>76039</v>
      </c>
    </row>
    <row r="837" spans="1:9" x14ac:dyDescent="0.3">
      <c r="A837">
        <v>836</v>
      </c>
      <c r="B837" t="s">
        <v>3287</v>
      </c>
      <c r="C837" t="s">
        <v>3288</v>
      </c>
      <c r="D837" t="s">
        <v>11</v>
      </c>
      <c r="E837" t="s">
        <v>3289</v>
      </c>
      <c r="F837" t="s">
        <v>3290</v>
      </c>
      <c r="G837" t="s">
        <v>1622</v>
      </c>
      <c r="H837" t="s">
        <v>15</v>
      </c>
      <c r="I837">
        <v>11422</v>
      </c>
    </row>
    <row r="838" spans="1:9" x14ac:dyDescent="0.3">
      <c r="A838">
        <v>837</v>
      </c>
      <c r="B838" t="s">
        <v>3291</v>
      </c>
      <c r="C838" t="s">
        <v>20</v>
      </c>
      <c r="D838" t="s">
        <v>11</v>
      </c>
      <c r="E838" t="s">
        <v>3292</v>
      </c>
      <c r="F838" t="s">
        <v>3293</v>
      </c>
      <c r="G838" t="s">
        <v>190</v>
      </c>
      <c r="H838" t="s">
        <v>15</v>
      </c>
      <c r="I838">
        <v>13027</v>
      </c>
    </row>
    <row r="839" spans="1:9" x14ac:dyDescent="0.3">
      <c r="A839">
        <v>838</v>
      </c>
      <c r="B839" t="s">
        <v>3294</v>
      </c>
      <c r="C839" t="s">
        <v>3295</v>
      </c>
      <c r="D839" t="s">
        <v>11</v>
      </c>
      <c r="E839" t="s">
        <v>3296</v>
      </c>
      <c r="F839" t="s">
        <v>3297</v>
      </c>
      <c r="G839" t="s">
        <v>596</v>
      </c>
      <c r="H839" t="s">
        <v>15</v>
      </c>
      <c r="I839">
        <v>11414</v>
      </c>
    </row>
    <row r="840" spans="1:9" x14ac:dyDescent="0.3">
      <c r="A840">
        <v>839</v>
      </c>
      <c r="B840" t="s">
        <v>3298</v>
      </c>
      <c r="C840" t="s">
        <v>3299</v>
      </c>
      <c r="D840" t="s">
        <v>11</v>
      </c>
      <c r="E840" t="s">
        <v>3300</v>
      </c>
      <c r="F840" t="s">
        <v>3301</v>
      </c>
      <c r="G840" t="s">
        <v>2188</v>
      </c>
      <c r="H840" t="s">
        <v>15</v>
      </c>
      <c r="I840">
        <v>11542</v>
      </c>
    </row>
    <row r="841" spans="1:9" x14ac:dyDescent="0.3">
      <c r="A841">
        <v>840</v>
      </c>
      <c r="B841" t="s">
        <v>2173</v>
      </c>
      <c r="C841" t="s">
        <v>3302</v>
      </c>
      <c r="D841" t="s">
        <v>11</v>
      </c>
      <c r="E841" t="s">
        <v>3303</v>
      </c>
      <c r="F841" t="s">
        <v>3304</v>
      </c>
      <c r="G841" t="s">
        <v>272</v>
      </c>
      <c r="H841" t="s">
        <v>15</v>
      </c>
      <c r="I841">
        <v>11369</v>
      </c>
    </row>
    <row r="842" spans="1:9" x14ac:dyDescent="0.3">
      <c r="A842">
        <v>841</v>
      </c>
      <c r="B842" t="s">
        <v>1107</v>
      </c>
      <c r="C842" t="s">
        <v>3305</v>
      </c>
      <c r="D842" t="s">
        <v>11</v>
      </c>
      <c r="E842" t="s">
        <v>3306</v>
      </c>
      <c r="F842" t="s">
        <v>3307</v>
      </c>
      <c r="G842" t="s">
        <v>1253</v>
      </c>
      <c r="H842" t="s">
        <v>15</v>
      </c>
      <c r="I842">
        <v>11779</v>
      </c>
    </row>
    <row r="843" spans="1:9" x14ac:dyDescent="0.3">
      <c r="A843">
        <v>842</v>
      </c>
      <c r="B843" t="s">
        <v>3308</v>
      </c>
      <c r="C843" t="s">
        <v>3309</v>
      </c>
      <c r="D843" t="s">
        <v>11</v>
      </c>
      <c r="E843" t="s">
        <v>3310</v>
      </c>
      <c r="F843" t="s">
        <v>3311</v>
      </c>
      <c r="G843" t="s">
        <v>314</v>
      </c>
      <c r="H843" t="s">
        <v>80</v>
      </c>
      <c r="I843">
        <v>76901</v>
      </c>
    </row>
    <row r="844" spans="1:9" x14ac:dyDescent="0.3">
      <c r="A844">
        <v>843</v>
      </c>
      <c r="B844" t="s">
        <v>3312</v>
      </c>
      <c r="C844" t="s">
        <v>3313</v>
      </c>
      <c r="D844" t="s">
        <v>11</v>
      </c>
      <c r="E844" t="s">
        <v>3314</v>
      </c>
      <c r="F844" t="s">
        <v>3315</v>
      </c>
      <c r="G844" t="s">
        <v>90</v>
      </c>
      <c r="H844" t="s">
        <v>15</v>
      </c>
      <c r="I844">
        <v>12901</v>
      </c>
    </row>
    <row r="845" spans="1:9" x14ac:dyDescent="0.3">
      <c r="A845">
        <v>844</v>
      </c>
      <c r="B845" t="s">
        <v>3316</v>
      </c>
      <c r="C845" t="s">
        <v>1884</v>
      </c>
      <c r="D845" t="s">
        <v>11</v>
      </c>
      <c r="E845" t="s">
        <v>3317</v>
      </c>
      <c r="F845" t="s">
        <v>3318</v>
      </c>
      <c r="G845" t="s">
        <v>800</v>
      </c>
      <c r="H845" t="s">
        <v>15</v>
      </c>
      <c r="I845">
        <v>11420</v>
      </c>
    </row>
    <row r="846" spans="1:9" x14ac:dyDescent="0.3">
      <c r="A846">
        <v>845</v>
      </c>
      <c r="B846" t="s">
        <v>3319</v>
      </c>
      <c r="C846" t="s">
        <v>1697</v>
      </c>
      <c r="D846" t="s">
        <v>11</v>
      </c>
      <c r="E846" t="s">
        <v>3320</v>
      </c>
      <c r="F846" t="s">
        <v>3321</v>
      </c>
      <c r="G846" t="s">
        <v>295</v>
      </c>
      <c r="H846" t="s">
        <v>15</v>
      </c>
      <c r="I846">
        <v>10451</v>
      </c>
    </row>
    <row r="847" spans="1:9" x14ac:dyDescent="0.3">
      <c r="A847">
        <v>846</v>
      </c>
      <c r="B847" t="s">
        <v>3322</v>
      </c>
      <c r="C847" t="s">
        <v>2853</v>
      </c>
      <c r="D847" t="s">
        <v>11</v>
      </c>
      <c r="E847" t="s">
        <v>3323</v>
      </c>
      <c r="F847" t="s">
        <v>3324</v>
      </c>
      <c r="G847" t="s">
        <v>353</v>
      </c>
      <c r="H847" t="s">
        <v>21</v>
      </c>
      <c r="I847">
        <v>95677</v>
      </c>
    </row>
    <row r="848" spans="1:9" x14ac:dyDescent="0.3">
      <c r="A848">
        <v>847</v>
      </c>
      <c r="B848" t="s">
        <v>3325</v>
      </c>
      <c r="C848" t="s">
        <v>3326</v>
      </c>
      <c r="D848" t="s">
        <v>11</v>
      </c>
      <c r="E848" t="s">
        <v>3327</v>
      </c>
      <c r="F848" t="s">
        <v>3328</v>
      </c>
      <c r="G848" t="s">
        <v>58</v>
      </c>
      <c r="H848" t="s">
        <v>15</v>
      </c>
      <c r="I848">
        <v>11050</v>
      </c>
    </row>
    <row r="849" spans="1:9" x14ac:dyDescent="0.3">
      <c r="A849">
        <v>848</v>
      </c>
      <c r="B849" t="s">
        <v>3329</v>
      </c>
      <c r="C849" t="s">
        <v>3281</v>
      </c>
      <c r="D849" t="s">
        <v>11</v>
      </c>
      <c r="E849" t="s">
        <v>3330</v>
      </c>
      <c r="F849" t="s">
        <v>3331</v>
      </c>
      <c r="G849" t="s">
        <v>524</v>
      </c>
      <c r="H849" t="s">
        <v>15</v>
      </c>
      <c r="I849">
        <v>11373</v>
      </c>
    </row>
    <row r="850" spans="1:9" x14ac:dyDescent="0.3">
      <c r="A850">
        <v>849</v>
      </c>
      <c r="B850" t="s">
        <v>3332</v>
      </c>
      <c r="C850" t="s">
        <v>598</v>
      </c>
      <c r="D850" t="s">
        <v>11</v>
      </c>
      <c r="E850" t="s">
        <v>3333</v>
      </c>
      <c r="F850" t="s">
        <v>3334</v>
      </c>
      <c r="G850" t="s">
        <v>510</v>
      </c>
      <c r="H850" t="s">
        <v>15</v>
      </c>
      <c r="I850">
        <v>11791</v>
      </c>
    </row>
    <row r="851" spans="1:9" x14ac:dyDescent="0.3">
      <c r="A851">
        <v>850</v>
      </c>
      <c r="B851" t="s">
        <v>3335</v>
      </c>
      <c r="C851" t="s">
        <v>202</v>
      </c>
      <c r="D851" t="s">
        <v>11</v>
      </c>
      <c r="E851" t="s">
        <v>3336</v>
      </c>
      <c r="F851" t="s">
        <v>3337</v>
      </c>
      <c r="G851" t="s">
        <v>348</v>
      </c>
      <c r="H851" t="s">
        <v>80</v>
      </c>
      <c r="I851">
        <v>75088</v>
      </c>
    </row>
    <row r="852" spans="1:9" x14ac:dyDescent="0.3">
      <c r="A852">
        <v>851</v>
      </c>
      <c r="B852" t="s">
        <v>3338</v>
      </c>
      <c r="C852" t="s">
        <v>1307</v>
      </c>
      <c r="D852" t="s">
        <v>11</v>
      </c>
      <c r="E852" t="s">
        <v>3339</v>
      </c>
      <c r="F852" t="s">
        <v>3340</v>
      </c>
      <c r="G852" t="s">
        <v>2492</v>
      </c>
      <c r="H852" t="s">
        <v>15</v>
      </c>
      <c r="I852">
        <v>11040</v>
      </c>
    </row>
    <row r="853" spans="1:9" x14ac:dyDescent="0.3">
      <c r="A853">
        <v>852</v>
      </c>
      <c r="B853" t="s">
        <v>3341</v>
      </c>
      <c r="C853" t="s">
        <v>2075</v>
      </c>
      <c r="D853" t="s">
        <v>11</v>
      </c>
      <c r="E853" t="s">
        <v>3342</v>
      </c>
      <c r="F853" t="s">
        <v>3343</v>
      </c>
      <c r="G853" t="s">
        <v>2003</v>
      </c>
      <c r="H853" t="s">
        <v>15</v>
      </c>
      <c r="I853">
        <v>11520</v>
      </c>
    </row>
    <row r="854" spans="1:9" x14ac:dyDescent="0.3">
      <c r="A854">
        <v>853</v>
      </c>
      <c r="B854" t="s">
        <v>182</v>
      </c>
      <c r="C854" t="s">
        <v>1599</v>
      </c>
      <c r="D854" t="s">
        <v>11</v>
      </c>
      <c r="E854" t="s">
        <v>3344</v>
      </c>
      <c r="F854" t="s">
        <v>3345</v>
      </c>
      <c r="G854" t="s">
        <v>1227</v>
      </c>
      <c r="H854" t="s">
        <v>15</v>
      </c>
      <c r="I854">
        <v>12401</v>
      </c>
    </row>
    <row r="855" spans="1:9" x14ac:dyDescent="0.3">
      <c r="A855">
        <v>854</v>
      </c>
      <c r="B855" t="s">
        <v>3346</v>
      </c>
      <c r="C855" t="s">
        <v>3347</v>
      </c>
      <c r="D855" t="s">
        <v>3348</v>
      </c>
      <c r="E855" t="s">
        <v>3349</v>
      </c>
      <c r="F855" t="s">
        <v>3350</v>
      </c>
      <c r="G855" t="s">
        <v>96</v>
      </c>
      <c r="H855" t="s">
        <v>15</v>
      </c>
      <c r="I855">
        <v>10002</v>
      </c>
    </row>
    <row r="856" spans="1:9" x14ac:dyDescent="0.3">
      <c r="A856">
        <v>855</v>
      </c>
      <c r="B856" t="s">
        <v>3351</v>
      </c>
      <c r="C856" t="s">
        <v>3352</v>
      </c>
      <c r="D856" t="s">
        <v>11</v>
      </c>
      <c r="E856" t="s">
        <v>3353</v>
      </c>
      <c r="F856" t="s">
        <v>3354</v>
      </c>
      <c r="G856" t="s">
        <v>444</v>
      </c>
      <c r="H856" t="s">
        <v>21</v>
      </c>
      <c r="I856">
        <v>91784</v>
      </c>
    </row>
    <row r="857" spans="1:9" x14ac:dyDescent="0.3">
      <c r="A857">
        <v>856</v>
      </c>
      <c r="B857" t="s">
        <v>3355</v>
      </c>
      <c r="C857" t="s">
        <v>3356</v>
      </c>
      <c r="D857" t="s">
        <v>11</v>
      </c>
      <c r="E857" t="s">
        <v>3357</v>
      </c>
      <c r="F857" t="s">
        <v>3358</v>
      </c>
      <c r="G857" t="s">
        <v>1253</v>
      </c>
      <c r="H857" t="s">
        <v>15</v>
      </c>
      <c r="I857">
        <v>11779</v>
      </c>
    </row>
    <row r="858" spans="1:9" x14ac:dyDescent="0.3">
      <c r="A858">
        <v>857</v>
      </c>
      <c r="B858" t="s">
        <v>3359</v>
      </c>
      <c r="C858" t="s">
        <v>3360</v>
      </c>
      <c r="D858" t="s">
        <v>11</v>
      </c>
      <c r="E858" t="s">
        <v>3361</v>
      </c>
      <c r="F858" t="s">
        <v>3362</v>
      </c>
      <c r="G858" t="s">
        <v>929</v>
      </c>
      <c r="H858" t="s">
        <v>15</v>
      </c>
      <c r="I858">
        <v>12553</v>
      </c>
    </row>
    <row r="859" spans="1:9" x14ac:dyDescent="0.3">
      <c r="A859">
        <v>858</v>
      </c>
      <c r="B859" t="s">
        <v>861</v>
      </c>
      <c r="C859" t="s">
        <v>1327</v>
      </c>
      <c r="D859" t="s">
        <v>11</v>
      </c>
      <c r="E859" t="s">
        <v>3363</v>
      </c>
      <c r="F859" t="s">
        <v>3364</v>
      </c>
      <c r="G859" t="s">
        <v>333</v>
      </c>
      <c r="H859" t="s">
        <v>15</v>
      </c>
      <c r="I859">
        <v>13440</v>
      </c>
    </row>
    <row r="860" spans="1:9" x14ac:dyDescent="0.3">
      <c r="A860">
        <v>859</v>
      </c>
      <c r="B860" t="s">
        <v>3365</v>
      </c>
      <c r="C860" t="s">
        <v>3366</v>
      </c>
      <c r="D860" t="s">
        <v>11</v>
      </c>
      <c r="E860" t="s">
        <v>3367</v>
      </c>
      <c r="F860" t="s">
        <v>3368</v>
      </c>
      <c r="G860" t="s">
        <v>115</v>
      </c>
      <c r="H860" t="s">
        <v>80</v>
      </c>
      <c r="I860">
        <v>77478</v>
      </c>
    </row>
    <row r="861" spans="1:9" x14ac:dyDescent="0.3">
      <c r="A861">
        <v>860</v>
      </c>
      <c r="B861" t="s">
        <v>1619</v>
      </c>
      <c r="C861" t="s">
        <v>3369</v>
      </c>
      <c r="D861" t="s">
        <v>11</v>
      </c>
      <c r="E861" t="s">
        <v>3370</v>
      </c>
      <c r="F861" t="s">
        <v>3371</v>
      </c>
      <c r="G861" t="s">
        <v>800</v>
      </c>
      <c r="H861" t="s">
        <v>15</v>
      </c>
      <c r="I861">
        <v>11420</v>
      </c>
    </row>
    <row r="862" spans="1:9" x14ac:dyDescent="0.3">
      <c r="A862">
        <v>861</v>
      </c>
      <c r="B862" t="s">
        <v>3372</v>
      </c>
      <c r="C862" t="s">
        <v>3373</v>
      </c>
      <c r="D862" t="s">
        <v>11</v>
      </c>
      <c r="E862" t="s">
        <v>3374</v>
      </c>
      <c r="F862" t="s">
        <v>3375</v>
      </c>
      <c r="G862" t="s">
        <v>1245</v>
      </c>
      <c r="H862" t="s">
        <v>15</v>
      </c>
      <c r="I862">
        <v>12533</v>
      </c>
    </row>
    <row r="863" spans="1:9" x14ac:dyDescent="0.3">
      <c r="A863">
        <v>862</v>
      </c>
      <c r="B863" t="s">
        <v>3376</v>
      </c>
      <c r="C863" t="s">
        <v>1295</v>
      </c>
      <c r="D863" t="s">
        <v>11</v>
      </c>
      <c r="E863" t="s">
        <v>3377</v>
      </c>
      <c r="F863" t="s">
        <v>3378</v>
      </c>
      <c r="G863" t="s">
        <v>2529</v>
      </c>
      <c r="H863" t="s">
        <v>15</v>
      </c>
      <c r="I863">
        <v>11365</v>
      </c>
    </row>
    <row r="864" spans="1:9" x14ac:dyDescent="0.3">
      <c r="A864">
        <v>863</v>
      </c>
      <c r="B864" t="s">
        <v>659</v>
      </c>
      <c r="C864" t="s">
        <v>737</v>
      </c>
      <c r="D864" t="s">
        <v>11</v>
      </c>
      <c r="E864" t="s">
        <v>3379</v>
      </c>
      <c r="F864" t="s">
        <v>3380</v>
      </c>
      <c r="G864" t="s">
        <v>282</v>
      </c>
      <c r="H864" t="s">
        <v>15</v>
      </c>
      <c r="I864">
        <v>13501</v>
      </c>
    </row>
    <row r="865" spans="1:9" x14ac:dyDescent="0.3">
      <c r="A865">
        <v>864</v>
      </c>
      <c r="B865" t="s">
        <v>3381</v>
      </c>
      <c r="C865" t="s">
        <v>70</v>
      </c>
      <c r="D865" t="s">
        <v>3382</v>
      </c>
      <c r="E865" t="s">
        <v>3383</v>
      </c>
      <c r="F865" t="s">
        <v>3384</v>
      </c>
      <c r="G865" t="s">
        <v>48</v>
      </c>
      <c r="H865" t="s">
        <v>15</v>
      </c>
      <c r="I865">
        <v>14215</v>
      </c>
    </row>
    <row r="866" spans="1:9" x14ac:dyDescent="0.3">
      <c r="A866">
        <v>865</v>
      </c>
      <c r="B866" t="s">
        <v>3385</v>
      </c>
      <c r="C866" t="s">
        <v>408</v>
      </c>
      <c r="D866" t="s">
        <v>11</v>
      </c>
      <c r="E866" t="s">
        <v>3386</v>
      </c>
      <c r="F866" t="s">
        <v>3387</v>
      </c>
      <c r="G866" t="s">
        <v>205</v>
      </c>
      <c r="H866" t="s">
        <v>15</v>
      </c>
      <c r="I866">
        <v>11102</v>
      </c>
    </row>
    <row r="867" spans="1:9" x14ac:dyDescent="0.3">
      <c r="A867">
        <v>866</v>
      </c>
      <c r="B867" t="s">
        <v>3388</v>
      </c>
      <c r="C867" t="s">
        <v>253</v>
      </c>
      <c r="D867" t="s">
        <v>11</v>
      </c>
      <c r="E867" t="s">
        <v>3389</v>
      </c>
      <c r="F867" t="s">
        <v>3390</v>
      </c>
      <c r="G867" t="s">
        <v>79</v>
      </c>
      <c r="H867" t="s">
        <v>80</v>
      </c>
      <c r="I867">
        <v>75604</v>
      </c>
    </row>
    <row r="868" spans="1:9" x14ac:dyDescent="0.3">
      <c r="A868">
        <v>867</v>
      </c>
      <c r="B868" t="s">
        <v>3391</v>
      </c>
      <c r="C868" t="s">
        <v>1123</v>
      </c>
      <c r="D868" t="s">
        <v>11</v>
      </c>
      <c r="E868" t="s">
        <v>3392</v>
      </c>
      <c r="F868" t="s">
        <v>3393</v>
      </c>
      <c r="G868" t="s">
        <v>20</v>
      </c>
      <c r="H868" t="s">
        <v>21</v>
      </c>
      <c r="I868">
        <v>95008</v>
      </c>
    </row>
    <row r="869" spans="1:9" x14ac:dyDescent="0.3">
      <c r="A869">
        <v>868</v>
      </c>
      <c r="B869" t="s">
        <v>3394</v>
      </c>
      <c r="C869" t="s">
        <v>359</v>
      </c>
      <c r="D869" t="s">
        <v>3395</v>
      </c>
      <c r="E869" t="s">
        <v>3396</v>
      </c>
      <c r="F869" t="s">
        <v>3397</v>
      </c>
      <c r="G869" t="s">
        <v>539</v>
      </c>
      <c r="H869" t="s">
        <v>21</v>
      </c>
      <c r="I869">
        <v>95127</v>
      </c>
    </row>
    <row r="870" spans="1:9" x14ac:dyDescent="0.3">
      <c r="A870">
        <v>869</v>
      </c>
      <c r="B870" t="s">
        <v>3398</v>
      </c>
      <c r="C870" t="s">
        <v>3399</v>
      </c>
      <c r="D870" t="s">
        <v>11</v>
      </c>
      <c r="E870" t="s">
        <v>3400</v>
      </c>
      <c r="F870" t="s">
        <v>3401</v>
      </c>
      <c r="G870" t="s">
        <v>226</v>
      </c>
      <c r="H870" t="s">
        <v>15</v>
      </c>
      <c r="I870">
        <v>11418</v>
      </c>
    </row>
    <row r="871" spans="1:9" x14ac:dyDescent="0.3">
      <c r="A871">
        <v>870</v>
      </c>
      <c r="B871" t="s">
        <v>3402</v>
      </c>
      <c r="C871" t="s">
        <v>3403</v>
      </c>
      <c r="D871" t="s">
        <v>11</v>
      </c>
      <c r="E871" t="s">
        <v>3404</v>
      </c>
      <c r="F871" t="s">
        <v>3405</v>
      </c>
      <c r="G871" t="s">
        <v>709</v>
      </c>
      <c r="H871" t="s">
        <v>15</v>
      </c>
      <c r="I871">
        <v>11787</v>
      </c>
    </row>
    <row r="872" spans="1:9" x14ac:dyDescent="0.3">
      <c r="A872">
        <v>871</v>
      </c>
      <c r="B872" t="s">
        <v>616</v>
      </c>
      <c r="C872" t="s">
        <v>3406</v>
      </c>
      <c r="D872" t="s">
        <v>11</v>
      </c>
      <c r="E872" t="s">
        <v>3407</v>
      </c>
      <c r="F872" t="s">
        <v>3408</v>
      </c>
      <c r="G872" t="s">
        <v>929</v>
      </c>
      <c r="H872" t="s">
        <v>15</v>
      </c>
      <c r="I872">
        <v>12553</v>
      </c>
    </row>
    <row r="873" spans="1:9" x14ac:dyDescent="0.3">
      <c r="A873">
        <v>872</v>
      </c>
      <c r="B873" t="s">
        <v>3409</v>
      </c>
      <c r="C873" t="s">
        <v>675</v>
      </c>
      <c r="D873" t="s">
        <v>3410</v>
      </c>
      <c r="E873" t="s">
        <v>3411</v>
      </c>
      <c r="F873" t="s">
        <v>3412</v>
      </c>
      <c r="G873" t="s">
        <v>602</v>
      </c>
      <c r="H873" t="s">
        <v>80</v>
      </c>
      <c r="I873">
        <v>78418</v>
      </c>
    </row>
    <row r="874" spans="1:9" x14ac:dyDescent="0.3">
      <c r="A874">
        <v>873</v>
      </c>
      <c r="B874" t="s">
        <v>3413</v>
      </c>
      <c r="C874" t="s">
        <v>3414</v>
      </c>
      <c r="D874" t="s">
        <v>11</v>
      </c>
      <c r="E874" t="s">
        <v>3415</v>
      </c>
      <c r="F874" t="s">
        <v>3416</v>
      </c>
      <c r="G874" t="s">
        <v>1129</v>
      </c>
      <c r="H874" t="s">
        <v>15</v>
      </c>
      <c r="I874">
        <v>14304</v>
      </c>
    </row>
    <row r="875" spans="1:9" x14ac:dyDescent="0.3">
      <c r="A875">
        <v>874</v>
      </c>
      <c r="B875" t="s">
        <v>3417</v>
      </c>
      <c r="C875" t="s">
        <v>3418</v>
      </c>
      <c r="D875" t="s">
        <v>11</v>
      </c>
      <c r="E875" t="s">
        <v>3419</v>
      </c>
      <c r="F875" t="s">
        <v>3420</v>
      </c>
      <c r="G875" t="s">
        <v>90</v>
      </c>
      <c r="H875" t="s">
        <v>15</v>
      </c>
      <c r="I875">
        <v>12901</v>
      </c>
    </row>
    <row r="876" spans="1:9" x14ac:dyDescent="0.3">
      <c r="A876">
        <v>875</v>
      </c>
      <c r="B876" t="s">
        <v>633</v>
      </c>
      <c r="C876" t="s">
        <v>462</v>
      </c>
      <c r="D876" t="s">
        <v>11</v>
      </c>
      <c r="E876" t="s">
        <v>3421</v>
      </c>
      <c r="F876" t="s">
        <v>3422</v>
      </c>
      <c r="G876" t="s">
        <v>1622</v>
      </c>
      <c r="H876" t="s">
        <v>15</v>
      </c>
      <c r="I876">
        <v>11422</v>
      </c>
    </row>
    <row r="877" spans="1:9" x14ac:dyDescent="0.3">
      <c r="A877">
        <v>876</v>
      </c>
      <c r="B877" t="s">
        <v>233</v>
      </c>
      <c r="C877" t="s">
        <v>3423</v>
      </c>
      <c r="D877" t="s">
        <v>11</v>
      </c>
      <c r="E877" t="s">
        <v>3424</v>
      </c>
      <c r="F877" t="s">
        <v>3425</v>
      </c>
      <c r="G877" t="s">
        <v>2188</v>
      </c>
      <c r="H877" t="s">
        <v>15</v>
      </c>
      <c r="I877">
        <v>11542</v>
      </c>
    </row>
    <row r="878" spans="1:9" x14ac:dyDescent="0.3">
      <c r="A878">
        <v>877</v>
      </c>
      <c r="B878" t="s">
        <v>3426</v>
      </c>
      <c r="C878" t="s">
        <v>2969</v>
      </c>
      <c r="D878" t="s">
        <v>11</v>
      </c>
      <c r="E878" t="s">
        <v>3427</v>
      </c>
      <c r="F878" t="s">
        <v>3428</v>
      </c>
      <c r="G878" t="s">
        <v>596</v>
      </c>
      <c r="H878" t="s">
        <v>15</v>
      </c>
      <c r="I878">
        <v>11414</v>
      </c>
    </row>
    <row r="879" spans="1:9" x14ac:dyDescent="0.3">
      <c r="A879">
        <v>878</v>
      </c>
      <c r="B879" t="s">
        <v>3429</v>
      </c>
      <c r="C879" t="s">
        <v>340</v>
      </c>
      <c r="D879" t="s">
        <v>11</v>
      </c>
      <c r="E879" t="s">
        <v>3430</v>
      </c>
      <c r="F879" t="s">
        <v>3431</v>
      </c>
      <c r="G879" t="s">
        <v>709</v>
      </c>
      <c r="H879" t="s">
        <v>15</v>
      </c>
      <c r="I879">
        <v>11787</v>
      </c>
    </row>
    <row r="880" spans="1:9" x14ac:dyDescent="0.3">
      <c r="A880">
        <v>879</v>
      </c>
      <c r="B880" t="s">
        <v>3432</v>
      </c>
      <c r="C880" t="s">
        <v>3433</v>
      </c>
      <c r="D880" t="s">
        <v>11</v>
      </c>
      <c r="E880" t="s">
        <v>3434</v>
      </c>
      <c r="F880" t="s">
        <v>3435</v>
      </c>
      <c r="G880" t="s">
        <v>1202</v>
      </c>
      <c r="H880" t="s">
        <v>15</v>
      </c>
      <c r="I880">
        <v>11530</v>
      </c>
    </row>
    <row r="881" spans="1:9" x14ac:dyDescent="0.3">
      <c r="A881">
        <v>880</v>
      </c>
      <c r="B881" t="s">
        <v>3436</v>
      </c>
      <c r="C881" t="s">
        <v>2419</v>
      </c>
      <c r="D881" t="s">
        <v>11</v>
      </c>
      <c r="E881" t="s">
        <v>3437</v>
      </c>
      <c r="F881" t="s">
        <v>3438</v>
      </c>
      <c r="G881" t="s">
        <v>151</v>
      </c>
      <c r="H881" t="s">
        <v>15</v>
      </c>
      <c r="I881">
        <v>11104</v>
      </c>
    </row>
    <row r="882" spans="1:9" x14ac:dyDescent="0.3">
      <c r="A882">
        <v>881</v>
      </c>
      <c r="B882" t="s">
        <v>3439</v>
      </c>
      <c r="C882" t="s">
        <v>3440</v>
      </c>
      <c r="D882" t="s">
        <v>11</v>
      </c>
      <c r="E882" t="s">
        <v>3441</v>
      </c>
      <c r="F882" t="s">
        <v>3442</v>
      </c>
      <c r="G882" t="s">
        <v>2221</v>
      </c>
      <c r="H882" t="s">
        <v>21</v>
      </c>
      <c r="I882">
        <v>90403</v>
      </c>
    </row>
    <row r="883" spans="1:9" x14ac:dyDescent="0.3">
      <c r="A883">
        <v>882</v>
      </c>
      <c r="B883" t="s">
        <v>3443</v>
      </c>
      <c r="C883" t="s">
        <v>2842</v>
      </c>
      <c r="D883" t="s">
        <v>11</v>
      </c>
      <c r="E883" t="s">
        <v>3444</v>
      </c>
      <c r="F883" t="s">
        <v>3445</v>
      </c>
      <c r="G883" t="s">
        <v>938</v>
      </c>
      <c r="H883" t="s">
        <v>15</v>
      </c>
      <c r="I883">
        <v>12020</v>
      </c>
    </row>
    <row r="884" spans="1:9" x14ac:dyDescent="0.3">
      <c r="A884">
        <v>883</v>
      </c>
      <c r="B884" t="s">
        <v>3446</v>
      </c>
      <c r="C884" t="s">
        <v>3447</v>
      </c>
      <c r="D884" t="s">
        <v>3448</v>
      </c>
      <c r="E884" t="s">
        <v>3449</v>
      </c>
      <c r="F884" t="s">
        <v>3450</v>
      </c>
      <c r="G884" t="s">
        <v>1145</v>
      </c>
      <c r="H884" t="s">
        <v>80</v>
      </c>
      <c r="I884">
        <v>79930</v>
      </c>
    </row>
    <row r="885" spans="1:9" x14ac:dyDescent="0.3">
      <c r="A885">
        <v>884</v>
      </c>
      <c r="B885" t="s">
        <v>3451</v>
      </c>
      <c r="C885" t="s">
        <v>103</v>
      </c>
      <c r="D885" t="s">
        <v>11</v>
      </c>
      <c r="E885" t="s">
        <v>3452</v>
      </c>
      <c r="F885" t="s">
        <v>3453</v>
      </c>
      <c r="G885" t="s">
        <v>430</v>
      </c>
      <c r="H885" t="s">
        <v>15</v>
      </c>
      <c r="I885">
        <v>13126</v>
      </c>
    </row>
    <row r="886" spans="1:9" x14ac:dyDescent="0.3">
      <c r="A886">
        <v>885</v>
      </c>
      <c r="B886" t="s">
        <v>3454</v>
      </c>
      <c r="C886" t="s">
        <v>1352</v>
      </c>
      <c r="D886" t="s">
        <v>11</v>
      </c>
      <c r="E886" t="s">
        <v>3455</v>
      </c>
      <c r="F886" t="s">
        <v>3456</v>
      </c>
      <c r="G886" t="s">
        <v>79</v>
      </c>
      <c r="H886" t="s">
        <v>80</v>
      </c>
      <c r="I886">
        <v>75604</v>
      </c>
    </row>
    <row r="887" spans="1:9" x14ac:dyDescent="0.3">
      <c r="A887">
        <v>886</v>
      </c>
      <c r="B887" t="s">
        <v>3457</v>
      </c>
      <c r="C887" t="s">
        <v>3010</v>
      </c>
      <c r="D887" t="s">
        <v>11</v>
      </c>
      <c r="E887" t="s">
        <v>3458</v>
      </c>
      <c r="F887" t="s">
        <v>3459</v>
      </c>
      <c r="G887" t="s">
        <v>375</v>
      </c>
      <c r="H887" t="s">
        <v>15</v>
      </c>
      <c r="I887">
        <v>14120</v>
      </c>
    </row>
    <row r="888" spans="1:9" x14ac:dyDescent="0.3">
      <c r="A888">
        <v>887</v>
      </c>
      <c r="B888" t="s">
        <v>3015</v>
      </c>
      <c r="C888" t="s">
        <v>3460</v>
      </c>
      <c r="D888" t="s">
        <v>11</v>
      </c>
      <c r="E888" t="s">
        <v>3461</v>
      </c>
      <c r="F888" t="s">
        <v>3462</v>
      </c>
      <c r="G888" t="s">
        <v>510</v>
      </c>
      <c r="H888" t="s">
        <v>15</v>
      </c>
      <c r="I888">
        <v>11791</v>
      </c>
    </row>
    <row r="889" spans="1:9" x14ac:dyDescent="0.3">
      <c r="A889">
        <v>888</v>
      </c>
      <c r="B889" t="s">
        <v>3463</v>
      </c>
      <c r="C889" t="s">
        <v>3464</v>
      </c>
      <c r="D889" t="s">
        <v>11</v>
      </c>
      <c r="E889" t="s">
        <v>3465</v>
      </c>
      <c r="F889" t="s">
        <v>3466</v>
      </c>
      <c r="G889" t="s">
        <v>864</v>
      </c>
      <c r="H889" t="s">
        <v>15</v>
      </c>
      <c r="I889">
        <v>14580</v>
      </c>
    </row>
    <row r="890" spans="1:9" x14ac:dyDescent="0.3">
      <c r="A890">
        <v>889</v>
      </c>
      <c r="B890" t="s">
        <v>3467</v>
      </c>
      <c r="C890" t="s">
        <v>3468</v>
      </c>
      <c r="D890" t="s">
        <v>11</v>
      </c>
      <c r="E890" t="s">
        <v>3469</v>
      </c>
      <c r="F890" t="s">
        <v>3470</v>
      </c>
      <c r="G890" t="s">
        <v>309</v>
      </c>
      <c r="H890" t="s">
        <v>21</v>
      </c>
      <c r="I890">
        <v>94070</v>
      </c>
    </row>
    <row r="891" spans="1:9" x14ac:dyDescent="0.3">
      <c r="A891">
        <v>890</v>
      </c>
      <c r="B891" t="s">
        <v>3471</v>
      </c>
      <c r="C891" t="s">
        <v>3259</v>
      </c>
      <c r="D891" t="s">
        <v>11</v>
      </c>
      <c r="E891" t="s">
        <v>3472</v>
      </c>
      <c r="F891" t="s">
        <v>3473</v>
      </c>
      <c r="G891" t="s">
        <v>156</v>
      </c>
      <c r="H891" t="s">
        <v>15</v>
      </c>
      <c r="I891">
        <v>10562</v>
      </c>
    </row>
    <row r="892" spans="1:9" x14ac:dyDescent="0.3">
      <c r="A892">
        <v>891</v>
      </c>
      <c r="B892" t="s">
        <v>3474</v>
      </c>
      <c r="C892" t="s">
        <v>3475</v>
      </c>
      <c r="D892" t="s">
        <v>11</v>
      </c>
      <c r="E892" t="s">
        <v>3476</v>
      </c>
      <c r="F892" t="s">
        <v>3477</v>
      </c>
      <c r="G892" t="s">
        <v>68</v>
      </c>
      <c r="H892" t="s">
        <v>15</v>
      </c>
      <c r="I892">
        <v>10952</v>
      </c>
    </row>
    <row r="893" spans="1:9" x14ac:dyDescent="0.3">
      <c r="A893">
        <v>892</v>
      </c>
      <c r="B893" t="s">
        <v>2694</v>
      </c>
      <c r="C893" t="s">
        <v>2774</v>
      </c>
      <c r="D893" t="s">
        <v>11</v>
      </c>
      <c r="E893" t="s">
        <v>3478</v>
      </c>
      <c r="F893" t="s">
        <v>3479</v>
      </c>
      <c r="G893" t="s">
        <v>156</v>
      </c>
      <c r="H893" t="s">
        <v>15</v>
      </c>
      <c r="I893">
        <v>10562</v>
      </c>
    </row>
    <row r="894" spans="1:9" x14ac:dyDescent="0.3">
      <c r="A894">
        <v>893</v>
      </c>
      <c r="B894" t="s">
        <v>3480</v>
      </c>
      <c r="C894" t="s">
        <v>2571</v>
      </c>
      <c r="D894" t="s">
        <v>11</v>
      </c>
      <c r="E894" t="s">
        <v>3481</v>
      </c>
      <c r="F894" t="s">
        <v>3482</v>
      </c>
      <c r="G894" t="s">
        <v>1731</v>
      </c>
      <c r="H894" t="s">
        <v>15</v>
      </c>
      <c r="I894">
        <v>14043</v>
      </c>
    </row>
    <row r="895" spans="1:9" x14ac:dyDescent="0.3">
      <c r="A895">
        <v>894</v>
      </c>
      <c r="B895" t="s">
        <v>3483</v>
      </c>
      <c r="C895" t="s">
        <v>3484</v>
      </c>
      <c r="D895" t="s">
        <v>11</v>
      </c>
      <c r="E895" t="s">
        <v>3485</v>
      </c>
      <c r="F895" t="s">
        <v>3486</v>
      </c>
      <c r="G895" t="s">
        <v>929</v>
      </c>
      <c r="H895" t="s">
        <v>15</v>
      </c>
      <c r="I895">
        <v>12553</v>
      </c>
    </row>
    <row r="896" spans="1:9" x14ac:dyDescent="0.3">
      <c r="A896">
        <v>895</v>
      </c>
      <c r="B896" t="s">
        <v>3487</v>
      </c>
      <c r="C896" t="s">
        <v>2310</v>
      </c>
      <c r="D896" t="s">
        <v>11</v>
      </c>
      <c r="E896" t="s">
        <v>3488</v>
      </c>
      <c r="F896" t="s">
        <v>3489</v>
      </c>
      <c r="G896" t="s">
        <v>731</v>
      </c>
      <c r="H896" t="s">
        <v>15</v>
      </c>
      <c r="I896">
        <v>11803</v>
      </c>
    </row>
    <row r="897" spans="1:9" x14ac:dyDescent="0.3">
      <c r="A897">
        <v>896</v>
      </c>
      <c r="B897" t="s">
        <v>3490</v>
      </c>
      <c r="C897" t="s">
        <v>377</v>
      </c>
      <c r="D897" t="s">
        <v>3491</v>
      </c>
      <c r="E897" t="s">
        <v>3492</v>
      </c>
      <c r="F897" t="s">
        <v>3493</v>
      </c>
      <c r="G897" t="s">
        <v>2216</v>
      </c>
      <c r="H897" t="s">
        <v>15</v>
      </c>
      <c r="I897">
        <v>10956</v>
      </c>
    </row>
    <row r="898" spans="1:9" x14ac:dyDescent="0.3">
      <c r="A898">
        <v>897</v>
      </c>
      <c r="B898" t="s">
        <v>3494</v>
      </c>
      <c r="C898" t="s">
        <v>2530</v>
      </c>
      <c r="D898" t="s">
        <v>3495</v>
      </c>
      <c r="E898" t="s">
        <v>3496</v>
      </c>
      <c r="F898" t="s">
        <v>3497</v>
      </c>
      <c r="G898" t="s">
        <v>211</v>
      </c>
      <c r="H898" t="s">
        <v>15</v>
      </c>
      <c r="I898">
        <v>14086</v>
      </c>
    </row>
    <row r="899" spans="1:9" x14ac:dyDescent="0.3">
      <c r="A899">
        <v>898</v>
      </c>
      <c r="B899" t="s">
        <v>3498</v>
      </c>
      <c r="C899" t="s">
        <v>3499</v>
      </c>
      <c r="D899" t="s">
        <v>3500</v>
      </c>
      <c r="E899" t="s">
        <v>3501</v>
      </c>
      <c r="F899" t="s">
        <v>3502</v>
      </c>
      <c r="G899" t="s">
        <v>232</v>
      </c>
      <c r="H899" t="s">
        <v>80</v>
      </c>
      <c r="I899">
        <v>77016</v>
      </c>
    </row>
    <row r="900" spans="1:9" x14ac:dyDescent="0.3">
      <c r="A900">
        <v>899</v>
      </c>
      <c r="B900" t="s">
        <v>3503</v>
      </c>
      <c r="C900" t="s">
        <v>3504</v>
      </c>
      <c r="D900" t="s">
        <v>11</v>
      </c>
      <c r="E900" t="s">
        <v>3505</v>
      </c>
      <c r="F900" t="s">
        <v>3506</v>
      </c>
      <c r="G900" t="s">
        <v>120</v>
      </c>
      <c r="H900" t="s">
        <v>80</v>
      </c>
      <c r="I900">
        <v>77904</v>
      </c>
    </row>
    <row r="901" spans="1:9" x14ac:dyDescent="0.3">
      <c r="A901">
        <v>900</v>
      </c>
      <c r="B901" t="s">
        <v>3507</v>
      </c>
      <c r="C901" t="s">
        <v>670</v>
      </c>
      <c r="D901" t="s">
        <v>11</v>
      </c>
      <c r="E901" t="s">
        <v>3508</v>
      </c>
      <c r="F901" t="s">
        <v>3509</v>
      </c>
      <c r="G901" t="s">
        <v>309</v>
      </c>
      <c r="H901" t="s">
        <v>21</v>
      </c>
      <c r="I901">
        <v>94070</v>
      </c>
    </row>
    <row r="902" spans="1:9" x14ac:dyDescent="0.3">
      <c r="A902">
        <v>901</v>
      </c>
      <c r="B902" t="s">
        <v>3510</v>
      </c>
      <c r="C902" t="s">
        <v>3511</v>
      </c>
      <c r="D902" t="s">
        <v>11</v>
      </c>
      <c r="E902" t="s">
        <v>3512</v>
      </c>
      <c r="F902" t="s">
        <v>3513</v>
      </c>
      <c r="G902" t="s">
        <v>2267</v>
      </c>
      <c r="H902" t="s">
        <v>21</v>
      </c>
      <c r="I902">
        <v>91762</v>
      </c>
    </row>
    <row r="903" spans="1:9" x14ac:dyDescent="0.3">
      <c r="A903">
        <v>902</v>
      </c>
      <c r="B903" t="s">
        <v>3514</v>
      </c>
      <c r="C903" t="s">
        <v>612</v>
      </c>
      <c r="D903" t="s">
        <v>11</v>
      </c>
      <c r="E903" t="s">
        <v>3515</v>
      </c>
      <c r="F903" t="s">
        <v>3516</v>
      </c>
      <c r="G903" t="s">
        <v>430</v>
      </c>
      <c r="H903" t="s">
        <v>15</v>
      </c>
      <c r="I903">
        <v>13126</v>
      </c>
    </row>
    <row r="904" spans="1:9" x14ac:dyDescent="0.3">
      <c r="A904">
        <v>903</v>
      </c>
      <c r="B904" t="s">
        <v>3517</v>
      </c>
      <c r="C904" t="s">
        <v>1263</v>
      </c>
      <c r="D904" t="s">
        <v>11</v>
      </c>
      <c r="E904" t="s">
        <v>3518</v>
      </c>
      <c r="F904" t="s">
        <v>3519</v>
      </c>
      <c r="G904" t="s">
        <v>903</v>
      </c>
      <c r="H904" t="s">
        <v>15</v>
      </c>
      <c r="I904">
        <v>11801</v>
      </c>
    </row>
    <row r="905" spans="1:9" x14ac:dyDescent="0.3">
      <c r="A905">
        <v>904</v>
      </c>
      <c r="B905" t="s">
        <v>3520</v>
      </c>
      <c r="C905" t="s">
        <v>2763</v>
      </c>
      <c r="D905" t="s">
        <v>3521</v>
      </c>
      <c r="E905" t="s">
        <v>3522</v>
      </c>
      <c r="F905" t="s">
        <v>3523</v>
      </c>
      <c r="G905" t="s">
        <v>539</v>
      </c>
      <c r="H905" t="s">
        <v>21</v>
      </c>
      <c r="I905">
        <v>95127</v>
      </c>
    </row>
    <row r="906" spans="1:9" x14ac:dyDescent="0.3">
      <c r="A906">
        <v>905</v>
      </c>
      <c r="B906" t="s">
        <v>3524</v>
      </c>
      <c r="C906" t="s">
        <v>269</v>
      </c>
      <c r="D906" t="s">
        <v>11</v>
      </c>
      <c r="E906" t="s">
        <v>3525</v>
      </c>
      <c r="F906" t="s">
        <v>3526</v>
      </c>
      <c r="G906" t="s">
        <v>190</v>
      </c>
      <c r="H906" t="s">
        <v>15</v>
      </c>
      <c r="I906">
        <v>13027</v>
      </c>
    </row>
    <row r="907" spans="1:9" x14ac:dyDescent="0.3">
      <c r="A907">
        <v>906</v>
      </c>
      <c r="B907" t="s">
        <v>3527</v>
      </c>
      <c r="C907" t="s">
        <v>3528</v>
      </c>
      <c r="D907" t="s">
        <v>11</v>
      </c>
      <c r="E907" t="s">
        <v>3529</v>
      </c>
      <c r="F907" t="s">
        <v>3530</v>
      </c>
      <c r="G907" t="s">
        <v>115</v>
      </c>
      <c r="H907" t="s">
        <v>80</v>
      </c>
      <c r="I907">
        <v>77478</v>
      </c>
    </row>
    <row r="908" spans="1:9" x14ac:dyDescent="0.3">
      <c r="A908">
        <v>907</v>
      </c>
      <c r="B908" t="s">
        <v>3531</v>
      </c>
      <c r="C908" t="s">
        <v>3532</v>
      </c>
      <c r="D908" t="s">
        <v>11</v>
      </c>
      <c r="E908" t="s">
        <v>3533</v>
      </c>
      <c r="F908" t="s">
        <v>3534</v>
      </c>
      <c r="G908" t="s">
        <v>79</v>
      </c>
      <c r="H908" t="s">
        <v>80</v>
      </c>
      <c r="I908">
        <v>75604</v>
      </c>
    </row>
    <row r="909" spans="1:9" x14ac:dyDescent="0.3">
      <c r="A909">
        <v>908</v>
      </c>
      <c r="B909" t="s">
        <v>3535</v>
      </c>
      <c r="C909" t="s">
        <v>1224</v>
      </c>
      <c r="D909" t="s">
        <v>11</v>
      </c>
      <c r="E909" t="s">
        <v>3536</v>
      </c>
      <c r="F909" t="s">
        <v>3537</v>
      </c>
      <c r="G909" t="s">
        <v>627</v>
      </c>
      <c r="H909" t="s">
        <v>15</v>
      </c>
      <c r="I909">
        <v>14094</v>
      </c>
    </row>
    <row r="910" spans="1:9" x14ac:dyDescent="0.3">
      <c r="A910">
        <v>909</v>
      </c>
      <c r="B910" t="s">
        <v>3538</v>
      </c>
      <c r="C910" t="s">
        <v>1167</v>
      </c>
      <c r="D910" t="s">
        <v>11</v>
      </c>
      <c r="E910" t="s">
        <v>3539</v>
      </c>
      <c r="F910" t="s">
        <v>3540</v>
      </c>
      <c r="G910" t="s">
        <v>31</v>
      </c>
      <c r="H910" t="s">
        <v>15</v>
      </c>
      <c r="I910">
        <v>11553</v>
      </c>
    </row>
    <row r="911" spans="1:9" x14ac:dyDescent="0.3">
      <c r="A911">
        <v>910</v>
      </c>
      <c r="B911" t="s">
        <v>988</v>
      </c>
      <c r="C911" t="s">
        <v>572</v>
      </c>
      <c r="D911" t="s">
        <v>11</v>
      </c>
      <c r="E911" t="s">
        <v>3541</v>
      </c>
      <c r="F911" t="s">
        <v>3542</v>
      </c>
      <c r="G911" t="s">
        <v>1027</v>
      </c>
      <c r="H911" t="s">
        <v>80</v>
      </c>
      <c r="I911">
        <v>78501</v>
      </c>
    </row>
    <row r="912" spans="1:9" x14ac:dyDescent="0.3">
      <c r="A912">
        <v>911</v>
      </c>
      <c r="B912" t="s">
        <v>3543</v>
      </c>
      <c r="C912" t="s">
        <v>3544</v>
      </c>
      <c r="D912" t="s">
        <v>11</v>
      </c>
      <c r="E912" t="s">
        <v>3545</v>
      </c>
      <c r="F912" t="s">
        <v>3546</v>
      </c>
      <c r="G912" t="s">
        <v>579</v>
      </c>
      <c r="H912" t="s">
        <v>15</v>
      </c>
      <c r="I912">
        <v>14534</v>
      </c>
    </row>
    <row r="913" spans="1:9" x14ac:dyDescent="0.3">
      <c r="A913">
        <v>912</v>
      </c>
      <c r="B913" t="s">
        <v>3547</v>
      </c>
      <c r="C913" t="s">
        <v>2310</v>
      </c>
      <c r="D913" t="s">
        <v>11</v>
      </c>
      <c r="E913" t="s">
        <v>3548</v>
      </c>
      <c r="F913" t="s">
        <v>3549</v>
      </c>
      <c r="G913" t="s">
        <v>1165</v>
      </c>
      <c r="H913" t="s">
        <v>15</v>
      </c>
      <c r="I913">
        <v>11762</v>
      </c>
    </row>
    <row r="914" spans="1:9" x14ac:dyDescent="0.3">
      <c r="A914">
        <v>913</v>
      </c>
      <c r="B914" t="s">
        <v>3550</v>
      </c>
      <c r="C914" t="s">
        <v>3551</v>
      </c>
      <c r="D914" t="s">
        <v>11</v>
      </c>
      <c r="E914" t="s">
        <v>3552</v>
      </c>
      <c r="F914" t="s">
        <v>3553</v>
      </c>
      <c r="G914" t="s">
        <v>328</v>
      </c>
      <c r="H914" t="s">
        <v>80</v>
      </c>
      <c r="I914">
        <v>75115</v>
      </c>
    </row>
    <row r="915" spans="1:9" x14ac:dyDescent="0.3">
      <c r="A915">
        <v>914</v>
      </c>
      <c r="B915" t="s">
        <v>1407</v>
      </c>
      <c r="C915" t="s">
        <v>3554</v>
      </c>
      <c r="D915" t="s">
        <v>11</v>
      </c>
      <c r="E915" t="s">
        <v>3555</v>
      </c>
      <c r="F915" t="s">
        <v>3556</v>
      </c>
      <c r="G915" t="s">
        <v>304</v>
      </c>
      <c r="H915" t="s">
        <v>15</v>
      </c>
      <c r="I915">
        <v>11570</v>
      </c>
    </row>
    <row r="916" spans="1:9" x14ac:dyDescent="0.3">
      <c r="A916">
        <v>915</v>
      </c>
      <c r="B916" t="s">
        <v>3557</v>
      </c>
      <c r="C916" t="s">
        <v>238</v>
      </c>
      <c r="D916" t="s">
        <v>3558</v>
      </c>
      <c r="E916" t="s">
        <v>3559</v>
      </c>
      <c r="F916" t="s">
        <v>3560</v>
      </c>
      <c r="G916" t="s">
        <v>37</v>
      </c>
      <c r="H916" t="s">
        <v>21</v>
      </c>
      <c r="I916">
        <v>95820</v>
      </c>
    </row>
    <row r="917" spans="1:9" x14ac:dyDescent="0.3">
      <c r="A917">
        <v>916</v>
      </c>
      <c r="B917" t="s">
        <v>3561</v>
      </c>
      <c r="C917" t="s">
        <v>1086</v>
      </c>
      <c r="D917" t="s">
        <v>11</v>
      </c>
      <c r="E917" t="s">
        <v>3562</v>
      </c>
      <c r="F917" t="s">
        <v>3563</v>
      </c>
      <c r="G917" t="s">
        <v>1505</v>
      </c>
      <c r="H917" t="s">
        <v>15</v>
      </c>
      <c r="I917">
        <v>10550</v>
      </c>
    </row>
    <row r="918" spans="1:9" x14ac:dyDescent="0.3">
      <c r="A918">
        <v>917</v>
      </c>
      <c r="B918" t="s">
        <v>3564</v>
      </c>
      <c r="C918" t="s">
        <v>2055</v>
      </c>
      <c r="D918" t="s">
        <v>3565</v>
      </c>
      <c r="E918" t="s">
        <v>3566</v>
      </c>
      <c r="F918" t="s">
        <v>3567</v>
      </c>
      <c r="G918" t="s">
        <v>466</v>
      </c>
      <c r="H918" t="s">
        <v>15</v>
      </c>
      <c r="I918">
        <v>12180</v>
      </c>
    </row>
    <row r="919" spans="1:9" x14ac:dyDescent="0.3">
      <c r="A919">
        <v>918</v>
      </c>
      <c r="B919" t="s">
        <v>3253</v>
      </c>
      <c r="C919" t="s">
        <v>437</v>
      </c>
      <c r="D919" t="s">
        <v>11</v>
      </c>
      <c r="E919" t="s">
        <v>3568</v>
      </c>
      <c r="F919" t="s">
        <v>3569</v>
      </c>
      <c r="G919" t="s">
        <v>709</v>
      </c>
      <c r="H919" t="s">
        <v>15</v>
      </c>
      <c r="I919">
        <v>11787</v>
      </c>
    </row>
    <row r="920" spans="1:9" x14ac:dyDescent="0.3">
      <c r="A920">
        <v>919</v>
      </c>
      <c r="B920" t="s">
        <v>3570</v>
      </c>
      <c r="C920" t="s">
        <v>3571</v>
      </c>
      <c r="D920" t="s">
        <v>11</v>
      </c>
      <c r="E920" t="s">
        <v>3572</v>
      </c>
      <c r="F920" t="s">
        <v>3573</v>
      </c>
      <c r="G920" t="s">
        <v>165</v>
      </c>
      <c r="H920" t="s">
        <v>21</v>
      </c>
      <c r="I920">
        <v>90505</v>
      </c>
    </row>
    <row r="921" spans="1:9" x14ac:dyDescent="0.3">
      <c r="A921">
        <v>920</v>
      </c>
      <c r="B921" t="s">
        <v>2596</v>
      </c>
      <c r="C921" t="s">
        <v>3309</v>
      </c>
      <c r="D921" t="s">
        <v>11</v>
      </c>
      <c r="E921" t="s">
        <v>3574</v>
      </c>
      <c r="F921" t="s">
        <v>3575</v>
      </c>
      <c r="G921" t="s">
        <v>375</v>
      </c>
      <c r="H921" t="s">
        <v>15</v>
      </c>
      <c r="I921">
        <v>14120</v>
      </c>
    </row>
    <row r="922" spans="1:9" x14ac:dyDescent="0.3">
      <c r="A922">
        <v>921</v>
      </c>
      <c r="B922" t="s">
        <v>3576</v>
      </c>
      <c r="C922" t="s">
        <v>427</v>
      </c>
      <c r="D922" t="s">
        <v>11</v>
      </c>
      <c r="E922" t="s">
        <v>3577</v>
      </c>
      <c r="F922" t="s">
        <v>3578</v>
      </c>
      <c r="G922" t="s">
        <v>864</v>
      </c>
      <c r="H922" t="s">
        <v>15</v>
      </c>
      <c r="I922">
        <v>14580</v>
      </c>
    </row>
    <row r="923" spans="1:9" x14ac:dyDescent="0.3">
      <c r="A923">
        <v>922</v>
      </c>
      <c r="B923" t="s">
        <v>3579</v>
      </c>
      <c r="C923" t="s">
        <v>2524</v>
      </c>
      <c r="D923" t="s">
        <v>11</v>
      </c>
      <c r="E923" t="s">
        <v>3580</v>
      </c>
      <c r="F923" t="s">
        <v>3581</v>
      </c>
      <c r="G923" t="s">
        <v>663</v>
      </c>
      <c r="H923" t="s">
        <v>15</v>
      </c>
      <c r="I923">
        <v>11758</v>
      </c>
    </row>
    <row r="924" spans="1:9" x14ac:dyDescent="0.3">
      <c r="A924">
        <v>923</v>
      </c>
      <c r="B924" t="s">
        <v>3582</v>
      </c>
      <c r="C924" t="s">
        <v>851</v>
      </c>
      <c r="D924" t="s">
        <v>11</v>
      </c>
      <c r="E924" t="s">
        <v>3583</v>
      </c>
      <c r="F924" t="s">
        <v>3584</v>
      </c>
      <c r="G924" t="s">
        <v>1103</v>
      </c>
      <c r="H924" t="s">
        <v>21</v>
      </c>
      <c r="I924">
        <v>91387</v>
      </c>
    </row>
    <row r="925" spans="1:9" x14ac:dyDescent="0.3">
      <c r="A925">
        <v>924</v>
      </c>
      <c r="B925" t="s">
        <v>2309</v>
      </c>
      <c r="C925" t="s">
        <v>638</v>
      </c>
      <c r="D925" t="s">
        <v>11</v>
      </c>
      <c r="E925" t="s">
        <v>3585</v>
      </c>
      <c r="F925" t="s">
        <v>3586</v>
      </c>
      <c r="G925" t="s">
        <v>929</v>
      </c>
      <c r="H925" t="s">
        <v>15</v>
      </c>
      <c r="I925">
        <v>12553</v>
      </c>
    </row>
    <row r="926" spans="1:9" x14ac:dyDescent="0.3">
      <c r="A926">
        <v>925</v>
      </c>
      <c r="B926" t="s">
        <v>3587</v>
      </c>
      <c r="C926" t="s">
        <v>63</v>
      </c>
      <c r="D926" t="s">
        <v>11</v>
      </c>
      <c r="E926" t="s">
        <v>3588</v>
      </c>
      <c r="F926" t="s">
        <v>3589</v>
      </c>
      <c r="G926" t="s">
        <v>1227</v>
      </c>
      <c r="H926" t="s">
        <v>15</v>
      </c>
      <c r="I926">
        <v>12401</v>
      </c>
    </row>
    <row r="927" spans="1:9" x14ac:dyDescent="0.3">
      <c r="A927">
        <v>926</v>
      </c>
      <c r="B927" t="s">
        <v>3590</v>
      </c>
      <c r="C927" t="s">
        <v>3591</v>
      </c>
      <c r="D927" t="s">
        <v>3592</v>
      </c>
      <c r="E927" t="s">
        <v>3593</v>
      </c>
      <c r="F927" t="s">
        <v>3594</v>
      </c>
      <c r="G927" t="s">
        <v>1955</v>
      </c>
      <c r="H927" t="s">
        <v>21</v>
      </c>
      <c r="I927">
        <v>93306</v>
      </c>
    </row>
    <row r="928" spans="1:9" x14ac:dyDescent="0.3">
      <c r="A928">
        <v>927</v>
      </c>
      <c r="B928" t="s">
        <v>3595</v>
      </c>
      <c r="C928" t="s">
        <v>2877</v>
      </c>
      <c r="D928" t="s">
        <v>3596</v>
      </c>
      <c r="E928" t="s">
        <v>3597</v>
      </c>
      <c r="F928" t="s">
        <v>3598</v>
      </c>
      <c r="G928" t="s">
        <v>96</v>
      </c>
      <c r="H928" t="s">
        <v>15</v>
      </c>
      <c r="I928">
        <v>10002</v>
      </c>
    </row>
    <row r="929" spans="1:9" x14ac:dyDescent="0.3">
      <c r="A929">
        <v>928</v>
      </c>
      <c r="B929" t="s">
        <v>3599</v>
      </c>
      <c r="C929" t="s">
        <v>892</v>
      </c>
      <c r="D929" t="s">
        <v>11</v>
      </c>
      <c r="E929" t="s">
        <v>3600</v>
      </c>
      <c r="F929" t="s">
        <v>3601</v>
      </c>
      <c r="G929" t="s">
        <v>2221</v>
      </c>
      <c r="H929" t="s">
        <v>21</v>
      </c>
      <c r="I929">
        <v>90403</v>
      </c>
    </row>
    <row r="930" spans="1:9" x14ac:dyDescent="0.3">
      <c r="A930">
        <v>929</v>
      </c>
      <c r="B930" t="s">
        <v>3602</v>
      </c>
      <c r="C930" t="s">
        <v>3603</v>
      </c>
      <c r="D930" t="s">
        <v>11</v>
      </c>
      <c r="E930" t="s">
        <v>3604</v>
      </c>
      <c r="F930" t="s">
        <v>3605</v>
      </c>
      <c r="G930" t="s">
        <v>1180</v>
      </c>
      <c r="H930" t="s">
        <v>21</v>
      </c>
      <c r="I930">
        <v>94566</v>
      </c>
    </row>
    <row r="931" spans="1:9" x14ac:dyDescent="0.3">
      <c r="A931">
        <v>930</v>
      </c>
      <c r="B931" t="s">
        <v>1501</v>
      </c>
      <c r="C931" t="s">
        <v>2517</v>
      </c>
      <c r="D931" t="s">
        <v>11</v>
      </c>
      <c r="E931" t="s">
        <v>3606</v>
      </c>
      <c r="F931" t="s">
        <v>3607</v>
      </c>
      <c r="G931" t="s">
        <v>2552</v>
      </c>
      <c r="H931" t="s">
        <v>15</v>
      </c>
      <c r="I931">
        <v>12065</v>
      </c>
    </row>
    <row r="932" spans="1:9" x14ac:dyDescent="0.3">
      <c r="A932">
        <v>931</v>
      </c>
      <c r="B932" t="s">
        <v>3608</v>
      </c>
      <c r="C932" t="s">
        <v>1283</v>
      </c>
      <c r="D932" t="s">
        <v>11</v>
      </c>
      <c r="E932" t="s">
        <v>3609</v>
      </c>
      <c r="F932" t="s">
        <v>3610</v>
      </c>
      <c r="G932" t="s">
        <v>314</v>
      </c>
      <c r="H932" t="s">
        <v>80</v>
      </c>
      <c r="I932">
        <v>76901</v>
      </c>
    </row>
    <row r="933" spans="1:9" x14ac:dyDescent="0.3">
      <c r="A933">
        <v>932</v>
      </c>
      <c r="B933" t="s">
        <v>3611</v>
      </c>
      <c r="C933" t="s">
        <v>39</v>
      </c>
      <c r="D933" t="s">
        <v>11</v>
      </c>
      <c r="E933" t="s">
        <v>3612</v>
      </c>
      <c r="F933" t="s">
        <v>3613</v>
      </c>
      <c r="G933" t="s">
        <v>1627</v>
      </c>
      <c r="H933" t="s">
        <v>15</v>
      </c>
      <c r="I933">
        <v>12590</v>
      </c>
    </row>
    <row r="934" spans="1:9" x14ac:dyDescent="0.3">
      <c r="A934">
        <v>933</v>
      </c>
      <c r="B934" t="s">
        <v>3614</v>
      </c>
      <c r="C934" t="s">
        <v>2926</v>
      </c>
      <c r="D934" t="s">
        <v>11</v>
      </c>
      <c r="E934" t="s">
        <v>3615</v>
      </c>
      <c r="F934" t="s">
        <v>3616</v>
      </c>
      <c r="G934" t="s">
        <v>596</v>
      </c>
      <c r="H934" t="s">
        <v>15</v>
      </c>
      <c r="I934">
        <v>11414</v>
      </c>
    </row>
    <row r="935" spans="1:9" x14ac:dyDescent="0.3">
      <c r="A935">
        <v>934</v>
      </c>
      <c r="B935" t="s">
        <v>3617</v>
      </c>
      <c r="C935" t="s">
        <v>1431</v>
      </c>
      <c r="D935" t="s">
        <v>11</v>
      </c>
      <c r="E935" t="s">
        <v>3618</v>
      </c>
      <c r="F935" t="s">
        <v>3619</v>
      </c>
      <c r="G935" t="s">
        <v>641</v>
      </c>
      <c r="H935" t="s">
        <v>15</v>
      </c>
      <c r="I935">
        <v>14075</v>
      </c>
    </row>
    <row r="936" spans="1:9" x14ac:dyDescent="0.3">
      <c r="A936">
        <v>935</v>
      </c>
      <c r="B936" t="s">
        <v>3620</v>
      </c>
      <c r="C936" t="s">
        <v>2048</v>
      </c>
      <c r="D936" t="s">
        <v>11</v>
      </c>
      <c r="E936" t="s">
        <v>3621</v>
      </c>
      <c r="F936" t="s">
        <v>3622</v>
      </c>
      <c r="G936" t="s">
        <v>63</v>
      </c>
      <c r="H936" t="s">
        <v>15</v>
      </c>
      <c r="I936">
        <v>10950</v>
      </c>
    </row>
    <row r="937" spans="1:9" x14ac:dyDescent="0.3">
      <c r="A937">
        <v>936</v>
      </c>
      <c r="B937" t="s">
        <v>3623</v>
      </c>
      <c r="C937" t="s">
        <v>1717</v>
      </c>
      <c r="D937" t="s">
        <v>11</v>
      </c>
      <c r="E937" t="s">
        <v>3624</v>
      </c>
      <c r="F937" t="s">
        <v>3625</v>
      </c>
      <c r="G937" t="s">
        <v>156</v>
      </c>
      <c r="H937" t="s">
        <v>15</v>
      </c>
      <c r="I937">
        <v>10562</v>
      </c>
    </row>
    <row r="938" spans="1:9" x14ac:dyDescent="0.3">
      <c r="A938">
        <v>937</v>
      </c>
      <c r="B938" t="s">
        <v>3626</v>
      </c>
      <c r="C938" t="s">
        <v>3360</v>
      </c>
      <c r="D938" t="s">
        <v>11</v>
      </c>
      <c r="E938" t="s">
        <v>3627</v>
      </c>
      <c r="F938" t="s">
        <v>3628</v>
      </c>
      <c r="G938" t="s">
        <v>553</v>
      </c>
      <c r="H938" t="s">
        <v>15</v>
      </c>
      <c r="I938">
        <v>11552</v>
      </c>
    </row>
    <row r="939" spans="1:9" x14ac:dyDescent="0.3">
      <c r="A939">
        <v>938</v>
      </c>
      <c r="B939" t="s">
        <v>3629</v>
      </c>
      <c r="C939" t="s">
        <v>3630</v>
      </c>
      <c r="D939" t="s">
        <v>3631</v>
      </c>
      <c r="E939" t="s">
        <v>3632</v>
      </c>
      <c r="F939" t="s">
        <v>3633</v>
      </c>
      <c r="G939" t="s">
        <v>1917</v>
      </c>
      <c r="H939" t="s">
        <v>15</v>
      </c>
      <c r="I939">
        <v>14606</v>
      </c>
    </row>
    <row r="940" spans="1:9" x14ac:dyDescent="0.3">
      <c r="A940">
        <v>939</v>
      </c>
      <c r="B940" t="s">
        <v>3634</v>
      </c>
      <c r="C940" t="s">
        <v>1158</v>
      </c>
      <c r="D940" t="s">
        <v>3635</v>
      </c>
      <c r="E940" t="s">
        <v>3636</v>
      </c>
      <c r="F940" t="s">
        <v>3637</v>
      </c>
      <c r="G940" t="s">
        <v>602</v>
      </c>
      <c r="H940" t="s">
        <v>80</v>
      </c>
      <c r="I940">
        <v>78418</v>
      </c>
    </row>
    <row r="941" spans="1:9" x14ac:dyDescent="0.3">
      <c r="A941">
        <v>940</v>
      </c>
      <c r="B941" t="s">
        <v>3638</v>
      </c>
      <c r="C941" t="s">
        <v>3639</v>
      </c>
      <c r="D941" t="s">
        <v>11</v>
      </c>
      <c r="E941" t="s">
        <v>3640</v>
      </c>
      <c r="F941" t="s">
        <v>3641</v>
      </c>
      <c r="G941" t="s">
        <v>216</v>
      </c>
      <c r="H941" t="s">
        <v>21</v>
      </c>
      <c r="I941">
        <v>91316</v>
      </c>
    </row>
    <row r="942" spans="1:9" x14ac:dyDescent="0.3">
      <c r="A942">
        <v>941</v>
      </c>
      <c r="B942" t="s">
        <v>3642</v>
      </c>
      <c r="C942" t="s">
        <v>2464</v>
      </c>
      <c r="D942" t="s">
        <v>11</v>
      </c>
      <c r="E942" t="s">
        <v>3643</v>
      </c>
      <c r="F942" t="s">
        <v>3644</v>
      </c>
      <c r="G942" t="s">
        <v>300</v>
      </c>
      <c r="H942" t="s">
        <v>15</v>
      </c>
      <c r="I942">
        <v>11722</v>
      </c>
    </row>
    <row r="943" spans="1:9" x14ac:dyDescent="0.3">
      <c r="A943">
        <v>942</v>
      </c>
      <c r="B943" t="s">
        <v>3645</v>
      </c>
      <c r="C943" t="s">
        <v>1263</v>
      </c>
      <c r="D943" t="s">
        <v>3646</v>
      </c>
      <c r="E943" t="s">
        <v>3647</v>
      </c>
      <c r="F943" t="s">
        <v>3648</v>
      </c>
      <c r="G943" t="s">
        <v>211</v>
      </c>
      <c r="H943" t="s">
        <v>15</v>
      </c>
      <c r="I943">
        <v>14086</v>
      </c>
    </row>
    <row r="944" spans="1:9" x14ac:dyDescent="0.3">
      <c r="A944">
        <v>943</v>
      </c>
      <c r="B944" t="s">
        <v>621</v>
      </c>
      <c r="C944" t="s">
        <v>1470</v>
      </c>
      <c r="D944" t="s">
        <v>11</v>
      </c>
      <c r="E944" t="s">
        <v>3649</v>
      </c>
      <c r="F944" t="s">
        <v>3650</v>
      </c>
      <c r="G944" t="s">
        <v>101</v>
      </c>
      <c r="H944" t="s">
        <v>15</v>
      </c>
      <c r="I944">
        <v>10583</v>
      </c>
    </row>
    <row r="945" spans="1:9" x14ac:dyDescent="0.3">
      <c r="A945">
        <v>944</v>
      </c>
      <c r="B945" t="s">
        <v>3651</v>
      </c>
      <c r="C945" t="s">
        <v>2124</v>
      </c>
      <c r="D945" t="s">
        <v>11</v>
      </c>
      <c r="E945" t="s">
        <v>3652</v>
      </c>
      <c r="F945" t="s">
        <v>3653</v>
      </c>
      <c r="G945" t="s">
        <v>101</v>
      </c>
      <c r="H945" t="s">
        <v>15</v>
      </c>
      <c r="I945">
        <v>10583</v>
      </c>
    </row>
    <row r="946" spans="1:9" x14ac:dyDescent="0.3">
      <c r="A946">
        <v>945</v>
      </c>
      <c r="B946" t="s">
        <v>3654</v>
      </c>
      <c r="C946" t="s">
        <v>824</v>
      </c>
      <c r="D946" t="s">
        <v>11</v>
      </c>
      <c r="E946" t="s">
        <v>3655</v>
      </c>
      <c r="F946" t="s">
        <v>3656</v>
      </c>
      <c r="G946" t="s">
        <v>58</v>
      </c>
      <c r="H946" t="s">
        <v>15</v>
      </c>
      <c r="I946">
        <v>11050</v>
      </c>
    </row>
    <row r="947" spans="1:9" x14ac:dyDescent="0.3">
      <c r="A947">
        <v>946</v>
      </c>
      <c r="B947" t="s">
        <v>3657</v>
      </c>
      <c r="C947" t="s">
        <v>386</v>
      </c>
      <c r="D947" t="s">
        <v>11</v>
      </c>
      <c r="E947" t="s">
        <v>3658</v>
      </c>
      <c r="F947" t="s">
        <v>3659</v>
      </c>
      <c r="G947" t="s">
        <v>579</v>
      </c>
      <c r="H947" t="s">
        <v>15</v>
      </c>
      <c r="I947">
        <v>14534</v>
      </c>
    </row>
    <row r="948" spans="1:9" x14ac:dyDescent="0.3">
      <c r="A948">
        <v>947</v>
      </c>
      <c r="B948" t="s">
        <v>2211</v>
      </c>
      <c r="C948" t="s">
        <v>2286</v>
      </c>
      <c r="D948" t="s">
        <v>11</v>
      </c>
      <c r="E948" t="s">
        <v>3660</v>
      </c>
      <c r="F948" t="s">
        <v>3661</v>
      </c>
      <c r="G948" t="s">
        <v>181</v>
      </c>
      <c r="H948" t="s">
        <v>21</v>
      </c>
      <c r="I948">
        <v>90274</v>
      </c>
    </row>
    <row r="949" spans="1:9" x14ac:dyDescent="0.3">
      <c r="A949">
        <v>948</v>
      </c>
      <c r="B949" t="s">
        <v>3662</v>
      </c>
      <c r="C949" t="s">
        <v>3663</v>
      </c>
      <c r="D949" t="s">
        <v>11</v>
      </c>
      <c r="E949" t="s">
        <v>3664</v>
      </c>
      <c r="F949" t="s">
        <v>3665</v>
      </c>
      <c r="G949" t="s">
        <v>1293</v>
      </c>
      <c r="H949" t="s">
        <v>15</v>
      </c>
      <c r="I949">
        <v>11756</v>
      </c>
    </row>
    <row r="950" spans="1:9" x14ac:dyDescent="0.3">
      <c r="A950">
        <v>949</v>
      </c>
      <c r="B950" t="s">
        <v>3666</v>
      </c>
      <c r="C950" t="s">
        <v>153</v>
      </c>
      <c r="D950" t="s">
        <v>11</v>
      </c>
      <c r="E950" t="s">
        <v>3667</v>
      </c>
      <c r="F950" t="s">
        <v>3668</v>
      </c>
      <c r="G950" t="s">
        <v>101</v>
      </c>
      <c r="H950" t="s">
        <v>15</v>
      </c>
      <c r="I950">
        <v>10583</v>
      </c>
    </row>
    <row r="951" spans="1:9" x14ac:dyDescent="0.3">
      <c r="A951">
        <v>950</v>
      </c>
      <c r="B951" t="s">
        <v>3669</v>
      </c>
      <c r="C951" t="s">
        <v>3670</v>
      </c>
      <c r="D951" t="s">
        <v>3671</v>
      </c>
      <c r="E951" t="s">
        <v>3672</v>
      </c>
      <c r="F951" t="s">
        <v>3673</v>
      </c>
      <c r="G951" t="s">
        <v>1917</v>
      </c>
      <c r="H951" t="s">
        <v>15</v>
      </c>
      <c r="I951">
        <v>14606</v>
      </c>
    </row>
    <row r="952" spans="1:9" x14ac:dyDescent="0.3">
      <c r="A952">
        <v>951</v>
      </c>
      <c r="B952" t="s">
        <v>3674</v>
      </c>
      <c r="C952" t="s">
        <v>3675</v>
      </c>
      <c r="D952" t="s">
        <v>11</v>
      </c>
      <c r="E952" t="s">
        <v>3676</v>
      </c>
      <c r="F952" t="s">
        <v>3677</v>
      </c>
      <c r="G952" t="s">
        <v>101</v>
      </c>
      <c r="H952" t="s">
        <v>15</v>
      </c>
      <c r="I952">
        <v>10583</v>
      </c>
    </row>
    <row r="953" spans="1:9" x14ac:dyDescent="0.3">
      <c r="A953">
        <v>952</v>
      </c>
      <c r="B953" t="s">
        <v>3678</v>
      </c>
      <c r="C953" t="s">
        <v>706</v>
      </c>
      <c r="D953" t="s">
        <v>11</v>
      </c>
      <c r="E953" t="s">
        <v>3679</v>
      </c>
      <c r="F953" t="s">
        <v>3680</v>
      </c>
      <c r="G953" t="s">
        <v>165</v>
      </c>
      <c r="H953" t="s">
        <v>21</v>
      </c>
      <c r="I953">
        <v>90505</v>
      </c>
    </row>
    <row r="954" spans="1:9" x14ac:dyDescent="0.3">
      <c r="A954">
        <v>953</v>
      </c>
      <c r="B954" t="s">
        <v>3681</v>
      </c>
      <c r="C954" t="s">
        <v>3682</v>
      </c>
      <c r="D954" t="s">
        <v>11</v>
      </c>
      <c r="E954" t="s">
        <v>3683</v>
      </c>
      <c r="F954" t="s">
        <v>3684</v>
      </c>
      <c r="G954" t="s">
        <v>740</v>
      </c>
      <c r="H954" t="s">
        <v>80</v>
      </c>
      <c r="I954">
        <v>78023</v>
      </c>
    </row>
    <row r="955" spans="1:9" x14ac:dyDescent="0.3">
      <c r="A955">
        <v>954</v>
      </c>
      <c r="B955" t="s">
        <v>3685</v>
      </c>
      <c r="C955" t="s">
        <v>3686</v>
      </c>
      <c r="D955" t="s">
        <v>11</v>
      </c>
      <c r="E955" t="s">
        <v>3687</v>
      </c>
      <c r="F955" t="s">
        <v>3688</v>
      </c>
      <c r="G955" t="s">
        <v>903</v>
      </c>
      <c r="H955" t="s">
        <v>15</v>
      </c>
      <c r="I955">
        <v>11801</v>
      </c>
    </row>
    <row r="956" spans="1:9" x14ac:dyDescent="0.3">
      <c r="A956">
        <v>955</v>
      </c>
      <c r="B956" t="s">
        <v>3689</v>
      </c>
      <c r="C956" t="s">
        <v>768</v>
      </c>
      <c r="D956" t="s">
        <v>11</v>
      </c>
      <c r="E956" t="s">
        <v>3690</v>
      </c>
      <c r="F956" t="s">
        <v>3691</v>
      </c>
      <c r="G956" t="s">
        <v>2752</v>
      </c>
      <c r="H956" t="s">
        <v>15</v>
      </c>
      <c r="I956">
        <v>11704</v>
      </c>
    </row>
    <row r="957" spans="1:9" x14ac:dyDescent="0.3">
      <c r="A957">
        <v>956</v>
      </c>
      <c r="B957" t="s">
        <v>3692</v>
      </c>
      <c r="C957" t="s">
        <v>3693</v>
      </c>
      <c r="D957" t="s">
        <v>11</v>
      </c>
      <c r="E957" t="s">
        <v>3694</v>
      </c>
      <c r="F957" t="s">
        <v>3695</v>
      </c>
      <c r="G957" t="s">
        <v>460</v>
      </c>
      <c r="H957" t="s">
        <v>15</v>
      </c>
      <c r="I957">
        <v>11735</v>
      </c>
    </row>
    <row r="958" spans="1:9" x14ac:dyDescent="0.3">
      <c r="A958">
        <v>957</v>
      </c>
      <c r="B958" t="s">
        <v>3696</v>
      </c>
      <c r="C958" t="s">
        <v>330</v>
      </c>
      <c r="D958" t="s">
        <v>3697</v>
      </c>
      <c r="E958" t="s">
        <v>3698</v>
      </c>
      <c r="F958" t="s">
        <v>3699</v>
      </c>
      <c r="G958" t="s">
        <v>545</v>
      </c>
      <c r="H958" t="s">
        <v>21</v>
      </c>
      <c r="I958">
        <v>92806</v>
      </c>
    </row>
    <row r="959" spans="1:9" x14ac:dyDescent="0.3">
      <c r="A959">
        <v>958</v>
      </c>
      <c r="B959" t="s">
        <v>3700</v>
      </c>
      <c r="C959" t="s">
        <v>3360</v>
      </c>
      <c r="D959" t="s">
        <v>11</v>
      </c>
      <c r="E959" t="s">
        <v>3701</v>
      </c>
      <c r="F959" t="s">
        <v>3702</v>
      </c>
      <c r="G959" t="s">
        <v>570</v>
      </c>
      <c r="H959" t="s">
        <v>80</v>
      </c>
      <c r="I959">
        <v>76039</v>
      </c>
    </row>
    <row r="960" spans="1:9" x14ac:dyDescent="0.3">
      <c r="A960">
        <v>959</v>
      </c>
      <c r="B960" t="s">
        <v>3703</v>
      </c>
      <c r="C960" t="s">
        <v>892</v>
      </c>
      <c r="D960" t="s">
        <v>3704</v>
      </c>
      <c r="E960" t="s">
        <v>3705</v>
      </c>
      <c r="F960" t="s">
        <v>3706</v>
      </c>
      <c r="G960" t="s">
        <v>37</v>
      </c>
      <c r="H960" t="s">
        <v>21</v>
      </c>
      <c r="I960">
        <v>95820</v>
      </c>
    </row>
    <row r="961" spans="1:9" x14ac:dyDescent="0.3">
      <c r="A961">
        <v>960</v>
      </c>
      <c r="B961" t="s">
        <v>3707</v>
      </c>
      <c r="C961" t="s">
        <v>3708</v>
      </c>
      <c r="D961" t="s">
        <v>3709</v>
      </c>
      <c r="E961" t="s">
        <v>3710</v>
      </c>
      <c r="F961" t="s">
        <v>3711</v>
      </c>
      <c r="G961" t="s">
        <v>74</v>
      </c>
      <c r="H961" t="s">
        <v>15</v>
      </c>
      <c r="I961">
        <v>11550</v>
      </c>
    </row>
    <row r="962" spans="1:9" x14ac:dyDescent="0.3">
      <c r="A962">
        <v>961</v>
      </c>
      <c r="B962" t="s">
        <v>3712</v>
      </c>
      <c r="C962" t="s">
        <v>1717</v>
      </c>
      <c r="D962" t="s">
        <v>11</v>
      </c>
      <c r="E962" t="s">
        <v>3713</v>
      </c>
      <c r="F962" t="s">
        <v>3714</v>
      </c>
      <c r="G962" t="s">
        <v>1227</v>
      </c>
      <c r="H962" t="s">
        <v>15</v>
      </c>
      <c r="I962">
        <v>12401</v>
      </c>
    </row>
    <row r="963" spans="1:9" x14ac:dyDescent="0.3">
      <c r="A963">
        <v>962</v>
      </c>
      <c r="B963" t="s">
        <v>3715</v>
      </c>
      <c r="C963" t="s">
        <v>3716</v>
      </c>
      <c r="D963" t="s">
        <v>11</v>
      </c>
      <c r="E963" t="s">
        <v>3717</v>
      </c>
      <c r="F963" t="s">
        <v>3718</v>
      </c>
      <c r="G963" t="s">
        <v>3129</v>
      </c>
      <c r="H963" t="s">
        <v>80</v>
      </c>
      <c r="I963">
        <v>76522</v>
      </c>
    </row>
    <row r="964" spans="1:9" x14ac:dyDescent="0.3">
      <c r="A964">
        <v>963</v>
      </c>
      <c r="B964" t="s">
        <v>3719</v>
      </c>
      <c r="C964" t="s">
        <v>3663</v>
      </c>
      <c r="D964" t="s">
        <v>11</v>
      </c>
      <c r="E964" t="s">
        <v>3720</v>
      </c>
      <c r="F964" t="s">
        <v>3721</v>
      </c>
      <c r="G964" t="s">
        <v>333</v>
      </c>
      <c r="H964" t="s">
        <v>15</v>
      </c>
      <c r="I964">
        <v>13440</v>
      </c>
    </row>
    <row r="965" spans="1:9" x14ac:dyDescent="0.3">
      <c r="A965">
        <v>964</v>
      </c>
      <c r="B965" t="s">
        <v>3722</v>
      </c>
      <c r="C965" t="s">
        <v>1443</v>
      </c>
      <c r="D965" t="s">
        <v>3723</v>
      </c>
      <c r="E965" t="s">
        <v>3724</v>
      </c>
      <c r="F965" t="s">
        <v>3725</v>
      </c>
      <c r="G965" t="s">
        <v>602</v>
      </c>
      <c r="H965" t="s">
        <v>80</v>
      </c>
      <c r="I965">
        <v>78418</v>
      </c>
    </row>
    <row r="966" spans="1:9" x14ac:dyDescent="0.3">
      <c r="A966">
        <v>965</v>
      </c>
      <c r="B966" t="s">
        <v>3726</v>
      </c>
      <c r="C966" t="s">
        <v>441</v>
      </c>
      <c r="D966" t="s">
        <v>11</v>
      </c>
      <c r="E966" t="s">
        <v>3727</v>
      </c>
      <c r="F966" t="s">
        <v>3728</v>
      </c>
      <c r="G966" t="s">
        <v>731</v>
      </c>
      <c r="H966" t="s">
        <v>15</v>
      </c>
      <c r="I966">
        <v>11803</v>
      </c>
    </row>
    <row r="967" spans="1:9" x14ac:dyDescent="0.3">
      <c r="A967">
        <v>966</v>
      </c>
      <c r="B967" t="s">
        <v>3729</v>
      </c>
      <c r="C967" t="s">
        <v>3440</v>
      </c>
      <c r="D967" t="s">
        <v>11</v>
      </c>
      <c r="E967" t="s">
        <v>3730</v>
      </c>
      <c r="F967" t="s">
        <v>3731</v>
      </c>
      <c r="G967" t="s">
        <v>2188</v>
      </c>
      <c r="H967" t="s">
        <v>15</v>
      </c>
      <c r="I967">
        <v>11542</v>
      </c>
    </row>
    <row r="968" spans="1:9" x14ac:dyDescent="0.3">
      <c r="A968">
        <v>967</v>
      </c>
      <c r="B968" t="s">
        <v>3732</v>
      </c>
      <c r="C968" t="s">
        <v>897</v>
      </c>
      <c r="D968" t="s">
        <v>11</v>
      </c>
      <c r="E968" t="s">
        <v>3733</v>
      </c>
      <c r="F968" t="s">
        <v>3734</v>
      </c>
      <c r="G968" t="s">
        <v>106</v>
      </c>
      <c r="H968" t="s">
        <v>15</v>
      </c>
      <c r="I968">
        <v>14424</v>
      </c>
    </row>
    <row r="969" spans="1:9" x14ac:dyDescent="0.3">
      <c r="A969">
        <v>968</v>
      </c>
      <c r="B969" t="s">
        <v>3735</v>
      </c>
      <c r="C969" t="s">
        <v>3736</v>
      </c>
      <c r="D969" t="s">
        <v>11</v>
      </c>
      <c r="E969" t="s">
        <v>3737</v>
      </c>
      <c r="F969" t="s">
        <v>3738</v>
      </c>
      <c r="G969" t="s">
        <v>140</v>
      </c>
      <c r="H969" t="s">
        <v>15</v>
      </c>
      <c r="I969">
        <v>10541</v>
      </c>
    </row>
    <row r="970" spans="1:9" x14ac:dyDescent="0.3">
      <c r="A970">
        <v>969</v>
      </c>
      <c r="B970" t="s">
        <v>3739</v>
      </c>
      <c r="C970" t="s">
        <v>3670</v>
      </c>
      <c r="D970" t="s">
        <v>3740</v>
      </c>
      <c r="E970" t="s">
        <v>3741</v>
      </c>
      <c r="F970" t="s">
        <v>3742</v>
      </c>
      <c r="G970" t="s">
        <v>1917</v>
      </c>
      <c r="H970" t="s">
        <v>15</v>
      </c>
      <c r="I970">
        <v>14606</v>
      </c>
    </row>
    <row r="971" spans="1:9" x14ac:dyDescent="0.3">
      <c r="A971">
        <v>970</v>
      </c>
      <c r="B971" t="s">
        <v>3743</v>
      </c>
      <c r="C971" t="s">
        <v>3744</v>
      </c>
      <c r="D971" t="s">
        <v>11</v>
      </c>
      <c r="E971" t="s">
        <v>3745</v>
      </c>
      <c r="F971" t="s">
        <v>3746</v>
      </c>
      <c r="G971" t="s">
        <v>130</v>
      </c>
      <c r="H971" t="s">
        <v>15</v>
      </c>
      <c r="I971">
        <v>11423</v>
      </c>
    </row>
    <row r="972" spans="1:9" x14ac:dyDescent="0.3">
      <c r="A972">
        <v>971</v>
      </c>
      <c r="B972" t="s">
        <v>3747</v>
      </c>
      <c r="C972" t="s">
        <v>3748</v>
      </c>
      <c r="D972" t="s">
        <v>3749</v>
      </c>
      <c r="E972" t="s">
        <v>3750</v>
      </c>
      <c r="F972" t="s">
        <v>3751</v>
      </c>
      <c r="G972" t="s">
        <v>1059</v>
      </c>
      <c r="H972" t="s">
        <v>15</v>
      </c>
      <c r="I972">
        <v>11717</v>
      </c>
    </row>
    <row r="973" spans="1:9" x14ac:dyDescent="0.3">
      <c r="A973">
        <v>972</v>
      </c>
      <c r="B973" t="s">
        <v>883</v>
      </c>
      <c r="C973" t="s">
        <v>790</v>
      </c>
      <c r="D973" t="s">
        <v>3752</v>
      </c>
      <c r="E973" t="s">
        <v>3753</v>
      </c>
      <c r="F973" t="s">
        <v>3754</v>
      </c>
      <c r="G973" t="s">
        <v>146</v>
      </c>
      <c r="H973" t="s">
        <v>15</v>
      </c>
      <c r="I973">
        <v>11561</v>
      </c>
    </row>
    <row r="974" spans="1:9" x14ac:dyDescent="0.3">
      <c r="A974">
        <v>973</v>
      </c>
      <c r="B974" t="s">
        <v>3755</v>
      </c>
      <c r="C974" t="s">
        <v>3414</v>
      </c>
      <c r="D974" t="s">
        <v>11</v>
      </c>
      <c r="E974" t="s">
        <v>3756</v>
      </c>
      <c r="F974" t="s">
        <v>3757</v>
      </c>
      <c r="G974" t="s">
        <v>970</v>
      </c>
      <c r="H974" t="s">
        <v>21</v>
      </c>
      <c r="I974">
        <v>93555</v>
      </c>
    </row>
    <row r="975" spans="1:9" x14ac:dyDescent="0.3">
      <c r="A975">
        <v>974</v>
      </c>
      <c r="B975" t="s">
        <v>3758</v>
      </c>
      <c r="C975" t="s">
        <v>3174</v>
      </c>
      <c r="D975" t="s">
        <v>11</v>
      </c>
      <c r="E975" t="s">
        <v>3759</v>
      </c>
      <c r="F975" t="s">
        <v>3760</v>
      </c>
      <c r="G975" t="s">
        <v>205</v>
      </c>
      <c r="H975" t="s">
        <v>15</v>
      </c>
      <c r="I975">
        <v>11102</v>
      </c>
    </row>
    <row r="976" spans="1:9" x14ac:dyDescent="0.3">
      <c r="A976">
        <v>975</v>
      </c>
      <c r="B976" t="s">
        <v>3761</v>
      </c>
      <c r="C976" t="s">
        <v>92</v>
      </c>
      <c r="D976" t="s">
        <v>3762</v>
      </c>
      <c r="E976" t="s">
        <v>3763</v>
      </c>
      <c r="F976" t="s">
        <v>3764</v>
      </c>
      <c r="G976" t="s">
        <v>2410</v>
      </c>
      <c r="H976" t="s">
        <v>21</v>
      </c>
      <c r="I976">
        <v>90008</v>
      </c>
    </row>
    <row r="977" spans="1:9" x14ac:dyDescent="0.3">
      <c r="A977">
        <v>976</v>
      </c>
      <c r="B977" t="s">
        <v>900</v>
      </c>
      <c r="C977" t="s">
        <v>1940</v>
      </c>
      <c r="D977" t="s">
        <v>11</v>
      </c>
      <c r="E977" t="s">
        <v>3765</v>
      </c>
      <c r="F977" t="s">
        <v>3766</v>
      </c>
      <c r="G977" t="s">
        <v>709</v>
      </c>
      <c r="H977" t="s">
        <v>15</v>
      </c>
      <c r="I977">
        <v>11787</v>
      </c>
    </row>
    <row r="978" spans="1:9" x14ac:dyDescent="0.3">
      <c r="A978">
        <v>977</v>
      </c>
      <c r="B978" t="s">
        <v>1218</v>
      </c>
      <c r="C978" t="s">
        <v>3767</v>
      </c>
      <c r="D978" t="s">
        <v>11</v>
      </c>
      <c r="E978" t="s">
        <v>3768</v>
      </c>
      <c r="F978" t="s">
        <v>3769</v>
      </c>
      <c r="G978" t="s">
        <v>323</v>
      </c>
      <c r="H978" t="s">
        <v>15</v>
      </c>
      <c r="I978">
        <v>11701</v>
      </c>
    </row>
    <row r="979" spans="1:9" x14ac:dyDescent="0.3">
      <c r="A979">
        <v>978</v>
      </c>
      <c r="B979" t="s">
        <v>283</v>
      </c>
      <c r="C979" t="s">
        <v>3188</v>
      </c>
      <c r="D979" t="s">
        <v>11</v>
      </c>
      <c r="E979" t="s">
        <v>3770</v>
      </c>
      <c r="F979" t="s">
        <v>3771</v>
      </c>
      <c r="G979" t="s">
        <v>295</v>
      </c>
      <c r="H979" t="s">
        <v>15</v>
      </c>
      <c r="I979">
        <v>10451</v>
      </c>
    </row>
    <row r="980" spans="1:9" x14ac:dyDescent="0.3">
      <c r="A980">
        <v>979</v>
      </c>
      <c r="B980" t="s">
        <v>3772</v>
      </c>
      <c r="C980" t="s">
        <v>3326</v>
      </c>
      <c r="D980" t="s">
        <v>11</v>
      </c>
      <c r="E980" t="s">
        <v>3773</v>
      </c>
      <c r="F980" t="s">
        <v>3774</v>
      </c>
      <c r="G980" t="s">
        <v>1597</v>
      </c>
      <c r="H980" t="s">
        <v>15</v>
      </c>
      <c r="I980">
        <v>14850</v>
      </c>
    </row>
    <row r="981" spans="1:9" x14ac:dyDescent="0.3">
      <c r="A981">
        <v>980</v>
      </c>
      <c r="B981" t="s">
        <v>228</v>
      </c>
      <c r="C981" t="s">
        <v>260</v>
      </c>
      <c r="D981" t="s">
        <v>11</v>
      </c>
      <c r="E981" t="s">
        <v>3775</v>
      </c>
      <c r="F981" t="s">
        <v>3776</v>
      </c>
      <c r="G981" t="s">
        <v>695</v>
      </c>
      <c r="H981" t="s">
        <v>15</v>
      </c>
      <c r="I981">
        <v>10573</v>
      </c>
    </row>
    <row r="982" spans="1:9" x14ac:dyDescent="0.3">
      <c r="A982">
        <v>981</v>
      </c>
      <c r="B982" t="s">
        <v>3703</v>
      </c>
      <c r="C982" t="s">
        <v>2524</v>
      </c>
      <c r="D982" t="s">
        <v>3777</v>
      </c>
      <c r="E982" t="s">
        <v>3778</v>
      </c>
      <c r="F982" t="s">
        <v>3779</v>
      </c>
      <c r="G982" t="s">
        <v>146</v>
      </c>
      <c r="H982" t="s">
        <v>15</v>
      </c>
      <c r="I982">
        <v>11561</v>
      </c>
    </row>
    <row r="983" spans="1:9" x14ac:dyDescent="0.3">
      <c r="A983">
        <v>982</v>
      </c>
      <c r="B983" t="s">
        <v>3780</v>
      </c>
      <c r="C983" t="s">
        <v>316</v>
      </c>
      <c r="D983" t="s">
        <v>11</v>
      </c>
      <c r="E983" t="s">
        <v>3781</v>
      </c>
      <c r="F983" t="s">
        <v>3782</v>
      </c>
      <c r="G983" t="s">
        <v>314</v>
      </c>
      <c r="H983" t="s">
        <v>80</v>
      </c>
      <c r="I983">
        <v>76901</v>
      </c>
    </row>
    <row r="984" spans="1:9" x14ac:dyDescent="0.3">
      <c r="A984">
        <v>983</v>
      </c>
      <c r="B984" t="s">
        <v>3783</v>
      </c>
      <c r="C984" t="s">
        <v>2412</v>
      </c>
      <c r="D984" t="s">
        <v>11</v>
      </c>
      <c r="E984" t="s">
        <v>3784</v>
      </c>
      <c r="F984" t="s">
        <v>3785</v>
      </c>
      <c r="G984" t="s">
        <v>176</v>
      </c>
      <c r="H984" t="s">
        <v>21</v>
      </c>
      <c r="I984">
        <v>92831</v>
      </c>
    </row>
    <row r="985" spans="1:9" x14ac:dyDescent="0.3">
      <c r="A985">
        <v>984</v>
      </c>
      <c r="B985" t="s">
        <v>3786</v>
      </c>
      <c r="C985" t="s">
        <v>3787</v>
      </c>
      <c r="D985" t="s">
        <v>11</v>
      </c>
      <c r="E985" t="s">
        <v>3788</v>
      </c>
      <c r="F985" t="s">
        <v>3789</v>
      </c>
      <c r="G985" t="s">
        <v>449</v>
      </c>
      <c r="H985" t="s">
        <v>15</v>
      </c>
      <c r="I985">
        <v>11010</v>
      </c>
    </row>
    <row r="986" spans="1:9" x14ac:dyDescent="0.3">
      <c r="A986">
        <v>985</v>
      </c>
      <c r="B986" t="s">
        <v>3790</v>
      </c>
      <c r="C986" t="s">
        <v>2022</v>
      </c>
      <c r="D986" t="s">
        <v>11</v>
      </c>
      <c r="E986" t="s">
        <v>3791</v>
      </c>
      <c r="F986" t="s">
        <v>3792</v>
      </c>
      <c r="G986" t="s">
        <v>1787</v>
      </c>
      <c r="H986" t="s">
        <v>80</v>
      </c>
      <c r="I986">
        <v>78552</v>
      </c>
    </row>
    <row r="987" spans="1:9" x14ac:dyDescent="0.3">
      <c r="A987">
        <v>986</v>
      </c>
      <c r="B987" t="s">
        <v>3793</v>
      </c>
      <c r="C987" t="s">
        <v>563</v>
      </c>
      <c r="D987" t="s">
        <v>11</v>
      </c>
      <c r="E987" t="s">
        <v>3794</v>
      </c>
      <c r="F987" t="s">
        <v>3795</v>
      </c>
      <c r="G987" t="s">
        <v>156</v>
      </c>
      <c r="H987" t="s">
        <v>15</v>
      </c>
      <c r="I987">
        <v>10562</v>
      </c>
    </row>
    <row r="988" spans="1:9" x14ac:dyDescent="0.3">
      <c r="A988">
        <v>987</v>
      </c>
      <c r="B988" t="s">
        <v>3796</v>
      </c>
      <c r="C988" t="s">
        <v>3797</v>
      </c>
      <c r="D988" t="s">
        <v>11</v>
      </c>
      <c r="E988" t="s">
        <v>3798</v>
      </c>
      <c r="F988" t="s">
        <v>3799</v>
      </c>
      <c r="G988" t="s">
        <v>700</v>
      </c>
      <c r="H988" t="s">
        <v>15</v>
      </c>
      <c r="I988">
        <v>10301</v>
      </c>
    </row>
    <row r="989" spans="1:9" x14ac:dyDescent="0.3">
      <c r="A989">
        <v>988</v>
      </c>
      <c r="B989" t="s">
        <v>3800</v>
      </c>
      <c r="C989" t="s">
        <v>931</v>
      </c>
      <c r="D989" t="s">
        <v>11</v>
      </c>
      <c r="E989" t="s">
        <v>3801</v>
      </c>
      <c r="F989" t="s">
        <v>3802</v>
      </c>
      <c r="G989" t="s">
        <v>510</v>
      </c>
      <c r="H989" t="s">
        <v>15</v>
      </c>
      <c r="I989">
        <v>11791</v>
      </c>
    </row>
    <row r="990" spans="1:9" x14ac:dyDescent="0.3">
      <c r="A990">
        <v>989</v>
      </c>
      <c r="B990" t="s">
        <v>3803</v>
      </c>
      <c r="C990" t="s">
        <v>679</v>
      </c>
      <c r="D990" t="s">
        <v>11</v>
      </c>
      <c r="E990" t="s">
        <v>3804</v>
      </c>
      <c r="F990" t="s">
        <v>3805</v>
      </c>
      <c r="G990" t="s">
        <v>800</v>
      </c>
      <c r="H990" t="s">
        <v>15</v>
      </c>
      <c r="I990">
        <v>11420</v>
      </c>
    </row>
    <row r="991" spans="1:9" x14ac:dyDescent="0.3">
      <c r="A991">
        <v>990</v>
      </c>
      <c r="B991" t="s">
        <v>3806</v>
      </c>
      <c r="C991" t="s">
        <v>3807</v>
      </c>
      <c r="D991" t="s">
        <v>11</v>
      </c>
      <c r="E991" t="s">
        <v>3808</v>
      </c>
      <c r="F991" t="s">
        <v>3809</v>
      </c>
      <c r="G991" t="s">
        <v>63</v>
      </c>
      <c r="H991" t="s">
        <v>15</v>
      </c>
      <c r="I991">
        <v>10950</v>
      </c>
    </row>
    <row r="992" spans="1:9" x14ac:dyDescent="0.3">
      <c r="A992">
        <v>991</v>
      </c>
      <c r="B992" t="s">
        <v>3810</v>
      </c>
      <c r="C992" t="s">
        <v>780</v>
      </c>
      <c r="D992" t="s">
        <v>11</v>
      </c>
      <c r="E992" t="s">
        <v>3811</v>
      </c>
      <c r="F992" t="s">
        <v>3812</v>
      </c>
      <c r="G992" t="s">
        <v>1103</v>
      </c>
      <c r="H992" t="s">
        <v>21</v>
      </c>
      <c r="I992">
        <v>91387</v>
      </c>
    </row>
    <row r="993" spans="1:9" x14ac:dyDescent="0.3">
      <c r="A993">
        <v>992</v>
      </c>
      <c r="B993" t="s">
        <v>1425</v>
      </c>
      <c r="C993" t="s">
        <v>3813</v>
      </c>
      <c r="D993" t="s">
        <v>11</v>
      </c>
      <c r="E993" t="s">
        <v>3814</v>
      </c>
      <c r="F993" t="s">
        <v>3815</v>
      </c>
      <c r="G993" t="s">
        <v>1036</v>
      </c>
      <c r="H993" t="s">
        <v>15</v>
      </c>
      <c r="I993">
        <v>11772</v>
      </c>
    </row>
    <row r="994" spans="1:9" x14ac:dyDescent="0.3">
      <c r="A994">
        <v>993</v>
      </c>
      <c r="B994" t="s">
        <v>3816</v>
      </c>
      <c r="C994" t="s">
        <v>2120</v>
      </c>
      <c r="D994" t="s">
        <v>11</v>
      </c>
      <c r="E994" t="s">
        <v>3817</v>
      </c>
      <c r="F994" t="s">
        <v>3818</v>
      </c>
      <c r="G994" t="s">
        <v>970</v>
      </c>
      <c r="H994" t="s">
        <v>21</v>
      </c>
      <c r="I994">
        <v>93555</v>
      </c>
    </row>
    <row r="995" spans="1:9" x14ac:dyDescent="0.3">
      <c r="A995">
        <v>994</v>
      </c>
      <c r="B995" t="s">
        <v>3819</v>
      </c>
      <c r="C995" t="s">
        <v>142</v>
      </c>
      <c r="D995" t="s">
        <v>11</v>
      </c>
      <c r="E995" t="s">
        <v>3820</v>
      </c>
      <c r="F995" t="s">
        <v>3821</v>
      </c>
      <c r="G995" t="s">
        <v>2536</v>
      </c>
      <c r="H995" t="s">
        <v>15</v>
      </c>
      <c r="I995">
        <v>10598</v>
      </c>
    </row>
    <row r="996" spans="1:9" x14ac:dyDescent="0.3">
      <c r="A996">
        <v>995</v>
      </c>
      <c r="B996" t="s">
        <v>3822</v>
      </c>
      <c r="C996" t="s">
        <v>2996</v>
      </c>
      <c r="D996" t="s">
        <v>11</v>
      </c>
      <c r="E996" t="s">
        <v>3823</v>
      </c>
      <c r="F996" t="s">
        <v>3824</v>
      </c>
      <c r="G996" t="s">
        <v>106</v>
      </c>
      <c r="H996" t="s">
        <v>15</v>
      </c>
      <c r="I996">
        <v>14424</v>
      </c>
    </row>
    <row r="997" spans="1:9" x14ac:dyDescent="0.3">
      <c r="A997">
        <v>996</v>
      </c>
      <c r="B997" t="s">
        <v>3825</v>
      </c>
      <c r="C997" t="s">
        <v>1705</v>
      </c>
      <c r="D997" t="s">
        <v>11</v>
      </c>
      <c r="E997" t="s">
        <v>3826</v>
      </c>
      <c r="F997" t="s">
        <v>3827</v>
      </c>
      <c r="G997" t="s">
        <v>1750</v>
      </c>
      <c r="H997" t="s">
        <v>15</v>
      </c>
      <c r="I997">
        <v>11967</v>
      </c>
    </row>
    <row r="998" spans="1:9" x14ac:dyDescent="0.3">
      <c r="A998">
        <v>997</v>
      </c>
      <c r="B998" t="s">
        <v>3828</v>
      </c>
      <c r="C998" t="s">
        <v>3214</v>
      </c>
      <c r="D998" t="s">
        <v>11</v>
      </c>
      <c r="E998" t="s">
        <v>3829</v>
      </c>
      <c r="F998" t="s">
        <v>3830</v>
      </c>
      <c r="G998" t="s">
        <v>55</v>
      </c>
      <c r="H998" t="s">
        <v>15</v>
      </c>
      <c r="I998">
        <v>11510</v>
      </c>
    </row>
    <row r="999" spans="1:9" x14ac:dyDescent="0.3">
      <c r="A999">
        <v>998</v>
      </c>
      <c r="B999" t="s">
        <v>3831</v>
      </c>
      <c r="C999" t="s">
        <v>1233</v>
      </c>
      <c r="D999" t="s">
        <v>11</v>
      </c>
      <c r="E999" t="s">
        <v>3832</v>
      </c>
      <c r="F999" t="s">
        <v>3833</v>
      </c>
      <c r="G999" t="s">
        <v>2663</v>
      </c>
      <c r="H999" t="s">
        <v>15</v>
      </c>
      <c r="I999">
        <v>14701</v>
      </c>
    </row>
    <row r="1000" spans="1:9" x14ac:dyDescent="0.3">
      <c r="A1000">
        <v>999</v>
      </c>
      <c r="B1000" t="s">
        <v>3834</v>
      </c>
      <c r="C1000" t="s">
        <v>234</v>
      </c>
      <c r="D1000" t="s">
        <v>11</v>
      </c>
      <c r="E1000" t="s">
        <v>3835</v>
      </c>
      <c r="F1000" t="s">
        <v>3836</v>
      </c>
      <c r="G1000" t="s">
        <v>938</v>
      </c>
      <c r="H1000" t="s">
        <v>15</v>
      </c>
      <c r="I1000">
        <v>12020</v>
      </c>
    </row>
    <row r="1001" spans="1:9" x14ac:dyDescent="0.3">
      <c r="A1001">
        <v>1000</v>
      </c>
      <c r="B1001" t="s">
        <v>3837</v>
      </c>
      <c r="C1001" t="s">
        <v>2478</v>
      </c>
      <c r="D1001" t="s">
        <v>11</v>
      </c>
      <c r="E1001" t="s">
        <v>3838</v>
      </c>
      <c r="F1001" t="s">
        <v>3839</v>
      </c>
      <c r="G1001" t="s">
        <v>2752</v>
      </c>
      <c r="H1001" t="s">
        <v>15</v>
      </c>
      <c r="I1001">
        <v>11704</v>
      </c>
    </row>
    <row r="1002" spans="1:9" x14ac:dyDescent="0.3">
      <c r="A1002">
        <v>1001</v>
      </c>
      <c r="B1002" t="s">
        <v>866</v>
      </c>
      <c r="C1002" t="s">
        <v>1624</v>
      </c>
      <c r="D1002" t="s">
        <v>3840</v>
      </c>
      <c r="E1002" t="s">
        <v>3841</v>
      </c>
      <c r="F1002" t="s">
        <v>3842</v>
      </c>
      <c r="G1002" t="s">
        <v>1059</v>
      </c>
      <c r="H1002" t="s">
        <v>15</v>
      </c>
      <c r="I1002">
        <v>11717</v>
      </c>
    </row>
    <row r="1003" spans="1:9" x14ac:dyDescent="0.3">
      <c r="A1003">
        <v>1002</v>
      </c>
      <c r="B1003" t="s">
        <v>3843</v>
      </c>
      <c r="C1003" t="s">
        <v>3844</v>
      </c>
      <c r="D1003" t="s">
        <v>11</v>
      </c>
      <c r="E1003" t="s">
        <v>3845</v>
      </c>
      <c r="F1003" t="s">
        <v>3846</v>
      </c>
      <c r="G1003" t="s">
        <v>663</v>
      </c>
      <c r="H1003" t="s">
        <v>15</v>
      </c>
      <c r="I1003">
        <v>11758</v>
      </c>
    </row>
    <row r="1004" spans="1:9" x14ac:dyDescent="0.3">
      <c r="A1004">
        <v>1003</v>
      </c>
      <c r="B1004" t="s">
        <v>3847</v>
      </c>
      <c r="C1004" t="s">
        <v>992</v>
      </c>
      <c r="D1004" t="s">
        <v>11</v>
      </c>
      <c r="E1004" t="s">
        <v>3848</v>
      </c>
      <c r="F1004" t="s">
        <v>3849</v>
      </c>
      <c r="G1004" t="s">
        <v>1911</v>
      </c>
      <c r="H1004" t="s">
        <v>21</v>
      </c>
      <c r="I1004">
        <v>92083</v>
      </c>
    </row>
    <row r="1005" spans="1:9" x14ac:dyDescent="0.3">
      <c r="A1005">
        <v>1004</v>
      </c>
      <c r="B1005" t="s">
        <v>3850</v>
      </c>
      <c r="C1005" t="s">
        <v>2990</v>
      </c>
      <c r="D1005" t="s">
        <v>11</v>
      </c>
      <c r="E1005" t="s">
        <v>3851</v>
      </c>
      <c r="F1005" t="s">
        <v>3852</v>
      </c>
      <c r="G1005" t="s">
        <v>272</v>
      </c>
      <c r="H1005" t="s">
        <v>15</v>
      </c>
      <c r="I1005">
        <v>11369</v>
      </c>
    </row>
    <row r="1006" spans="1:9" x14ac:dyDescent="0.3">
      <c r="A1006">
        <v>1005</v>
      </c>
      <c r="B1006" t="s">
        <v>3570</v>
      </c>
      <c r="C1006" t="s">
        <v>472</v>
      </c>
      <c r="D1006" t="s">
        <v>11</v>
      </c>
      <c r="E1006" t="s">
        <v>3853</v>
      </c>
      <c r="F1006" t="s">
        <v>3854</v>
      </c>
      <c r="G1006" t="s">
        <v>205</v>
      </c>
      <c r="H1006" t="s">
        <v>15</v>
      </c>
      <c r="I1006">
        <v>11102</v>
      </c>
    </row>
    <row r="1007" spans="1:9" x14ac:dyDescent="0.3">
      <c r="A1007">
        <v>1006</v>
      </c>
      <c r="B1007" t="s">
        <v>3855</v>
      </c>
      <c r="C1007" t="s">
        <v>3856</v>
      </c>
      <c r="D1007" t="s">
        <v>11</v>
      </c>
      <c r="E1007" t="s">
        <v>3857</v>
      </c>
      <c r="F1007" t="s">
        <v>3858</v>
      </c>
      <c r="G1007" t="s">
        <v>877</v>
      </c>
      <c r="H1007" t="s">
        <v>21</v>
      </c>
      <c r="I1007">
        <v>92307</v>
      </c>
    </row>
    <row r="1008" spans="1:9" x14ac:dyDescent="0.3">
      <c r="A1008">
        <v>1007</v>
      </c>
      <c r="B1008" t="s">
        <v>3859</v>
      </c>
      <c r="C1008" t="s">
        <v>3299</v>
      </c>
      <c r="D1008" t="s">
        <v>11</v>
      </c>
      <c r="E1008" t="s">
        <v>3860</v>
      </c>
      <c r="F1008" t="s">
        <v>3861</v>
      </c>
      <c r="G1008" t="s">
        <v>596</v>
      </c>
      <c r="H1008" t="s">
        <v>15</v>
      </c>
      <c r="I1008">
        <v>11414</v>
      </c>
    </row>
    <row r="1009" spans="1:9" x14ac:dyDescent="0.3">
      <c r="A1009">
        <v>1008</v>
      </c>
      <c r="B1009" t="s">
        <v>3862</v>
      </c>
      <c r="C1009" t="s">
        <v>1688</v>
      </c>
      <c r="D1009" t="s">
        <v>11</v>
      </c>
      <c r="E1009" t="s">
        <v>3863</v>
      </c>
      <c r="F1009" t="s">
        <v>3864</v>
      </c>
      <c r="G1009" t="s">
        <v>85</v>
      </c>
      <c r="H1009" t="s">
        <v>80</v>
      </c>
      <c r="I1009">
        <v>75126</v>
      </c>
    </row>
    <row r="1010" spans="1:9" x14ac:dyDescent="0.3">
      <c r="A1010">
        <v>1009</v>
      </c>
      <c r="B1010" t="s">
        <v>3865</v>
      </c>
      <c r="C1010" t="s">
        <v>3866</v>
      </c>
      <c r="D1010" t="s">
        <v>11</v>
      </c>
      <c r="E1010" t="s">
        <v>3867</v>
      </c>
      <c r="F1010" t="s">
        <v>3868</v>
      </c>
      <c r="G1010" t="s">
        <v>1622</v>
      </c>
      <c r="H1010" t="s">
        <v>15</v>
      </c>
      <c r="I1010">
        <v>11422</v>
      </c>
    </row>
    <row r="1011" spans="1:9" x14ac:dyDescent="0.3">
      <c r="A1011">
        <v>1010</v>
      </c>
      <c r="B1011" t="s">
        <v>3869</v>
      </c>
      <c r="C1011" t="s">
        <v>292</v>
      </c>
      <c r="D1011" t="s">
        <v>11</v>
      </c>
      <c r="E1011" t="s">
        <v>3870</v>
      </c>
      <c r="F1011" t="s">
        <v>3871</v>
      </c>
      <c r="G1011" t="s">
        <v>242</v>
      </c>
      <c r="H1011" t="s">
        <v>15</v>
      </c>
      <c r="I1011">
        <v>11714</v>
      </c>
    </row>
    <row r="1012" spans="1:9" x14ac:dyDescent="0.3">
      <c r="A1012">
        <v>1011</v>
      </c>
      <c r="B1012" t="s">
        <v>2876</v>
      </c>
      <c r="C1012" t="s">
        <v>3872</v>
      </c>
      <c r="D1012" t="s">
        <v>11</v>
      </c>
      <c r="E1012" t="s">
        <v>3873</v>
      </c>
      <c r="F1012" t="s">
        <v>3874</v>
      </c>
      <c r="G1012" t="s">
        <v>338</v>
      </c>
      <c r="H1012" t="s">
        <v>80</v>
      </c>
      <c r="I1012">
        <v>75043</v>
      </c>
    </row>
    <row r="1013" spans="1:9" x14ac:dyDescent="0.3">
      <c r="A1013">
        <v>1012</v>
      </c>
      <c r="B1013" t="s">
        <v>3875</v>
      </c>
      <c r="C1013" t="s">
        <v>3876</v>
      </c>
      <c r="D1013" t="s">
        <v>11</v>
      </c>
      <c r="E1013" t="s">
        <v>3877</v>
      </c>
      <c r="F1013" t="s">
        <v>3878</v>
      </c>
      <c r="G1013" t="s">
        <v>190</v>
      </c>
      <c r="H1013" t="s">
        <v>15</v>
      </c>
      <c r="I1013">
        <v>13027</v>
      </c>
    </row>
    <row r="1014" spans="1:9" x14ac:dyDescent="0.3">
      <c r="A1014">
        <v>1013</v>
      </c>
      <c r="B1014" t="s">
        <v>3879</v>
      </c>
      <c r="C1014" t="s">
        <v>1093</v>
      </c>
      <c r="D1014" t="s">
        <v>11</v>
      </c>
      <c r="E1014" t="s">
        <v>3880</v>
      </c>
      <c r="F1014" t="s">
        <v>3881</v>
      </c>
      <c r="G1014" t="s">
        <v>2078</v>
      </c>
      <c r="H1014" t="s">
        <v>15</v>
      </c>
      <c r="I1014">
        <v>11368</v>
      </c>
    </row>
    <row r="1015" spans="1:9" x14ac:dyDescent="0.3">
      <c r="A1015">
        <v>1014</v>
      </c>
      <c r="B1015" t="s">
        <v>3882</v>
      </c>
      <c r="C1015" t="s">
        <v>60</v>
      </c>
      <c r="D1015" t="s">
        <v>11</v>
      </c>
      <c r="E1015" t="s">
        <v>3883</v>
      </c>
      <c r="F1015" t="s">
        <v>3884</v>
      </c>
      <c r="G1015" t="s">
        <v>2148</v>
      </c>
      <c r="H1015" t="s">
        <v>15</v>
      </c>
      <c r="I1015">
        <v>11419</v>
      </c>
    </row>
    <row r="1016" spans="1:9" x14ac:dyDescent="0.3">
      <c r="A1016">
        <v>1015</v>
      </c>
      <c r="B1016" t="s">
        <v>498</v>
      </c>
      <c r="C1016" t="s">
        <v>1559</v>
      </c>
      <c r="D1016" t="s">
        <v>11</v>
      </c>
      <c r="E1016" t="s">
        <v>3885</v>
      </c>
      <c r="F1016" t="s">
        <v>3886</v>
      </c>
      <c r="G1016" t="s">
        <v>1202</v>
      </c>
      <c r="H1016" t="s">
        <v>15</v>
      </c>
      <c r="I1016">
        <v>11530</v>
      </c>
    </row>
    <row r="1017" spans="1:9" x14ac:dyDescent="0.3">
      <c r="A1017">
        <v>1016</v>
      </c>
      <c r="B1017" t="s">
        <v>3887</v>
      </c>
      <c r="C1017" t="s">
        <v>3888</v>
      </c>
      <c r="D1017" t="s">
        <v>3889</v>
      </c>
      <c r="E1017" t="s">
        <v>3890</v>
      </c>
      <c r="F1017" t="s">
        <v>3891</v>
      </c>
      <c r="G1017" t="s">
        <v>96</v>
      </c>
      <c r="H1017" t="s">
        <v>15</v>
      </c>
      <c r="I1017">
        <v>10002</v>
      </c>
    </row>
    <row r="1018" spans="1:9" x14ac:dyDescent="0.3">
      <c r="A1018">
        <v>1017</v>
      </c>
      <c r="B1018" t="s">
        <v>3892</v>
      </c>
      <c r="C1018" t="s">
        <v>715</v>
      </c>
      <c r="D1018" t="s">
        <v>3893</v>
      </c>
      <c r="E1018" t="s">
        <v>3894</v>
      </c>
      <c r="F1018" t="s">
        <v>3895</v>
      </c>
      <c r="G1018" t="s">
        <v>171</v>
      </c>
      <c r="H1018" t="s">
        <v>21</v>
      </c>
      <c r="I1018">
        <v>94603</v>
      </c>
    </row>
    <row r="1019" spans="1:9" x14ac:dyDescent="0.3">
      <c r="A1019">
        <v>1018</v>
      </c>
      <c r="B1019" t="s">
        <v>3896</v>
      </c>
      <c r="C1019" t="s">
        <v>1167</v>
      </c>
      <c r="D1019" t="s">
        <v>11</v>
      </c>
      <c r="E1019" t="s">
        <v>3897</v>
      </c>
      <c r="F1019" t="s">
        <v>3898</v>
      </c>
      <c r="G1019" t="s">
        <v>200</v>
      </c>
      <c r="H1019" t="s">
        <v>15</v>
      </c>
      <c r="I1019">
        <v>11378</v>
      </c>
    </row>
    <row r="1020" spans="1:9" x14ac:dyDescent="0.3">
      <c r="A1020">
        <v>1019</v>
      </c>
      <c r="B1020" t="s">
        <v>3899</v>
      </c>
      <c r="C1020" t="s">
        <v>1871</v>
      </c>
      <c r="D1020" t="s">
        <v>11</v>
      </c>
      <c r="E1020" t="s">
        <v>3900</v>
      </c>
      <c r="F1020" t="s">
        <v>3901</v>
      </c>
      <c r="G1020" t="s">
        <v>524</v>
      </c>
      <c r="H1020" t="s">
        <v>15</v>
      </c>
      <c r="I1020">
        <v>11373</v>
      </c>
    </row>
    <row r="1021" spans="1:9" x14ac:dyDescent="0.3">
      <c r="A1021">
        <v>1020</v>
      </c>
      <c r="B1021" t="s">
        <v>3902</v>
      </c>
      <c r="C1021" t="s">
        <v>1229</v>
      </c>
      <c r="D1021" t="s">
        <v>11</v>
      </c>
      <c r="E1021" t="s">
        <v>3903</v>
      </c>
      <c r="F1021" t="s">
        <v>3904</v>
      </c>
      <c r="G1021" t="s">
        <v>309</v>
      </c>
      <c r="H1021" t="s">
        <v>21</v>
      </c>
      <c r="I1021">
        <v>94070</v>
      </c>
    </row>
    <row r="1022" spans="1:9" x14ac:dyDescent="0.3">
      <c r="A1022">
        <v>1021</v>
      </c>
      <c r="B1022" t="s">
        <v>3905</v>
      </c>
      <c r="C1022" t="s">
        <v>3403</v>
      </c>
      <c r="D1022" t="s">
        <v>11</v>
      </c>
      <c r="E1022" t="s">
        <v>3906</v>
      </c>
      <c r="F1022" t="s">
        <v>3907</v>
      </c>
      <c r="G1022" t="s">
        <v>682</v>
      </c>
      <c r="H1022" t="s">
        <v>15</v>
      </c>
      <c r="I1022">
        <v>11412</v>
      </c>
    </row>
    <row r="1023" spans="1:9" x14ac:dyDescent="0.3">
      <c r="A1023">
        <v>1022</v>
      </c>
      <c r="B1023" t="s">
        <v>3908</v>
      </c>
      <c r="C1023" t="s">
        <v>660</v>
      </c>
      <c r="D1023" t="s">
        <v>11</v>
      </c>
      <c r="E1023" t="s">
        <v>3909</v>
      </c>
      <c r="F1023" t="s">
        <v>3910</v>
      </c>
      <c r="G1023" t="s">
        <v>140</v>
      </c>
      <c r="H1023" t="s">
        <v>15</v>
      </c>
      <c r="I1023">
        <v>10541</v>
      </c>
    </row>
    <row r="1024" spans="1:9" x14ac:dyDescent="0.3">
      <c r="A1024">
        <v>1023</v>
      </c>
      <c r="B1024" t="s">
        <v>3911</v>
      </c>
      <c r="C1024" t="s">
        <v>3912</v>
      </c>
      <c r="D1024" t="s">
        <v>11</v>
      </c>
      <c r="E1024" t="s">
        <v>3913</v>
      </c>
      <c r="F1024" t="s">
        <v>3914</v>
      </c>
      <c r="G1024" t="s">
        <v>938</v>
      </c>
      <c r="H1024" t="s">
        <v>15</v>
      </c>
      <c r="I1024">
        <v>12020</v>
      </c>
    </row>
    <row r="1025" spans="1:9" x14ac:dyDescent="0.3">
      <c r="A1025">
        <v>1024</v>
      </c>
      <c r="B1025" t="s">
        <v>3915</v>
      </c>
      <c r="C1025" t="s">
        <v>637</v>
      </c>
      <c r="D1025" t="s">
        <v>3916</v>
      </c>
      <c r="E1025" t="s">
        <v>3917</v>
      </c>
      <c r="F1025" t="s">
        <v>3918</v>
      </c>
      <c r="G1025" t="s">
        <v>1145</v>
      </c>
      <c r="H1025" t="s">
        <v>80</v>
      </c>
      <c r="I1025">
        <v>79930</v>
      </c>
    </row>
    <row r="1026" spans="1:9" x14ac:dyDescent="0.3">
      <c r="A1026">
        <v>1025</v>
      </c>
      <c r="B1026" t="s">
        <v>3919</v>
      </c>
      <c r="C1026" t="s">
        <v>2716</v>
      </c>
      <c r="D1026" t="s">
        <v>11</v>
      </c>
      <c r="E1026" t="s">
        <v>3920</v>
      </c>
      <c r="F1026" t="s">
        <v>3921</v>
      </c>
      <c r="G1026" t="s">
        <v>460</v>
      </c>
      <c r="H1026" t="s">
        <v>15</v>
      </c>
      <c r="I1026">
        <v>11735</v>
      </c>
    </row>
    <row r="1027" spans="1:9" x14ac:dyDescent="0.3">
      <c r="A1027">
        <v>1026</v>
      </c>
      <c r="B1027" t="s">
        <v>2304</v>
      </c>
      <c r="C1027" t="s">
        <v>820</v>
      </c>
      <c r="D1027" t="s">
        <v>11</v>
      </c>
      <c r="E1027" t="s">
        <v>3922</v>
      </c>
      <c r="F1027" t="s">
        <v>3923</v>
      </c>
      <c r="G1027" t="s">
        <v>2890</v>
      </c>
      <c r="H1027" t="s">
        <v>15</v>
      </c>
      <c r="I1027">
        <v>13760</v>
      </c>
    </row>
    <row r="1028" spans="1:9" x14ac:dyDescent="0.3">
      <c r="A1028">
        <v>1027</v>
      </c>
      <c r="B1028" t="s">
        <v>3924</v>
      </c>
      <c r="C1028" t="s">
        <v>3925</v>
      </c>
      <c r="D1028" t="s">
        <v>11</v>
      </c>
      <c r="E1028" t="s">
        <v>3926</v>
      </c>
      <c r="F1028" t="s">
        <v>3927</v>
      </c>
      <c r="G1028" t="s">
        <v>682</v>
      </c>
      <c r="H1028" t="s">
        <v>15</v>
      </c>
      <c r="I1028">
        <v>11412</v>
      </c>
    </row>
    <row r="1029" spans="1:9" x14ac:dyDescent="0.3">
      <c r="A1029">
        <v>1028</v>
      </c>
      <c r="B1029" t="s">
        <v>3928</v>
      </c>
      <c r="C1029" t="s">
        <v>404</v>
      </c>
      <c r="D1029" t="s">
        <v>11</v>
      </c>
      <c r="E1029" t="s">
        <v>3929</v>
      </c>
      <c r="F1029" t="s">
        <v>3930</v>
      </c>
      <c r="G1029" t="s">
        <v>106</v>
      </c>
      <c r="H1029" t="s">
        <v>15</v>
      </c>
      <c r="I1029">
        <v>14424</v>
      </c>
    </row>
    <row r="1030" spans="1:9" x14ac:dyDescent="0.3">
      <c r="A1030">
        <v>1029</v>
      </c>
      <c r="B1030" t="s">
        <v>3931</v>
      </c>
      <c r="C1030" t="s">
        <v>223</v>
      </c>
      <c r="D1030" t="s">
        <v>11</v>
      </c>
      <c r="E1030" t="s">
        <v>3932</v>
      </c>
      <c r="F1030" t="s">
        <v>3933</v>
      </c>
      <c r="G1030" t="s">
        <v>348</v>
      </c>
      <c r="H1030" t="s">
        <v>80</v>
      </c>
      <c r="I1030">
        <v>75088</v>
      </c>
    </row>
    <row r="1031" spans="1:9" x14ac:dyDescent="0.3">
      <c r="A1031">
        <v>1030</v>
      </c>
      <c r="B1031" t="s">
        <v>3934</v>
      </c>
      <c r="C1031" t="s">
        <v>1037</v>
      </c>
      <c r="D1031" t="s">
        <v>11</v>
      </c>
      <c r="E1031" t="s">
        <v>3935</v>
      </c>
      <c r="F1031" t="s">
        <v>3936</v>
      </c>
      <c r="G1031" t="s">
        <v>962</v>
      </c>
      <c r="H1031" t="s">
        <v>15</v>
      </c>
      <c r="I1031">
        <v>11201</v>
      </c>
    </row>
    <row r="1032" spans="1:9" x14ac:dyDescent="0.3">
      <c r="A1032">
        <v>1031</v>
      </c>
      <c r="B1032" t="s">
        <v>3651</v>
      </c>
      <c r="C1032" t="s">
        <v>39</v>
      </c>
      <c r="D1032" t="s">
        <v>11</v>
      </c>
      <c r="E1032" t="s">
        <v>3937</v>
      </c>
      <c r="F1032" t="s">
        <v>3938</v>
      </c>
      <c r="G1032" t="s">
        <v>42</v>
      </c>
      <c r="H1032" t="s">
        <v>15</v>
      </c>
      <c r="I1032">
        <v>14450</v>
      </c>
    </row>
    <row r="1033" spans="1:9" x14ac:dyDescent="0.3">
      <c r="A1033">
        <v>1032</v>
      </c>
      <c r="B1033" t="s">
        <v>3939</v>
      </c>
      <c r="C1033" t="s">
        <v>3192</v>
      </c>
      <c r="D1033" t="s">
        <v>11</v>
      </c>
      <c r="E1033" t="s">
        <v>3940</v>
      </c>
      <c r="F1033" t="s">
        <v>3941</v>
      </c>
      <c r="G1033" t="s">
        <v>425</v>
      </c>
      <c r="H1033" t="s">
        <v>15</v>
      </c>
      <c r="I1033">
        <v>11746</v>
      </c>
    </row>
    <row r="1034" spans="1:9" x14ac:dyDescent="0.3">
      <c r="A1034">
        <v>1033</v>
      </c>
      <c r="B1034" t="s">
        <v>3942</v>
      </c>
      <c r="C1034" t="s">
        <v>3281</v>
      </c>
      <c r="D1034" t="s">
        <v>11</v>
      </c>
      <c r="E1034" t="s">
        <v>3943</v>
      </c>
      <c r="F1034" t="s">
        <v>3944</v>
      </c>
      <c r="G1034" t="s">
        <v>1492</v>
      </c>
      <c r="H1034" t="s">
        <v>15</v>
      </c>
      <c r="I1034">
        <v>11375</v>
      </c>
    </row>
    <row r="1035" spans="1:9" x14ac:dyDescent="0.3">
      <c r="A1035">
        <v>1034</v>
      </c>
      <c r="B1035" t="s">
        <v>3945</v>
      </c>
      <c r="C1035" t="s">
        <v>3946</v>
      </c>
      <c r="D1035" t="s">
        <v>11</v>
      </c>
      <c r="E1035" t="s">
        <v>3947</v>
      </c>
      <c r="F1035" t="s">
        <v>3948</v>
      </c>
      <c r="G1035" t="s">
        <v>1310</v>
      </c>
      <c r="H1035" t="s">
        <v>15</v>
      </c>
      <c r="I1035">
        <v>11720</v>
      </c>
    </row>
    <row r="1036" spans="1:9" x14ac:dyDescent="0.3">
      <c r="A1036">
        <v>1035</v>
      </c>
      <c r="B1036" t="s">
        <v>222</v>
      </c>
      <c r="C1036" t="s">
        <v>3949</v>
      </c>
      <c r="D1036" t="s">
        <v>11</v>
      </c>
      <c r="E1036" t="s">
        <v>3950</v>
      </c>
      <c r="F1036" t="s">
        <v>3951</v>
      </c>
      <c r="G1036" t="s">
        <v>20</v>
      </c>
      <c r="H1036" t="s">
        <v>21</v>
      </c>
      <c r="I1036">
        <v>95008</v>
      </c>
    </row>
    <row r="1037" spans="1:9" x14ac:dyDescent="0.3">
      <c r="A1037">
        <v>1036</v>
      </c>
      <c r="B1037" t="s">
        <v>3582</v>
      </c>
      <c r="C1037" t="s">
        <v>2107</v>
      </c>
      <c r="D1037" t="s">
        <v>11</v>
      </c>
      <c r="E1037" t="s">
        <v>3952</v>
      </c>
      <c r="F1037" t="s">
        <v>3953</v>
      </c>
      <c r="G1037" t="s">
        <v>1310</v>
      </c>
      <c r="H1037" t="s">
        <v>15</v>
      </c>
      <c r="I1037">
        <v>11720</v>
      </c>
    </row>
    <row r="1038" spans="1:9" x14ac:dyDescent="0.3">
      <c r="A1038">
        <v>1037</v>
      </c>
      <c r="B1038" t="s">
        <v>394</v>
      </c>
      <c r="C1038" t="s">
        <v>3954</v>
      </c>
      <c r="D1038" t="s">
        <v>11</v>
      </c>
      <c r="E1038" t="s">
        <v>3955</v>
      </c>
      <c r="F1038" t="s">
        <v>3956</v>
      </c>
      <c r="G1038" t="s">
        <v>1968</v>
      </c>
      <c r="H1038" t="s">
        <v>15</v>
      </c>
      <c r="I1038">
        <v>10954</v>
      </c>
    </row>
    <row r="1039" spans="1:9" x14ac:dyDescent="0.3">
      <c r="A1039">
        <v>1038</v>
      </c>
      <c r="B1039" t="s">
        <v>81</v>
      </c>
      <c r="C1039" t="s">
        <v>1131</v>
      </c>
      <c r="D1039" t="s">
        <v>11</v>
      </c>
      <c r="E1039" t="s">
        <v>3957</v>
      </c>
      <c r="F1039" t="s">
        <v>3958</v>
      </c>
      <c r="G1039" t="s">
        <v>1492</v>
      </c>
      <c r="H1039" t="s">
        <v>15</v>
      </c>
      <c r="I1039">
        <v>11375</v>
      </c>
    </row>
    <row r="1040" spans="1:9" x14ac:dyDescent="0.3">
      <c r="A1040">
        <v>1039</v>
      </c>
      <c r="B1040" t="s">
        <v>3959</v>
      </c>
      <c r="C1040" t="s">
        <v>812</v>
      </c>
      <c r="D1040" t="s">
        <v>11</v>
      </c>
      <c r="E1040" t="s">
        <v>3960</v>
      </c>
      <c r="F1040" t="s">
        <v>3961</v>
      </c>
      <c r="G1040" t="s">
        <v>195</v>
      </c>
      <c r="H1040" t="s">
        <v>15</v>
      </c>
      <c r="I1040">
        <v>13090</v>
      </c>
    </row>
    <row r="1041" spans="1:9" x14ac:dyDescent="0.3">
      <c r="A1041">
        <v>1040</v>
      </c>
      <c r="B1041" t="s">
        <v>3962</v>
      </c>
      <c r="C1041" t="s">
        <v>3954</v>
      </c>
      <c r="D1041" t="s">
        <v>11</v>
      </c>
      <c r="E1041" t="s">
        <v>3963</v>
      </c>
      <c r="F1041" t="s">
        <v>3964</v>
      </c>
      <c r="G1041" t="s">
        <v>120</v>
      </c>
      <c r="H1041" t="s">
        <v>80</v>
      </c>
      <c r="I1041">
        <v>77904</v>
      </c>
    </row>
    <row r="1042" spans="1:9" x14ac:dyDescent="0.3">
      <c r="A1042">
        <v>1041</v>
      </c>
      <c r="B1042" t="s">
        <v>3965</v>
      </c>
      <c r="C1042" t="s">
        <v>82</v>
      </c>
      <c r="D1042" t="s">
        <v>11</v>
      </c>
      <c r="E1042" t="s">
        <v>3966</v>
      </c>
      <c r="F1042" t="s">
        <v>3967</v>
      </c>
      <c r="G1042" t="s">
        <v>430</v>
      </c>
      <c r="H1042" t="s">
        <v>15</v>
      </c>
      <c r="I1042">
        <v>13126</v>
      </c>
    </row>
    <row r="1043" spans="1:9" x14ac:dyDescent="0.3">
      <c r="A1043">
        <v>1042</v>
      </c>
      <c r="B1043" t="s">
        <v>3968</v>
      </c>
      <c r="C1043" t="s">
        <v>44</v>
      </c>
      <c r="D1043" t="s">
        <v>11</v>
      </c>
      <c r="E1043" t="s">
        <v>3969</v>
      </c>
      <c r="F1043" t="s">
        <v>3970</v>
      </c>
      <c r="G1043" t="s">
        <v>237</v>
      </c>
      <c r="H1043" t="s">
        <v>15</v>
      </c>
      <c r="I1043">
        <v>11003</v>
      </c>
    </row>
    <row r="1044" spans="1:9" x14ac:dyDescent="0.3">
      <c r="A1044">
        <v>1043</v>
      </c>
      <c r="B1044" t="s">
        <v>3971</v>
      </c>
      <c r="C1044" t="s">
        <v>3972</v>
      </c>
      <c r="D1044" t="s">
        <v>11</v>
      </c>
      <c r="E1044" t="s">
        <v>3973</v>
      </c>
      <c r="F1044" t="s">
        <v>3974</v>
      </c>
      <c r="G1044" t="s">
        <v>2529</v>
      </c>
      <c r="H1044" t="s">
        <v>15</v>
      </c>
      <c r="I1044">
        <v>11365</v>
      </c>
    </row>
    <row r="1045" spans="1:9" x14ac:dyDescent="0.3">
      <c r="A1045">
        <v>1044</v>
      </c>
      <c r="B1045" t="s">
        <v>3975</v>
      </c>
      <c r="C1045" t="s">
        <v>3976</v>
      </c>
      <c r="D1045" t="s">
        <v>11</v>
      </c>
      <c r="E1045" t="s">
        <v>3977</v>
      </c>
      <c r="F1045" t="s">
        <v>3978</v>
      </c>
      <c r="G1045" t="s">
        <v>1622</v>
      </c>
      <c r="H1045" t="s">
        <v>15</v>
      </c>
      <c r="I1045">
        <v>11422</v>
      </c>
    </row>
    <row r="1046" spans="1:9" x14ac:dyDescent="0.3">
      <c r="A1046">
        <v>1045</v>
      </c>
      <c r="B1046" t="s">
        <v>3979</v>
      </c>
      <c r="C1046" t="s">
        <v>3980</v>
      </c>
      <c r="D1046" t="s">
        <v>11</v>
      </c>
      <c r="E1046" t="s">
        <v>3981</v>
      </c>
      <c r="F1046" t="s">
        <v>3982</v>
      </c>
      <c r="G1046" t="s">
        <v>1911</v>
      </c>
      <c r="H1046" t="s">
        <v>21</v>
      </c>
      <c r="I1046">
        <v>92083</v>
      </c>
    </row>
    <row r="1047" spans="1:9" x14ac:dyDescent="0.3">
      <c r="A1047">
        <v>1046</v>
      </c>
      <c r="B1047" t="s">
        <v>3983</v>
      </c>
      <c r="C1047" t="s">
        <v>192</v>
      </c>
      <c r="D1047" t="s">
        <v>11</v>
      </c>
      <c r="E1047" t="s">
        <v>3984</v>
      </c>
      <c r="F1047" t="s">
        <v>3985</v>
      </c>
      <c r="G1047" t="s">
        <v>106</v>
      </c>
      <c r="H1047" t="s">
        <v>15</v>
      </c>
      <c r="I1047">
        <v>14424</v>
      </c>
    </row>
    <row r="1048" spans="1:9" x14ac:dyDescent="0.3">
      <c r="A1048">
        <v>1047</v>
      </c>
      <c r="B1048" t="s">
        <v>161</v>
      </c>
      <c r="C1048" t="s">
        <v>812</v>
      </c>
      <c r="D1048" t="s">
        <v>11</v>
      </c>
      <c r="E1048" t="s">
        <v>3986</v>
      </c>
      <c r="F1048" t="s">
        <v>3987</v>
      </c>
      <c r="G1048" t="s">
        <v>524</v>
      </c>
      <c r="H1048" t="s">
        <v>15</v>
      </c>
      <c r="I1048">
        <v>11373</v>
      </c>
    </row>
    <row r="1049" spans="1:9" x14ac:dyDescent="0.3">
      <c r="A1049">
        <v>1048</v>
      </c>
      <c r="B1049" t="s">
        <v>3988</v>
      </c>
      <c r="C1049" t="s">
        <v>1389</v>
      </c>
      <c r="D1049" t="s">
        <v>11</v>
      </c>
      <c r="E1049" t="s">
        <v>3989</v>
      </c>
      <c r="F1049" t="s">
        <v>3990</v>
      </c>
      <c r="G1049" t="s">
        <v>877</v>
      </c>
      <c r="H1049" t="s">
        <v>21</v>
      </c>
      <c r="I1049">
        <v>92307</v>
      </c>
    </row>
    <row r="1050" spans="1:9" x14ac:dyDescent="0.3">
      <c r="A1050">
        <v>1049</v>
      </c>
      <c r="B1050" t="s">
        <v>3991</v>
      </c>
      <c r="C1050" t="s">
        <v>1974</v>
      </c>
      <c r="D1050" t="s">
        <v>11</v>
      </c>
      <c r="E1050" t="s">
        <v>3992</v>
      </c>
      <c r="F1050" t="s">
        <v>3993</v>
      </c>
      <c r="G1050" t="s">
        <v>2552</v>
      </c>
      <c r="H1050" t="s">
        <v>15</v>
      </c>
      <c r="I1050">
        <v>12065</v>
      </c>
    </row>
    <row r="1051" spans="1:9" x14ac:dyDescent="0.3">
      <c r="A1051">
        <v>1050</v>
      </c>
      <c r="B1051" t="s">
        <v>3994</v>
      </c>
      <c r="C1051" t="s">
        <v>1756</v>
      </c>
      <c r="D1051" t="s">
        <v>11</v>
      </c>
      <c r="E1051" t="s">
        <v>3995</v>
      </c>
      <c r="F1051" t="s">
        <v>3996</v>
      </c>
      <c r="G1051" t="s">
        <v>1750</v>
      </c>
      <c r="H1051" t="s">
        <v>15</v>
      </c>
      <c r="I1051">
        <v>11967</v>
      </c>
    </row>
    <row r="1052" spans="1:9" x14ac:dyDescent="0.3">
      <c r="A1052">
        <v>1051</v>
      </c>
      <c r="B1052" t="s">
        <v>3997</v>
      </c>
      <c r="C1052" t="s">
        <v>2095</v>
      </c>
      <c r="D1052" t="s">
        <v>11</v>
      </c>
      <c r="E1052" t="s">
        <v>3998</v>
      </c>
      <c r="F1052" t="s">
        <v>3999</v>
      </c>
      <c r="G1052" t="s">
        <v>425</v>
      </c>
      <c r="H1052" t="s">
        <v>15</v>
      </c>
      <c r="I1052">
        <v>11746</v>
      </c>
    </row>
    <row r="1053" spans="1:9" x14ac:dyDescent="0.3">
      <c r="A1053">
        <v>1052</v>
      </c>
      <c r="B1053" t="s">
        <v>4000</v>
      </c>
      <c r="C1053" t="s">
        <v>2938</v>
      </c>
      <c r="D1053" t="s">
        <v>4001</v>
      </c>
      <c r="E1053" t="s">
        <v>4002</v>
      </c>
      <c r="F1053" t="s">
        <v>4003</v>
      </c>
      <c r="G1053" t="s">
        <v>37</v>
      </c>
      <c r="H1053" t="s">
        <v>21</v>
      </c>
      <c r="I1053">
        <v>95820</v>
      </c>
    </row>
    <row r="1054" spans="1:9" x14ac:dyDescent="0.3">
      <c r="A1054">
        <v>1053</v>
      </c>
      <c r="B1054" t="s">
        <v>4004</v>
      </c>
      <c r="C1054" t="s">
        <v>3373</v>
      </c>
      <c r="D1054" t="s">
        <v>11</v>
      </c>
      <c r="E1054" t="s">
        <v>4005</v>
      </c>
      <c r="F1054" t="s">
        <v>4006</v>
      </c>
      <c r="G1054" t="s">
        <v>140</v>
      </c>
      <c r="H1054" t="s">
        <v>15</v>
      </c>
      <c r="I1054">
        <v>10541</v>
      </c>
    </row>
    <row r="1055" spans="1:9" x14ac:dyDescent="0.3">
      <c r="A1055">
        <v>1054</v>
      </c>
      <c r="B1055" t="s">
        <v>4007</v>
      </c>
      <c r="C1055" t="s">
        <v>4008</v>
      </c>
      <c r="D1055" t="s">
        <v>11</v>
      </c>
      <c r="E1055" t="s">
        <v>4009</v>
      </c>
      <c r="F1055" t="s">
        <v>4010</v>
      </c>
      <c r="G1055" t="s">
        <v>338</v>
      </c>
      <c r="H1055" t="s">
        <v>80</v>
      </c>
      <c r="I1055">
        <v>75043</v>
      </c>
    </row>
    <row r="1056" spans="1:9" x14ac:dyDescent="0.3">
      <c r="A1056">
        <v>1055</v>
      </c>
      <c r="B1056" t="s">
        <v>4011</v>
      </c>
      <c r="C1056" t="s">
        <v>4012</v>
      </c>
      <c r="D1056" t="s">
        <v>11</v>
      </c>
      <c r="E1056" t="s">
        <v>4013</v>
      </c>
      <c r="F1056" t="s">
        <v>4014</v>
      </c>
      <c r="G1056" t="s">
        <v>200</v>
      </c>
      <c r="H1056" t="s">
        <v>15</v>
      </c>
      <c r="I1056">
        <v>11378</v>
      </c>
    </row>
    <row r="1057" spans="1:9" x14ac:dyDescent="0.3">
      <c r="A1057">
        <v>1056</v>
      </c>
      <c r="B1057" t="s">
        <v>4015</v>
      </c>
      <c r="C1057" t="s">
        <v>82</v>
      </c>
      <c r="D1057" t="s">
        <v>11</v>
      </c>
      <c r="E1057" t="s">
        <v>4016</v>
      </c>
      <c r="F1057" t="s">
        <v>4017</v>
      </c>
      <c r="G1057" t="s">
        <v>1505</v>
      </c>
      <c r="H1057" t="s">
        <v>15</v>
      </c>
      <c r="I1057">
        <v>10550</v>
      </c>
    </row>
    <row r="1058" spans="1:9" x14ac:dyDescent="0.3">
      <c r="A1058">
        <v>1057</v>
      </c>
      <c r="B1058" t="s">
        <v>4018</v>
      </c>
      <c r="C1058" t="s">
        <v>4019</v>
      </c>
      <c r="D1058" t="s">
        <v>11</v>
      </c>
      <c r="E1058" t="s">
        <v>4020</v>
      </c>
      <c r="F1058" t="s">
        <v>4021</v>
      </c>
      <c r="G1058" t="s">
        <v>1505</v>
      </c>
      <c r="H1058" t="s">
        <v>15</v>
      </c>
      <c r="I1058">
        <v>10550</v>
      </c>
    </row>
    <row r="1059" spans="1:9" x14ac:dyDescent="0.3">
      <c r="A1059">
        <v>1058</v>
      </c>
      <c r="B1059" t="s">
        <v>4022</v>
      </c>
      <c r="C1059" t="s">
        <v>590</v>
      </c>
      <c r="D1059" t="s">
        <v>11</v>
      </c>
      <c r="E1059" t="s">
        <v>4023</v>
      </c>
      <c r="F1059" t="s">
        <v>4024</v>
      </c>
      <c r="G1059" t="s">
        <v>864</v>
      </c>
      <c r="H1059" t="s">
        <v>15</v>
      </c>
      <c r="I1059">
        <v>14580</v>
      </c>
    </row>
    <row r="1060" spans="1:9" x14ac:dyDescent="0.3">
      <c r="A1060">
        <v>1059</v>
      </c>
      <c r="B1060" t="s">
        <v>4025</v>
      </c>
      <c r="C1060" t="s">
        <v>2842</v>
      </c>
      <c r="D1060" t="s">
        <v>11</v>
      </c>
      <c r="E1060" t="s">
        <v>4026</v>
      </c>
      <c r="F1060" t="s">
        <v>4027</v>
      </c>
      <c r="G1060" t="s">
        <v>125</v>
      </c>
      <c r="H1060" t="s">
        <v>15</v>
      </c>
      <c r="I1060">
        <v>11731</v>
      </c>
    </row>
    <row r="1061" spans="1:9" x14ac:dyDescent="0.3">
      <c r="A1061">
        <v>1060</v>
      </c>
      <c r="B1061" t="s">
        <v>339</v>
      </c>
      <c r="C1061" t="s">
        <v>3866</v>
      </c>
      <c r="D1061" t="s">
        <v>4028</v>
      </c>
      <c r="E1061" t="s">
        <v>4029</v>
      </c>
      <c r="F1061" t="s">
        <v>4030</v>
      </c>
      <c r="G1061" t="s">
        <v>211</v>
      </c>
      <c r="H1061" t="s">
        <v>15</v>
      </c>
      <c r="I1061">
        <v>14086</v>
      </c>
    </row>
    <row r="1062" spans="1:9" x14ac:dyDescent="0.3">
      <c r="A1062">
        <v>1061</v>
      </c>
      <c r="B1062" t="s">
        <v>4031</v>
      </c>
      <c r="C1062" t="s">
        <v>1306</v>
      </c>
      <c r="D1062" t="s">
        <v>11</v>
      </c>
      <c r="E1062" t="s">
        <v>4032</v>
      </c>
      <c r="F1062" t="s">
        <v>4033</v>
      </c>
      <c r="G1062" t="s">
        <v>570</v>
      </c>
      <c r="H1062" t="s">
        <v>80</v>
      </c>
      <c r="I1062">
        <v>76039</v>
      </c>
    </row>
    <row r="1063" spans="1:9" x14ac:dyDescent="0.3">
      <c r="A1063">
        <v>1062</v>
      </c>
      <c r="B1063" t="s">
        <v>4034</v>
      </c>
      <c r="C1063" t="s">
        <v>4035</v>
      </c>
      <c r="D1063" t="s">
        <v>11</v>
      </c>
      <c r="E1063" t="s">
        <v>4036</v>
      </c>
      <c r="F1063" t="s">
        <v>4037</v>
      </c>
      <c r="G1063" t="s">
        <v>1762</v>
      </c>
      <c r="H1063" t="s">
        <v>15</v>
      </c>
      <c r="I1063">
        <v>10512</v>
      </c>
    </row>
    <row r="1064" spans="1:9" x14ac:dyDescent="0.3">
      <c r="A1064">
        <v>1063</v>
      </c>
      <c r="B1064" t="s">
        <v>4038</v>
      </c>
      <c r="C1064" t="s">
        <v>2223</v>
      </c>
      <c r="D1064" t="s">
        <v>11</v>
      </c>
      <c r="E1064" t="s">
        <v>4039</v>
      </c>
      <c r="F1064" t="s">
        <v>4040</v>
      </c>
      <c r="G1064" t="s">
        <v>2037</v>
      </c>
      <c r="H1064" t="s">
        <v>80</v>
      </c>
      <c r="I1064">
        <v>77566</v>
      </c>
    </row>
    <row r="1065" spans="1:9" x14ac:dyDescent="0.3">
      <c r="A1065">
        <v>1064</v>
      </c>
      <c r="B1065" t="s">
        <v>4041</v>
      </c>
      <c r="C1065" t="s">
        <v>4042</v>
      </c>
      <c r="D1065" t="s">
        <v>11</v>
      </c>
      <c r="E1065" t="s">
        <v>4043</v>
      </c>
      <c r="F1065" t="s">
        <v>4044</v>
      </c>
      <c r="G1065" t="s">
        <v>348</v>
      </c>
      <c r="H1065" t="s">
        <v>80</v>
      </c>
      <c r="I1065">
        <v>75088</v>
      </c>
    </row>
    <row r="1066" spans="1:9" x14ac:dyDescent="0.3">
      <c r="A1066">
        <v>1065</v>
      </c>
      <c r="B1066" t="s">
        <v>4045</v>
      </c>
      <c r="C1066" t="s">
        <v>87</v>
      </c>
      <c r="D1066" t="s">
        <v>11</v>
      </c>
      <c r="E1066" t="s">
        <v>4046</v>
      </c>
      <c r="F1066" t="s">
        <v>4047</v>
      </c>
      <c r="G1066" t="s">
        <v>251</v>
      </c>
      <c r="H1066" t="s">
        <v>21</v>
      </c>
      <c r="I1066">
        <v>94580</v>
      </c>
    </row>
    <row r="1067" spans="1:9" x14ac:dyDescent="0.3">
      <c r="A1067">
        <v>1066</v>
      </c>
      <c r="B1067" t="s">
        <v>4048</v>
      </c>
      <c r="C1067" t="s">
        <v>50</v>
      </c>
      <c r="D1067" t="s">
        <v>4049</v>
      </c>
      <c r="E1067" t="s">
        <v>4050</v>
      </c>
      <c r="F1067" t="s">
        <v>4051</v>
      </c>
      <c r="G1067" t="s">
        <v>545</v>
      </c>
      <c r="H1067" t="s">
        <v>21</v>
      </c>
      <c r="I1067">
        <v>92806</v>
      </c>
    </row>
    <row r="1068" spans="1:9" x14ac:dyDescent="0.3">
      <c r="A1068">
        <v>1067</v>
      </c>
      <c r="B1068" t="s">
        <v>4052</v>
      </c>
      <c r="C1068" t="s">
        <v>4053</v>
      </c>
      <c r="D1068" t="s">
        <v>11</v>
      </c>
      <c r="E1068" t="s">
        <v>4054</v>
      </c>
      <c r="F1068" t="s">
        <v>4055</v>
      </c>
      <c r="G1068" t="s">
        <v>920</v>
      </c>
      <c r="H1068" t="s">
        <v>15</v>
      </c>
      <c r="I1068">
        <v>11374</v>
      </c>
    </row>
    <row r="1069" spans="1:9" x14ac:dyDescent="0.3">
      <c r="A1069">
        <v>1068</v>
      </c>
      <c r="B1069" t="s">
        <v>4056</v>
      </c>
      <c r="C1069" t="s">
        <v>4057</v>
      </c>
      <c r="D1069" t="s">
        <v>11</v>
      </c>
      <c r="E1069" t="s">
        <v>4058</v>
      </c>
      <c r="F1069" t="s">
        <v>4059</v>
      </c>
      <c r="G1069" t="s">
        <v>435</v>
      </c>
      <c r="H1069" t="s">
        <v>21</v>
      </c>
      <c r="I1069">
        <v>91010</v>
      </c>
    </row>
    <row r="1070" spans="1:9" x14ac:dyDescent="0.3">
      <c r="A1070">
        <v>1069</v>
      </c>
      <c r="B1070" t="s">
        <v>4060</v>
      </c>
      <c r="C1070" t="s">
        <v>4061</v>
      </c>
      <c r="D1070" t="s">
        <v>11</v>
      </c>
      <c r="E1070" t="s">
        <v>4062</v>
      </c>
      <c r="F1070" t="s">
        <v>4063</v>
      </c>
      <c r="G1070" t="s">
        <v>1750</v>
      </c>
      <c r="H1070" t="s">
        <v>15</v>
      </c>
      <c r="I1070">
        <v>11967</v>
      </c>
    </row>
    <row r="1071" spans="1:9" x14ac:dyDescent="0.3">
      <c r="A1071">
        <v>1070</v>
      </c>
      <c r="B1071" t="s">
        <v>4064</v>
      </c>
      <c r="C1071" t="s">
        <v>2091</v>
      </c>
      <c r="D1071" t="s">
        <v>11</v>
      </c>
      <c r="E1071" t="s">
        <v>4065</v>
      </c>
      <c r="F1071" t="s">
        <v>4066</v>
      </c>
      <c r="G1071" t="s">
        <v>4067</v>
      </c>
      <c r="H1071" t="s">
        <v>15</v>
      </c>
      <c r="I1071">
        <v>11364</v>
      </c>
    </row>
    <row r="1072" spans="1:9" x14ac:dyDescent="0.3">
      <c r="A1072">
        <v>1071</v>
      </c>
      <c r="B1072" t="s">
        <v>4068</v>
      </c>
      <c r="C1072" t="s">
        <v>320</v>
      </c>
      <c r="D1072" t="s">
        <v>11</v>
      </c>
      <c r="E1072" t="s">
        <v>4069</v>
      </c>
      <c r="F1072" t="s">
        <v>4070</v>
      </c>
      <c r="G1072" t="s">
        <v>1576</v>
      </c>
      <c r="H1072" t="s">
        <v>21</v>
      </c>
      <c r="I1072">
        <v>91768</v>
      </c>
    </row>
    <row r="1073" spans="1:9" x14ac:dyDescent="0.3">
      <c r="A1073">
        <v>1072</v>
      </c>
      <c r="B1073" t="s">
        <v>4071</v>
      </c>
      <c r="C1073" t="s">
        <v>292</v>
      </c>
      <c r="D1073" t="s">
        <v>11</v>
      </c>
      <c r="E1073" t="s">
        <v>4072</v>
      </c>
      <c r="F1073" t="s">
        <v>4073</v>
      </c>
      <c r="G1073" t="s">
        <v>389</v>
      </c>
      <c r="H1073" t="s">
        <v>80</v>
      </c>
      <c r="I1073">
        <v>75080</v>
      </c>
    </row>
    <row r="1074" spans="1:9" x14ac:dyDescent="0.3">
      <c r="A1074">
        <v>1073</v>
      </c>
      <c r="B1074" t="s">
        <v>4074</v>
      </c>
      <c r="C1074" t="s">
        <v>1353</v>
      </c>
      <c r="D1074" t="s">
        <v>11</v>
      </c>
      <c r="E1074" t="s">
        <v>4075</v>
      </c>
      <c r="F1074" t="s">
        <v>4076</v>
      </c>
      <c r="G1074" t="s">
        <v>480</v>
      </c>
      <c r="H1074" t="s">
        <v>15</v>
      </c>
      <c r="I1074">
        <v>11361</v>
      </c>
    </row>
    <row r="1075" spans="1:9" x14ac:dyDescent="0.3">
      <c r="A1075">
        <v>1074</v>
      </c>
      <c r="B1075" t="s">
        <v>4077</v>
      </c>
      <c r="C1075" t="s">
        <v>248</v>
      </c>
      <c r="D1075" t="s">
        <v>11</v>
      </c>
      <c r="E1075" t="s">
        <v>4078</v>
      </c>
      <c r="F1075" t="s">
        <v>4079</v>
      </c>
      <c r="G1075" t="s">
        <v>533</v>
      </c>
      <c r="H1075" t="s">
        <v>15</v>
      </c>
      <c r="I1075">
        <v>11001</v>
      </c>
    </row>
    <row r="1076" spans="1:9" x14ac:dyDescent="0.3">
      <c r="A1076">
        <v>1075</v>
      </c>
      <c r="B1076" t="s">
        <v>4080</v>
      </c>
      <c r="C1076" t="s">
        <v>4081</v>
      </c>
      <c r="D1076" t="s">
        <v>11</v>
      </c>
      <c r="E1076" t="s">
        <v>4082</v>
      </c>
      <c r="F1076" t="s">
        <v>4083</v>
      </c>
      <c r="G1076" t="s">
        <v>425</v>
      </c>
      <c r="H1076" t="s">
        <v>15</v>
      </c>
      <c r="I1076">
        <v>11746</v>
      </c>
    </row>
    <row r="1077" spans="1:9" x14ac:dyDescent="0.3">
      <c r="A1077">
        <v>1076</v>
      </c>
      <c r="B1077" t="s">
        <v>4084</v>
      </c>
      <c r="C1077" t="s">
        <v>660</v>
      </c>
      <c r="D1077" t="s">
        <v>11</v>
      </c>
      <c r="E1077" t="s">
        <v>4085</v>
      </c>
      <c r="F1077" t="s">
        <v>4086</v>
      </c>
      <c r="G1077" t="s">
        <v>1911</v>
      </c>
      <c r="H1077" t="s">
        <v>21</v>
      </c>
      <c r="I1077">
        <v>92083</v>
      </c>
    </row>
    <row r="1078" spans="1:9" x14ac:dyDescent="0.3">
      <c r="A1078">
        <v>1077</v>
      </c>
      <c r="B1078" t="s">
        <v>3831</v>
      </c>
      <c r="C1078" t="s">
        <v>1270</v>
      </c>
      <c r="D1078" t="s">
        <v>11</v>
      </c>
      <c r="E1078" t="s">
        <v>4087</v>
      </c>
      <c r="F1078" t="s">
        <v>4088</v>
      </c>
      <c r="G1078" t="s">
        <v>151</v>
      </c>
      <c r="H1078" t="s">
        <v>15</v>
      </c>
      <c r="I1078">
        <v>11104</v>
      </c>
    </row>
    <row r="1079" spans="1:9" x14ac:dyDescent="0.3">
      <c r="A1079">
        <v>1078</v>
      </c>
      <c r="B1079" t="s">
        <v>4089</v>
      </c>
      <c r="C1079" t="s">
        <v>2837</v>
      </c>
      <c r="D1079" t="s">
        <v>11</v>
      </c>
      <c r="E1079" t="s">
        <v>4090</v>
      </c>
      <c r="F1079" t="s">
        <v>4091</v>
      </c>
      <c r="G1079" t="s">
        <v>1492</v>
      </c>
      <c r="H1079" t="s">
        <v>15</v>
      </c>
      <c r="I1079">
        <v>11375</v>
      </c>
    </row>
    <row r="1080" spans="1:9" x14ac:dyDescent="0.3">
      <c r="A1080">
        <v>1079</v>
      </c>
      <c r="B1080" t="s">
        <v>1096</v>
      </c>
      <c r="C1080" t="s">
        <v>3603</v>
      </c>
      <c r="D1080" t="s">
        <v>11</v>
      </c>
      <c r="E1080" t="s">
        <v>4092</v>
      </c>
      <c r="F1080" t="s">
        <v>4093</v>
      </c>
      <c r="G1080" t="s">
        <v>533</v>
      </c>
      <c r="H1080" t="s">
        <v>15</v>
      </c>
      <c r="I1080">
        <v>11001</v>
      </c>
    </row>
    <row r="1081" spans="1:9" x14ac:dyDescent="0.3">
      <c r="A1081">
        <v>1080</v>
      </c>
      <c r="B1081" t="s">
        <v>4094</v>
      </c>
      <c r="C1081" t="s">
        <v>4095</v>
      </c>
      <c r="D1081" t="s">
        <v>11</v>
      </c>
      <c r="E1081" t="s">
        <v>4096</v>
      </c>
      <c r="F1081" t="s">
        <v>4097</v>
      </c>
      <c r="G1081" t="s">
        <v>79</v>
      </c>
      <c r="H1081" t="s">
        <v>80</v>
      </c>
      <c r="I1081">
        <v>75604</v>
      </c>
    </row>
    <row r="1082" spans="1:9" x14ac:dyDescent="0.3">
      <c r="A1082">
        <v>1081</v>
      </c>
      <c r="B1082" t="s">
        <v>355</v>
      </c>
      <c r="C1082" t="s">
        <v>4098</v>
      </c>
      <c r="D1082" t="s">
        <v>11</v>
      </c>
      <c r="E1082" t="s">
        <v>4099</v>
      </c>
      <c r="F1082" t="s">
        <v>4100</v>
      </c>
      <c r="G1082" t="s">
        <v>1837</v>
      </c>
      <c r="H1082" t="s">
        <v>15</v>
      </c>
      <c r="I1082">
        <v>10801</v>
      </c>
    </row>
    <row r="1083" spans="1:9" x14ac:dyDescent="0.3">
      <c r="A1083">
        <v>1082</v>
      </c>
      <c r="B1083" t="s">
        <v>4101</v>
      </c>
      <c r="C1083" t="s">
        <v>2055</v>
      </c>
      <c r="D1083" t="s">
        <v>4102</v>
      </c>
      <c r="E1083" t="s">
        <v>4103</v>
      </c>
      <c r="F1083" t="s">
        <v>4104</v>
      </c>
      <c r="G1083" t="s">
        <v>146</v>
      </c>
      <c r="H1083" t="s">
        <v>15</v>
      </c>
      <c r="I1083">
        <v>11561</v>
      </c>
    </row>
    <row r="1084" spans="1:9" x14ac:dyDescent="0.3">
      <c r="A1084">
        <v>1083</v>
      </c>
      <c r="B1084" t="s">
        <v>4105</v>
      </c>
      <c r="C1084" t="s">
        <v>3813</v>
      </c>
      <c r="D1084" t="s">
        <v>11</v>
      </c>
      <c r="E1084" t="s">
        <v>4106</v>
      </c>
      <c r="F1084" t="s">
        <v>4107</v>
      </c>
      <c r="G1084" t="s">
        <v>1571</v>
      </c>
      <c r="H1084" t="s">
        <v>15</v>
      </c>
      <c r="I1084">
        <v>11793</v>
      </c>
    </row>
    <row r="1085" spans="1:9" x14ac:dyDescent="0.3">
      <c r="A1085">
        <v>1084</v>
      </c>
      <c r="B1085" t="s">
        <v>805</v>
      </c>
      <c r="C1085" t="s">
        <v>728</v>
      </c>
      <c r="D1085" t="s">
        <v>11</v>
      </c>
      <c r="E1085" t="s">
        <v>4108</v>
      </c>
      <c r="F1085" t="s">
        <v>4109</v>
      </c>
      <c r="G1085" t="s">
        <v>449</v>
      </c>
      <c r="H1085" t="s">
        <v>15</v>
      </c>
      <c r="I1085">
        <v>11010</v>
      </c>
    </row>
    <row r="1086" spans="1:9" x14ac:dyDescent="0.3">
      <c r="A1086">
        <v>1085</v>
      </c>
      <c r="B1086" t="s">
        <v>2728</v>
      </c>
      <c r="C1086" t="s">
        <v>2334</v>
      </c>
      <c r="D1086" t="s">
        <v>11</v>
      </c>
      <c r="E1086" t="s">
        <v>4110</v>
      </c>
      <c r="F1086" t="s">
        <v>4111</v>
      </c>
      <c r="G1086" t="s">
        <v>300</v>
      </c>
      <c r="H1086" t="s">
        <v>15</v>
      </c>
      <c r="I1086">
        <v>11722</v>
      </c>
    </row>
    <row r="1087" spans="1:9" x14ac:dyDescent="0.3">
      <c r="A1087">
        <v>1086</v>
      </c>
      <c r="B1087" t="s">
        <v>4112</v>
      </c>
      <c r="C1087" t="s">
        <v>4113</v>
      </c>
      <c r="D1087" t="s">
        <v>11</v>
      </c>
      <c r="E1087" t="s">
        <v>4114</v>
      </c>
      <c r="F1087" t="s">
        <v>4115</v>
      </c>
      <c r="G1087" t="s">
        <v>957</v>
      </c>
      <c r="H1087" t="s">
        <v>15</v>
      </c>
      <c r="I1087">
        <v>11432</v>
      </c>
    </row>
    <row r="1088" spans="1:9" x14ac:dyDescent="0.3">
      <c r="A1088">
        <v>1087</v>
      </c>
      <c r="B1088" t="s">
        <v>4116</v>
      </c>
      <c r="C1088" t="s">
        <v>3131</v>
      </c>
      <c r="D1088" t="s">
        <v>11</v>
      </c>
      <c r="E1088" t="s">
        <v>4117</v>
      </c>
      <c r="F1088" t="s">
        <v>4118</v>
      </c>
      <c r="G1088" t="s">
        <v>1180</v>
      </c>
      <c r="H1088" t="s">
        <v>21</v>
      </c>
      <c r="I1088">
        <v>94566</v>
      </c>
    </row>
    <row r="1089" spans="1:9" x14ac:dyDescent="0.3">
      <c r="A1089">
        <v>1088</v>
      </c>
      <c r="B1089" t="s">
        <v>4119</v>
      </c>
      <c r="C1089" t="s">
        <v>2124</v>
      </c>
      <c r="D1089" t="s">
        <v>11</v>
      </c>
      <c r="E1089" t="s">
        <v>4120</v>
      </c>
      <c r="F1089" t="s">
        <v>4121</v>
      </c>
      <c r="G1089" t="s">
        <v>877</v>
      </c>
      <c r="H1089" t="s">
        <v>21</v>
      </c>
      <c r="I1089">
        <v>92307</v>
      </c>
    </row>
    <row r="1090" spans="1:9" x14ac:dyDescent="0.3">
      <c r="A1090">
        <v>1089</v>
      </c>
      <c r="B1090" t="s">
        <v>1425</v>
      </c>
      <c r="C1090" t="s">
        <v>4122</v>
      </c>
      <c r="D1090" t="s">
        <v>11</v>
      </c>
      <c r="E1090" t="s">
        <v>4123</v>
      </c>
      <c r="F1090" t="s">
        <v>4124</v>
      </c>
      <c r="G1090" t="s">
        <v>14</v>
      </c>
      <c r="H1090" t="s">
        <v>15</v>
      </c>
      <c r="I1090">
        <v>14127</v>
      </c>
    </row>
    <row r="1091" spans="1:9" x14ac:dyDescent="0.3">
      <c r="A1091">
        <v>1090</v>
      </c>
      <c r="B1091" t="s">
        <v>2731</v>
      </c>
      <c r="C1091" t="s">
        <v>1369</v>
      </c>
      <c r="D1091" t="s">
        <v>11</v>
      </c>
      <c r="E1091" t="s">
        <v>4125</v>
      </c>
      <c r="F1091" t="s">
        <v>4126</v>
      </c>
      <c r="G1091" t="s">
        <v>384</v>
      </c>
      <c r="H1091" t="s">
        <v>15</v>
      </c>
      <c r="I1091">
        <v>11776</v>
      </c>
    </row>
    <row r="1092" spans="1:9" x14ac:dyDescent="0.3">
      <c r="A1092">
        <v>1091</v>
      </c>
      <c r="B1092" t="s">
        <v>4127</v>
      </c>
      <c r="C1092" t="s">
        <v>4128</v>
      </c>
      <c r="D1092" t="s">
        <v>11</v>
      </c>
      <c r="E1092" t="s">
        <v>4129</v>
      </c>
      <c r="F1092" t="s">
        <v>4130</v>
      </c>
      <c r="G1092" t="s">
        <v>353</v>
      </c>
      <c r="H1092" t="s">
        <v>21</v>
      </c>
      <c r="I1092">
        <v>95677</v>
      </c>
    </row>
    <row r="1093" spans="1:9" x14ac:dyDescent="0.3">
      <c r="A1093">
        <v>1092</v>
      </c>
      <c r="B1093" t="s">
        <v>4131</v>
      </c>
      <c r="C1093" t="s">
        <v>1365</v>
      </c>
      <c r="D1093" t="s">
        <v>11</v>
      </c>
      <c r="E1093" t="s">
        <v>4132</v>
      </c>
      <c r="F1093" t="s">
        <v>4133</v>
      </c>
      <c r="G1093" t="s">
        <v>125</v>
      </c>
      <c r="H1093" t="s">
        <v>15</v>
      </c>
      <c r="I1093">
        <v>11731</v>
      </c>
    </row>
    <row r="1094" spans="1:9" x14ac:dyDescent="0.3">
      <c r="A1094">
        <v>1093</v>
      </c>
      <c r="B1094" t="s">
        <v>4134</v>
      </c>
      <c r="C1094" t="s">
        <v>4135</v>
      </c>
      <c r="D1094" t="s">
        <v>11</v>
      </c>
      <c r="E1094" t="s">
        <v>4136</v>
      </c>
      <c r="F1094" t="s">
        <v>4137</v>
      </c>
      <c r="G1094" t="s">
        <v>1068</v>
      </c>
      <c r="H1094" t="s">
        <v>15</v>
      </c>
      <c r="I1094">
        <v>11729</v>
      </c>
    </row>
    <row r="1095" spans="1:9" x14ac:dyDescent="0.3">
      <c r="A1095">
        <v>1094</v>
      </c>
      <c r="B1095" t="s">
        <v>4138</v>
      </c>
      <c r="C1095" t="s">
        <v>4139</v>
      </c>
      <c r="D1095" t="s">
        <v>11</v>
      </c>
      <c r="E1095" t="s">
        <v>4140</v>
      </c>
      <c r="F1095" t="s">
        <v>4141</v>
      </c>
      <c r="G1095" t="s">
        <v>420</v>
      </c>
      <c r="H1095" t="s">
        <v>15</v>
      </c>
      <c r="I1095">
        <v>11757</v>
      </c>
    </row>
    <row r="1096" spans="1:9" x14ac:dyDescent="0.3">
      <c r="A1096">
        <v>1095</v>
      </c>
      <c r="B1096" t="s">
        <v>131</v>
      </c>
      <c r="C1096" t="s">
        <v>2973</v>
      </c>
      <c r="D1096" t="s">
        <v>11</v>
      </c>
      <c r="E1096" t="s">
        <v>4142</v>
      </c>
      <c r="F1096" t="s">
        <v>4143</v>
      </c>
      <c r="G1096" t="s">
        <v>920</v>
      </c>
      <c r="H1096" t="s">
        <v>15</v>
      </c>
      <c r="I1096">
        <v>11374</v>
      </c>
    </row>
    <row r="1097" spans="1:9" x14ac:dyDescent="0.3">
      <c r="A1097">
        <v>1096</v>
      </c>
      <c r="B1097" t="s">
        <v>1552</v>
      </c>
      <c r="C1097" t="s">
        <v>4144</v>
      </c>
      <c r="D1097" t="s">
        <v>11</v>
      </c>
      <c r="E1097" t="s">
        <v>4145</v>
      </c>
      <c r="F1097" t="s">
        <v>4146</v>
      </c>
      <c r="G1097" t="s">
        <v>190</v>
      </c>
      <c r="H1097" t="s">
        <v>15</v>
      </c>
      <c r="I1097">
        <v>13027</v>
      </c>
    </row>
    <row r="1098" spans="1:9" x14ac:dyDescent="0.3">
      <c r="A1098">
        <v>1097</v>
      </c>
      <c r="B1098" t="s">
        <v>1982</v>
      </c>
      <c r="C1098" t="s">
        <v>4147</v>
      </c>
      <c r="D1098" t="s">
        <v>11</v>
      </c>
      <c r="E1098" t="s">
        <v>4148</v>
      </c>
      <c r="F1098" t="s">
        <v>4149</v>
      </c>
      <c r="G1098" t="s">
        <v>1121</v>
      </c>
      <c r="H1098" t="s">
        <v>21</v>
      </c>
      <c r="I1098">
        <v>94806</v>
      </c>
    </row>
    <row r="1099" spans="1:9" x14ac:dyDescent="0.3">
      <c r="A1099">
        <v>1098</v>
      </c>
      <c r="B1099" t="s">
        <v>4150</v>
      </c>
      <c r="C1099" t="s">
        <v>2464</v>
      </c>
      <c r="D1099" t="s">
        <v>11</v>
      </c>
      <c r="E1099" t="s">
        <v>4151</v>
      </c>
      <c r="F1099" t="s">
        <v>4152</v>
      </c>
      <c r="G1099" t="s">
        <v>304</v>
      </c>
      <c r="H1099" t="s">
        <v>15</v>
      </c>
      <c r="I1099">
        <v>11570</v>
      </c>
    </row>
    <row r="1100" spans="1:9" x14ac:dyDescent="0.3">
      <c r="A1100">
        <v>1099</v>
      </c>
      <c r="B1100" t="s">
        <v>4153</v>
      </c>
      <c r="C1100" t="s">
        <v>3188</v>
      </c>
      <c r="D1100" t="s">
        <v>11</v>
      </c>
      <c r="E1100" t="s">
        <v>4154</v>
      </c>
      <c r="F1100" t="s">
        <v>4155</v>
      </c>
      <c r="G1100" t="s">
        <v>53</v>
      </c>
      <c r="H1100" t="s">
        <v>15</v>
      </c>
      <c r="I1100">
        <v>11372</v>
      </c>
    </row>
    <row r="1101" spans="1:9" x14ac:dyDescent="0.3">
      <c r="A1101">
        <v>1100</v>
      </c>
      <c r="B1101" t="s">
        <v>4156</v>
      </c>
      <c r="C1101" t="s">
        <v>2261</v>
      </c>
      <c r="D1101" t="s">
        <v>11</v>
      </c>
      <c r="E1101" t="s">
        <v>4157</v>
      </c>
      <c r="F1101" t="s">
        <v>4158</v>
      </c>
      <c r="G1101" t="s">
        <v>938</v>
      </c>
      <c r="H1101" t="s">
        <v>15</v>
      </c>
      <c r="I1101">
        <v>12020</v>
      </c>
    </row>
    <row r="1102" spans="1:9" x14ac:dyDescent="0.3">
      <c r="A1102">
        <v>1101</v>
      </c>
      <c r="B1102" t="s">
        <v>4159</v>
      </c>
      <c r="C1102" t="s">
        <v>4160</v>
      </c>
      <c r="D1102" t="s">
        <v>11</v>
      </c>
      <c r="E1102" t="s">
        <v>4161</v>
      </c>
      <c r="F1102" t="s">
        <v>4162</v>
      </c>
      <c r="G1102" t="s">
        <v>1731</v>
      </c>
      <c r="H1102" t="s">
        <v>15</v>
      </c>
      <c r="I1102">
        <v>14043</v>
      </c>
    </row>
    <row r="1103" spans="1:9" x14ac:dyDescent="0.3">
      <c r="A1103">
        <v>1102</v>
      </c>
      <c r="B1103" t="s">
        <v>4163</v>
      </c>
      <c r="C1103" t="s">
        <v>2517</v>
      </c>
      <c r="D1103" t="s">
        <v>4164</v>
      </c>
      <c r="E1103" t="s">
        <v>4165</v>
      </c>
      <c r="F1103" t="s">
        <v>4166</v>
      </c>
      <c r="G1103" t="s">
        <v>2154</v>
      </c>
      <c r="H1103" t="s">
        <v>80</v>
      </c>
      <c r="I1103">
        <v>76110</v>
      </c>
    </row>
    <row r="1104" spans="1:9" x14ac:dyDescent="0.3">
      <c r="A1104">
        <v>1103</v>
      </c>
      <c r="B1104" t="s">
        <v>4167</v>
      </c>
      <c r="C1104" t="s">
        <v>3866</v>
      </c>
      <c r="D1104" t="s">
        <v>11</v>
      </c>
      <c r="E1104" t="s">
        <v>4168</v>
      </c>
      <c r="F1104" t="s">
        <v>4169</v>
      </c>
      <c r="G1104" t="s">
        <v>1103</v>
      </c>
      <c r="H1104" t="s">
        <v>21</v>
      </c>
      <c r="I1104">
        <v>91387</v>
      </c>
    </row>
    <row r="1105" spans="1:9" x14ac:dyDescent="0.3">
      <c r="A1105">
        <v>1104</v>
      </c>
      <c r="B1105" t="s">
        <v>4170</v>
      </c>
      <c r="C1105" t="s">
        <v>2194</v>
      </c>
      <c r="D1105" t="s">
        <v>11</v>
      </c>
      <c r="E1105" t="s">
        <v>4171</v>
      </c>
      <c r="F1105" t="s">
        <v>4172</v>
      </c>
      <c r="G1105" t="s">
        <v>673</v>
      </c>
      <c r="H1105" t="s">
        <v>15</v>
      </c>
      <c r="I1105">
        <v>10977</v>
      </c>
    </row>
    <row r="1106" spans="1:9" x14ac:dyDescent="0.3">
      <c r="A1106">
        <v>1105</v>
      </c>
      <c r="B1106" t="s">
        <v>4173</v>
      </c>
      <c r="C1106" t="s">
        <v>4139</v>
      </c>
      <c r="D1106" t="s">
        <v>11</v>
      </c>
      <c r="E1106" t="s">
        <v>4174</v>
      </c>
      <c r="F1106" t="s">
        <v>4175</v>
      </c>
      <c r="G1106" t="s">
        <v>389</v>
      </c>
      <c r="H1106" t="s">
        <v>80</v>
      </c>
      <c r="I1106">
        <v>75080</v>
      </c>
    </row>
    <row r="1107" spans="1:9" x14ac:dyDescent="0.3">
      <c r="A1107">
        <v>1106</v>
      </c>
      <c r="B1107" t="s">
        <v>4034</v>
      </c>
      <c r="C1107" t="s">
        <v>292</v>
      </c>
      <c r="D1107" t="s">
        <v>11</v>
      </c>
      <c r="E1107" t="s">
        <v>4176</v>
      </c>
      <c r="F1107" t="s">
        <v>4177</v>
      </c>
      <c r="G1107" t="s">
        <v>673</v>
      </c>
      <c r="H1107" t="s">
        <v>15</v>
      </c>
      <c r="I1107">
        <v>10977</v>
      </c>
    </row>
    <row r="1108" spans="1:9" x14ac:dyDescent="0.3">
      <c r="A1108">
        <v>1107</v>
      </c>
      <c r="B1108" t="s">
        <v>4178</v>
      </c>
      <c r="C1108" t="s">
        <v>60</v>
      </c>
      <c r="D1108" t="s">
        <v>11</v>
      </c>
      <c r="E1108" t="s">
        <v>4179</v>
      </c>
      <c r="F1108" t="s">
        <v>4180</v>
      </c>
      <c r="G1108" t="s">
        <v>475</v>
      </c>
      <c r="H1108" t="s">
        <v>15</v>
      </c>
      <c r="I1108">
        <v>12866</v>
      </c>
    </row>
    <row r="1109" spans="1:9" x14ac:dyDescent="0.3">
      <c r="A1109">
        <v>1108</v>
      </c>
      <c r="B1109" t="s">
        <v>4181</v>
      </c>
      <c r="C1109" t="s">
        <v>3076</v>
      </c>
      <c r="D1109" t="s">
        <v>11</v>
      </c>
      <c r="E1109" t="s">
        <v>4182</v>
      </c>
      <c r="F1109" t="s">
        <v>4183</v>
      </c>
      <c r="G1109" t="s">
        <v>328</v>
      </c>
      <c r="H1109" t="s">
        <v>80</v>
      </c>
      <c r="I1109">
        <v>75115</v>
      </c>
    </row>
    <row r="1110" spans="1:9" x14ac:dyDescent="0.3">
      <c r="A1110">
        <v>1109</v>
      </c>
      <c r="B1110" t="s">
        <v>4184</v>
      </c>
      <c r="C1110" t="s">
        <v>935</v>
      </c>
      <c r="D1110" t="s">
        <v>11</v>
      </c>
      <c r="E1110" t="s">
        <v>4185</v>
      </c>
      <c r="F1110" t="s">
        <v>4186</v>
      </c>
      <c r="G1110" t="s">
        <v>1068</v>
      </c>
      <c r="H1110" t="s">
        <v>15</v>
      </c>
      <c r="I1110">
        <v>11729</v>
      </c>
    </row>
    <row r="1111" spans="1:9" x14ac:dyDescent="0.3">
      <c r="A1111">
        <v>1110</v>
      </c>
      <c r="B1111" t="s">
        <v>2393</v>
      </c>
      <c r="C1111" t="s">
        <v>747</v>
      </c>
      <c r="D1111" t="s">
        <v>11</v>
      </c>
      <c r="E1111" t="s">
        <v>4187</v>
      </c>
      <c r="F1111" t="s">
        <v>4188</v>
      </c>
      <c r="G1111" t="s">
        <v>553</v>
      </c>
      <c r="H1111" t="s">
        <v>15</v>
      </c>
      <c r="I1111">
        <v>11552</v>
      </c>
    </row>
    <row r="1112" spans="1:9" x14ac:dyDescent="0.3">
      <c r="A1112">
        <v>1111</v>
      </c>
      <c r="B1112" t="s">
        <v>4189</v>
      </c>
      <c r="C1112" t="s">
        <v>1404</v>
      </c>
      <c r="D1112" t="s">
        <v>11</v>
      </c>
      <c r="E1112" t="s">
        <v>4190</v>
      </c>
      <c r="F1112" t="s">
        <v>4191</v>
      </c>
      <c r="G1112" t="s">
        <v>389</v>
      </c>
      <c r="H1112" t="s">
        <v>80</v>
      </c>
      <c r="I1112">
        <v>75080</v>
      </c>
    </row>
    <row r="1113" spans="1:9" x14ac:dyDescent="0.3">
      <c r="A1113">
        <v>1112</v>
      </c>
      <c r="B1113" t="s">
        <v>130</v>
      </c>
      <c r="C1113" t="s">
        <v>1070</v>
      </c>
      <c r="D1113" t="s">
        <v>11</v>
      </c>
      <c r="E1113" t="s">
        <v>4192</v>
      </c>
      <c r="F1113" t="s">
        <v>4193</v>
      </c>
      <c r="G1113" t="s">
        <v>663</v>
      </c>
      <c r="H1113" t="s">
        <v>15</v>
      </c>
      <c r="I1113">
        <v>11758</v>
      </c>
    </row>
    <row r="1114" spans="1:9" x14ac:dyDescent="0.3">
      <c r="A1114">
        <v>1113</v>
      </c>
      <c r="B1114" t="s">
        <v>4194</v>
      </c>
      <c r="C1114" t="s">
        <v>4195</v>
      </c>
      <c r="D1114" t="s">
        <v>11</v>
      </c>
      <c r="E1114" t="s">
        <v>4196</v>
      </c>
      <c r="F1114" t="s">
        <v>4197</v>
      </c>
      <c r="G1114" t="s">
        <v>2663</v>
      </c>
      <c r="H1114" t="s">
        <v>15</v>
      </c>
      <c r="I1114">
        <v>14701</v>
      </c>
    </row>
    <row r="1115" spans="1:9" x14ac:dyDescent="0.3">
      <c r="A1115">
        <v>1114</v>
      </c>
      <c r="B1115" t="s">
        <v>1857</v>
      </c>
      <c r="C1115" t="s">
        <v>964</v>
      </c>
      <c r="D1115" t="s">
        <v>4198</v>
      </c>
      <c r="E1115" t="s">
        <v>4199</v>
      </c>
      <c r="F1115" t="s">
        <v>4200</v>
      </c>
      <c r="G1115" t="s">
        <v>980</v>
      </c>
      <c r="H1115" t="s">
        <v>15</v>
      </c>
      <c r="I1115">
        <v>12203</v>
      </c>
    </row>
    <row r="1116" spans="1:9" x14ac:dyDescent="0.3">
      <c r="A1116">
        <v>1115</v>
      </c>
      <c r="B1116" t="s">
        <v>4201</v>
      </c>
      <c r="C1116" t="s">
        <v>4202</v>
      </c>
      <c r="D1116" t="s">
        <v>11</v>
      </c>
      <c r="E1116" t="s">
        <v>4203</v>
      </c>
      <c r="F1116" t="s">
        <v>4204</v>
      </c>
      <c r="G1116" t="s">
        <v>2188</v>
      </c>
      <c r="H1116" t="s">
        <v>15</v>
      </c>
      <c r="I1116">
        <v>11542</v>
      </c>
    </row>
    <row r="1117" spans="1:9" x14ac:dyDescent="0.3">
      <c r="A1117">
        <v>1116</v>
      </c>
      <c r="B1117" t="s">
        <v>4205</v>
      </c>
      <c r="C1117" t="s">
        <v>4206</v>
      </c>
      <c r="D1117" t="s">
        <v>11</v>
      </c>
      <c r="E1117" t="s">
        <v>4207</v>
      </c>
      <c r="F1117" t="s">
        <v>4208</v>
      </c>
      <c r="G1117" t="s">
        <v>205</v>
      </c>
      <c r="H1117" t="s">
        <v>15</v>
      </c>
      <c r="I1117">
        <v>11102</v>
      </c>
    </row>
    <row r="1118" spans="1:9" x14ac:dyDescent="0.3">
      <c r="A1118">
        <v>1117</v>
      </c>
      <c r="B1118" t="s">
        <v>4209</v>
      </c>
      <c r="C1118" t="s">
        <v>598</v>
      </c>
      <c r="D1118" t="s">
        <v>11</v>
      </c>
      <c r="E1118" t="s">
        <v>4210</v>
      </c>
      <c r="F1118" t="s">
        <v>4211</v>
      </c>
      <c r="G1118" t="s">
        <v>1622</v>
      </c>
      <c r="H1118" t="s">
        <v>15</v>
      </c>
      <c r="I1118">
        <v>11422</v>
      </c>
    </row>
    <row r="1119" spans="1:9" x14ac:dyDescent="0.3">
      <c r="A1119">
        <v>1118</v>
      </c>
      <c r="B1119" t="s">
        <v>4212</v>
      </c>
      <c r="C1119" t="s">
        <v>580</v>
      </c>
      <c r="D1119" t="s">
        <v>11</v>
      </c>
      <c r="E1119" t="s">
        <v>4213</v>
      </c>
      <c r="F1119" t="s">
        <v>4214</v>
      </c>
      <c r="G1119" t="s">
        <v>1103</v>
      </c>
      <c r="H1119" t="s">
        <v>21</v>
      </c>
      <c r="I1119">
        <v>91387</v>
      </c>
    </row>
    <row r="1120" spans="1:9" x14ac:dyDescent="0.3">
      <c r="A1120">
        <v>1119</v>
      </c>
      <c r="B1120" t="s">
        <v>4215</v>
      </c>
      <c r="C1120" t="s">
        <v>4216</v>
      </c>
      <c r="D1120" t="s">
        <v>11</v>
      </c>
      <c r="E1120" t="s">
        <v>4217</v>
      </c>
      <c r="F1120" t="s">
        <v>4218</v>
      </c>
      <c r="G1120" t="s">
        <v>68</v>
      </c>
      <c r="H1120" t="s">
        <v>15</v>
      </c>
      <c r="I1120">
        <v>10952</v>
      </c>
    </row>
    <row r="1121" spans="1:9" x14ac:dyDescent="0.3">
      <c r="A1121">
        <v>1120</v>
      </c>
      <c r="B1121" t="s">
        <v>4219</v>
      </c>
      <c r="C1121" t="s">
        <v>1447</v>
      </c>
      <c r="D1121" t="s">
        <v>11</v>
      </c>
      <c r="E1121" t="s">
        <v>4220</v>
      </c>
      <c r="F1121" t="s">
        <v>4221</v>
      </c>
      <c r="G1121" t="s">
        <v>125</v>
      </c>
      <c r="H1121" t="s">
        <v>15</v>
      </c>
      <c r="I1121">
        <v>11731</v>
      </c>
    </row>
    <row r="1122" spans="1:9" x14ac:dyDescent="0.3">
      <c r="A1122">
        <v>1121</v>
      </c>
      <c r="B1122" t="s">
        <v>4222</v>
      </c>
      <c r="C1122" t="s">
        <v>4223</v>
      </c>
      <c r="D1122" t="s">
        <v>11</v>
      </c>
      <c r="E1122" t="s">
        <v>4224</v>
      </c>
      <c r="F1122" t="s">
        <v>4225</v>
      </c>
      <c r="G1122" t="s">
        <v>2536</v>
      </c>
      <c r="H1122" t="s">
        <v>15</v>
      </c>
      <c r="I1122">
        <v>10598</v>
      </c>
    </row>
    <row r="1123" spans="1:9" x14ac:dyDescent="0.3">
      <c r="A1123">
        <v>1122</v>
      </c>
      <c r="B1123" t="s">
        <v>4226</v>
      </c>
      <c r="C1123" t="s">
        <v>1104</v>
      </c>
      <c r="D1123" t="s">
        <v>11</v>
      </c>
      <c r="E1123" t="s">
        <v>4227</v>
      </c>
      <c r="F1123" t="s">
        <v>4228</v>
      </c>
      <c r="G1123" t="s">
        <v>1165</v>
      </c>
      <c r="H1123" t="s">
        <v>15</v>
      </c>
      <c r="I1123">
        <v>11762</v>
      </c>
    </row>
    <row r="1124" spans="1:9" x14ac:dyDescent="0.3">
      <c r="A1124">
        <v>1123</v>
      </c>
      <c r="B1124" t="s">
        <v>4229</v>
      </c>
      <c r="C1124" t="s">
        <v>3554</v>
      </c>
      <c r="D1124" t="s">
        <v>11</v>
      </c>
      <c r="E1124" t="s">
        <v>4230</v>
      </c>
      <c r="F1124" t="s">
        <v>4231</v>
      </c>
      <c r="G1124" t="s">
        <v>42</v>
      </c>
      <c r="H1124" t="s">
        <v>15</v>
      </c>
      <c r="I1124">
        <v>14450</v>
      </c>
    </row>
    <row r="1125" spans="1:9" x14ac:dyDescent="0.3">
      <c r="A1125">
        <v>1124</v>
      </c>
      <c r="B1125" t="s">
        <v>4232</v>
      </c>
      <c r="C1125" t="s">
        <v>4233</v>
      </c>
      <c r="D1125" t="s">
        <v>11</v>
      </c>
      <c r="E1125" t="s">
        <v>4234</v>
      </c>
      <c r="F1125" t="s">
        <v>4235</v>
      </c>
      <c r="G1125" t="s">
        <v>323</v>
      </c>
      <c r="H1125" t="s">
        <v>15</v>
      </c>
      <c r="I1125">
        <v>11701</v>
      </c>
    </row>
    <row r="1126" spans="1:9" x14ac:dyDescent="0.3">
      <c r="A1126">
        <v>1125</v>
      </c>
      <c r="B1126" t="s">
        <v>4236</v>
      </c>
      <c r="C1126" t="s">
        <v>4237</v>
      </c>
      <c r="D1126" t="s">
        <v>11</v>
      </c>
      <c r="E1126" t="s">
        <v>4238</v>
      </c>
      <c r="F1126" t="s">
        <v>4239</v>
      </c>
      <c r="G1126" t="s">
        <v>1180</v>
      </c>
      <c r="H1126" t="s">
        <v>21</v>
      </c>
      <c r="I1126">
        <v>94566</v>
      </c>
    </row>
    <row r="1127" spans="1:9" x14ac:dyDescent="0.3">
      <c r="A1127">
        <v>1126</v>
      </c>
      <c r="B1127" t="s">
        <v>4240</v>
      </c>
      <c r="C1127" t="s">
        <v>4241</v>
      </c>
      <c r="D1127" t="s">
        <v>11</v>
      </c>
      <c r="E1127" t="s">
        <v>4242</v>
      </c>
      <c r="F1127" t="s">
        <v>4243</v>
      </c>
      <c r="G1127" t="s">
        <v>673</v>
      </c>
      <c r="H1127" t="s">
        <v>15</v>
      </c>
      <c r="I1127">
        <v>10977</v>
      </c>
    </row>
    <row r="1128" spans="1:9" x14ac:dyDescent="0.3">
      <c r="A1128">
        <v>1127</v>
      </c>
      <c r="B1128" t="s">
        <v>4244</v>
      </c>
      <c r="C1128" t="s">
        <v>2877</v>
      </c>
      <c r="D1128" t="s">
        <v>11</v>
      </c>
      <c r="E1128" t="s">
        <v>4245</v>
      </c>
      <c r="F1128" t="s">
        <v>4246</v>
      </c>
      <c r="G1128" t="s">
        <v>221</v>
      </c>
      <c r="H1128" t="s">
        <v>15</v>
      </c>
      <c r="I1128">
        <v>12804</v>
      </c>
    </row>
    <row r="1129" spans="1:9" x14ac:dyDescent="0.3">
      <c r="A1129">
        <v>1128</v>
      </c>
      <c r="B1129" t="s">
        <v>4247</v>
      </c>
      <c r="C1129" t="s">
        <v>4248</v>
      </c>
      <c r="D1129" t="s">
        <v>11</v>
      </c>
      <c r="E1129" t="s">
        <v>4249</v>
      </c>
      <c r="F1129" t="s">
        <v>4250</v>
      </c>
      <c r="G1129" t="s">
        <v>140</v>
      </c>
      <c r="H1129" t="s">
        <v>15</v>
      </c>
      <c r="I1129">
        <v>10541</v>
      </c>
    </row>
    <row r="1130" spans="1:9" x14ac:dyDescent="0.3">
      <c r="A1130">
        <v>1129</v>
      </c>
      <c r="B1130" t="s">
        <v>1383</v>
      </c>
      <c r="C1130" t="s">
        <v>3175</v>
      </c>
      <c r="D1130" t="s">
        <v>11</v>
      </c>
      <c r="E1130" t="s">
        <v>4251</v>
      </c>
      <c r="F1130" t="s">
        <v>4252</v>
      </c>
      <c r="G1130" t="s">
        <v>783</v>
      </c>
      <c r="H1130" t="s">
        <v>15</v>
      </c>
      <c r="I1130">
        <v>11377</v>
      </c>
    </row>
    <row r="1131" spans="1:9" x14ac:dyDescent="0.3">
      <c r="A1131">
        <v>1130</v>
      </c>
      <c r="B1131" t="s">
        <v>4253</v>
      </c>
      <c r="C1131" t="s">
        <v>3675</v>
      </c>
      <c r="D1131" t="s">
        <v>11</v>
      </c>
      <c r="E1131" t="s">
        <v>4254</v>
      </c>
      <c r="F1131" t="s">
        <v>4255</v>
      </c>
      <c r="G1131" t="s">
        <v>237</v>
      </c>
      <c r="H1131" t="s">
        <v>15</v>
      </c>
      <c r="I1131">
        <v>11003</v>
      </c>
    </row>
    <row r="1132" spans="1:9" x14ac:dyDescent="0.3">
      <c r="A1132">
        <v>1131</v>
      </c>
      <c r="B1132" t="s">
        <v>4256</v>
      </c>
      <c r="C1132" t="s">
        <v>4257</v>
      </c>
      <c r="D1132" t="s">
        <v>11</v>
      </c>
      <c r="E1132" t="s">
        <v>4258</v>
      </c>
      <c r="F1132" t="s">
        <v>4259</v>
      </c>
      <c r="G1132" t="s">
        <v>1505</v>
      </c>
      <c r="H1132" t="s">
        <v>15</v>
      </c>
      <c r="I1132">
        <v>10550</v>
      </c>
    </row>
    <row r="1133" spans="1:9" x14ac:dyDescent="0.3">
      <c r="A1133">
        <v>1132</v>
      </c>
      <c r="B1133" t="s">
        <v>4004</v>
      </c>
      <c r="C1133" t="s">
        <v>4260</v>
      </c>
      <c r="D1133" t="s">
        <v>11</v>
      </c>
      <c r="E1133" t="s">
        <v>4261</v>
      </c>
      <c r="F1133" t="s">
        <v>4262</v>
      </c>
      <c r="G1133" t="s">
        <v>1597</v>
      </c>
      <c r="H1133" t="s">
        <v>15</v>
      </c>
      <c r="I1133">
        <v>14850</v>
      </c>
    </row>
    <row r="1134" spans="1:9" x14ac:dyDescent="0.3">
      <c r="A1134">
        <v>1133</v>
      </c>
      <c r="B1134" t="s">
        <v>4263</v>
      </c>
      <c r="C1134" t="s">
        <v>950</v>
      </c>
      <c r="D1134" t="s">
        <v>11</v>
      </c>
      <c r="E1134" t="s">
        <v>4264</v>
      </c>
      <c r="F1134" t="s">
        <v>4265</v>
      </c>
      <c r="G1134" t="s">
        <v>750</v>
      </c>
      <c r="H1134" t="s">
        <v>15</v>
      </c>
      <c r="I1134">
        <v>11795</v>
      </c>
    </row>
    <row r="1135" spans="1:9" x14ac:dyDescent="0.3">
      <c r="A1135">
        <v>1134</v>
      </c>
      <c r="B1135" t="s">
        <v>4266</v>
      </c>
      <c r="C1135" t="s">
        <v>2080</v>
      </c>
      <c r="D1135" t="s">
        <v>11</v>
      </c>
      <c r="E1135" t="s">
        <v>4267</v>
      </c>
      <c r="F1135" t="s">
        <v>4268</v>
      </c>
      <c r="G1135" t="s">
        <v>328</v>
      </c>
      <c r="H1135" t="s">
        <v>80</v>
      </c>
      <c r="I1135">
        <v>75115</v>
      </c>
    </row>
    <row r="1136" spans="1:9" x14ac:dyDescent="0.3">
      <c r="A1136">
        <v>1135</v>
      </c>
      <c r="B1136" t="s">
        <v>4269</v>
      </c>
      <c r="C1136" t="s">
        <v>162</v>
      </c>
      <c r="D1136" t="s">
        <v>11</v>
      </c>
      <c r="E1136" t="s">
        <v>4270</v>
      </c>
      <c r="F1136" t="s">
        <v>4271</v>
      </c>
      <c r="G1136" t="s">
        <v>338</v>
      </c>
      <c r="H1136" t="s">
        <v>80</v>
      </c>
      <c r="I1136">
        <v>75043</v>
      </c>
    </row>
    <row r="1137" spans="1:9" x14ac:dyDescent="0.3">
      <c r="A1137">
        <v>1136</v>
      </c>
      <c r="B1137" t="s">
        <v>4272</v>
      </c>
      <c r="C1137" t="s">
        <v>4273</v>
      </c>
      <c r="D1137" t="s">
        <v>4274</v>
      </c>
      <c r="E1137" t="s">
        <v>4275</v>
      </c>
      <c r="F1137" t="s">
        <v>4276</v>
      </c>
      <c r="G1137" t="s">
        <v>1917</v>
      </c>
      <c r="H1137" t="s">
        <v>15</v>
      </c>
      <c r="I1137">
        <v>14606</v>
      </c>
    </row>
    <row r="1138" spans="1:9" x14ac:dyDescent="0.3">
      <c r="A1138">
        <v>1137</v>
      </c>
      <c r="B1138" t="s">
        <v>4277</v>
      </c>
      <c r="C1138" t="s">
        <v>1772</v>
      </c>
      <c r="D1138" t="s">
        <v>11</v>
      </c>
      <c r="E1138" t="s">
        <v>4278</v>
      </c>
      <c r="F1138" t="s">
        <v>4279</v>
      </c>
      <c r="G1138" t="s">
        <v>58</v>
      </c>
      <c r="H1138" t="s">
        <v>15</v>
      </c>
      <c r="I1138">
        <v>11050</v>
      </c>
    </row>
    <row r="1139" spans="1:9" x14ac:dyDescent="0.3">
      <c r="A1139">
        <v>1138</v>
      </c>
      <c r="B1139" t="s">
        <v>4232</v>
      </c>
      <c r="C1139" t="s">
        <v>608</v>
      </c>
      <c r="D1139" t="s">
        <v>11</v>
      </c>
      <c r="E1139" t="s">
        <v>4280</v>
      </c>
      <c r="F1139" t="s">
        <v>4281</v>
      </c>
      <c r="G1139" t="s">
        <v>970</v>
      </c>
      <c r="H1139" t="s">
        <v>21</v>
      </c>
      <c r="I1139">
        <v>93555</v>
      </c>
    </row>
    <row r="1140" spans="1:9" x14ac:dyDescent="0.3">
      <c r="A1140">
        <v>1139</v>
      </c>
      <c r="B1140" t="s">
        <v>4282</v>
      </c>
      <c r="C1140" t="s">
        <v>3972</v>
      </c>
      <c r="D1140" t="s">
        <v>11</v>
      </c>
      <c r="E1140" t="s">
        <v>4283</v>
      </c>
      <c r="F1140" t="s">
        <v>4284</v>
      </c>
      <c r="G1140" t="s">
        <v>1505</v>
      </c>
      <c r="H1140" t="s">
        <v>15</v>
      </c>
      <c r="I1140">
        <v>10550</v>
      </c>
    </row>
    <row r="1141" spans="1:9" x14ac:dyDescent="0.3">
      <c r="A1141">
        <v>1140</v>
      </c>
      <c r="B1141" t="s">
        <v>4285</v>
      </c>
      <c r="C1141" t="s">
        <v>4286</v>
      </c>
      <c r="D1141" t="s">
        <v>11</v>
      </c>
      <c r="E1141" t="s">
        <v>4287</v>
      </c>
      <c r="F1141" t="s">
        <v>4288</v>
      </c>
      <c r="G1141" t="s">
        <v>195</v>
      </c>
      <c r="H1141" t="s">
        <v>15</v>
      </c>
      <c r="I1141">
        <v>13090</v>
      </c>
    </row>
    <row r="1142" spans="1:9" x14ac:dyDescent="0.3">
      <c r="A1142">
        <v>1141</v>
      </c>
      <c r="B1142" t="s">
        <v>4289</v>
      </c>
      <c r="C1142" t="s">
        <v>441</v>
      </c>
      <c r="D1142" t="s">
        <v>11</v>
      </c>
      <c r="E1142" t="s">
        <v>4290</v>
      </c>
      <c r="F1142" t="s">
        <v>4291</v>
      </c>
      <c r="G1142" t="s">
        <v>615</v>
      </c>
      <c r="H1142" t="s">
        <v>15</v>
      </c>
      <c r="I1142">
        <v>12550</v>
      </c>
    </row>
    <row r="1143" spans="1:9" x14ac:dyDescent="0.3">
      <c r="A1143">
        <v>1142</v>
      </c>
      <c r="B1143" t="s">
        <v>4292</v>
      </c>
      <c r="C1143" t="s">
        <v>2212</v>
      </c>
      <c r="D1143" t="s">
        <v>11</v>
      </c>
      <c r="E1143" t="s">
        <v>4293</v>
      </c>
      <c r="F1143" t="s">
        <v>4294</v>
      </c>
      <c r="G1143" t="s">
        <v>579</v>
      </c>
      <c r="H1143" t="s">
        <v>15</v>
      </c>
      <c r="I1143">
        <v>14534</v>
      </c>
    </row>
    <row r="1144" spans="1:9" x14ac:dyDescent="0.3">
      <c r="A1144">
        <v>1143</v>
      </c>
      <c r="B1144" t="s">
        <v>4295</v>
      </c>
      <c r="C1144" t="s">
        <v>468</v>
      </c>
      <c r="D1144" t="s">
        <v>11</v>
      </c>
      <c r="E1144" t="s">
        <v>4296</v>
      </c>
      <c r="F1144" t="s">
        <v>4297</v>
      </c>
      <c r="G1144" t="s">
        <v>4298</v>
      </c>
      <c r="H1144" t="s">
        <v>15</v>
      </c>
      <c r="I1144">
        <v>14150</v>
      </c>
    </row>
    <row r="1145" spans="1:9" x14ac:dyDescent="0.3">
      <c r="A1145">
        <v>1144</v>
      </c>
      <c r="B1145" t="s">
        <v>4299</v>
      </c>
      <c r="C1145" t="s">
        <v>4300</v>
      </c>
      <c r="D1145" t="s">
        <v>11</v>
      </c>
      <c r="E1145" t="s">
        <v>4301</v>
      </c>
      <c r="F1145" t="s">
        <v>4302</v>
      </c>
      <c r="G1145" t="s">
        <v>4067</v>
      </c>
      <c r="H1145" t="s">
        <v>15</v>
      </c>
      <c r="I1145">
        <v>11364</v>
      </c>
    </row>
    <row r="1146" spans="1:9" x14ac:dyDescent="0.3">
      <c r="A1146">
        <v>1145</v>
      </c>
      <c r="B1146" t="s">
        <v>4303</v>
      </c>
      <c r="C1146" t="s">
        <v>330</v>
      </c>
      <c r="D1146" t="s">
        <v>4304</v>
      </c>
      <c r="E1146" t="s">
        <v>4305</v>
      </c>
      <c r="F1146" t="s">
        <v>4306</v>
      </c>
      <c r="G1146" t="s">
        <v>1888</v>
      </c>
      <c r="H1146" t="s">
        <v>15</v>
      </c>
      <c r="I1146">
        <v>10701</v>
      </c>
    </row>
    <row r="1147" spans="1:9" x14ac:dyDescent="0.3">
      <c r="A1147">
        <v>1146</v>
      </c>
      <c r="B1147" t="s">
        <v>4307</v>
      </c>
      <c r="C1147" t="s">
        <v>355</v>
      </c>
      <c r="D1147" t="s">
        <v>11</v>
      </c>
      <c r="E1147" t="s">
        <v>4308</v>
      </c>
      <c r="F1147" t="s">
        <v>4309</v>
      </c>
      <c r="G1147" t="s">
        <v>682</v>
      </c>
      <c r="H1147" t="s">
        <v>15</v>
      </c>
      <c r="I1147">
        <v>11412</v>
      </c>
    </row>
    <row r="1148" spans="1:9" x14ac:dyDescent="0.3">
      <c r="A1148">
        <v>1147</v>
      </c>
      <c r="B1148" t="s">
        <v>1567</v>
      </c>
      <c r="C1148" t="s">
        <v>4310</v>
      </c>
      <c r="D1148" t="s">
        <v>11</v>
      </c>
      <c r="E1148" t="s">
        <v>4311</v>
      </c>
      <c r="F1148" t="s">
        <v>4312</v>
      </c>
      <c r="G1148" t="s">
        <v>2221</v>
      </c>
      <c r="H1148" t="s">
        <v>21</v>
      </c>
      <c r="I1148">
        <v>90403</v>
      </c>
    </row>
    <row r="1149" spans="1:9" x14ac:dyDescent="0.3">
      <c r="A1149">
        <v>1148</v>
      </c>
      <c r="B1149" t="s">
        <v>4313</v>
      </c>
      <c r="C1149" t="s">
        <v>4314</v>
      </c>
      <c r="D1149" t="s">
        <v>11</v>
      </c>
      <c r="E1149" t="s">
        <v>4315</v>
      </c>
      <c r="F1149" t="s">
        <v>4316</v>
      </c>
      <c r="G1149" t="s">
        <v>673</v>
      </c>
      <c r="H1149" t="s">
        <v>15</v>
      </c>
      <c r="I1149">
        <v>10977</v>
      </c>
    </row>
    <row r="1150" spans="1:9" x14ac:dyDescent="0.3">
      <c r="A1150">
        <v>1149</v>
      </c>
      <c r="B1150" t="s">
        <v>4317</v>
      </c>
      <c r="C1150" t="s">
        <v>768</v>
      </c>
      <c r="D1150" t="s">
        <v>11</v>
      </c>
      <c r="E1150" t="s">
        <v>4318</v>
      </c>
      <c r="F1150" t="s">
        <v>4319</v>
      </c>
      <c r="G1150" t="s">
        <v>818</v>
      </c>
      <c r="H1150" t="s">
        <v>21</v>
      </c>
      <c r="I1150">
        <v>95050</v>
      </c>
    </row>
    <row r="1151" spans="1:9" x14ac:dyDescent="0.3">
      <c r="A1151">
        <v>1150</v>
      </c>
      <c r="B1151" t="s">
        <v>1299</v>
      </c>
      <c r="C1151" t="s">
        <v>4320</v>
      </c>
      <c r="D1151" t="s">
        <v>4321</v>
      </c>
      <c r="E1151" t="s">
        <v>4322</v>
      </c>
      <c r="F1151" t="s">
        <v>4323</v>
      </c>
      <c r="G1151" t="s">
        <v>602</v>
      </c>
      <c r="H1151" t="s">
        <v>80</v>
      </c>
      <c r="I1151">
        <v>78418</v>
      </c>
    </row>
    <row r="1152" spans="1:9" x14ac:dyDescent="0.3">
      <c r="A1152">
        <v>1151</v>
      </c>
      <c r="B1152" t="s">
        <v>4324</v>
      </c>
      <c r="C1152" t="s">
        <v>3188</v>
      </c>
      <c r="D1152" t="s">
        <v>11</v>
      </c>
      <c r="E1152" t="s">
        <v>4325</v>
      </c>
      <c r="F1152" t="s">
        <v>4326</v>
      </c>
      <c r="G1152" t="s">
        <v>1310</v>
      </c>
      <c r="H1152" t="s">
        <v>15</v>
      </c>
      <c r="I1152">
        <v>11720</v>
      </c>
    </row>
    <row r="1153" spans="1:9" x14ac:dyDescent="0.3">
      <c r="A1153">
        <v>1152</v>
      </c>
      <c r="B1153" t="s">
        <v>4327</v>
      </c>
      <c r="C1153" t="s">
        <v>2169</v>
      </c>
      <c r="D1153" t="s">
        <v>11</v>
      </c>
      <c r="E1153" t="s">
        <v>4328</v>
      </c>
      <c r="F1153" t="s">
        <v>4329</v>
      </c>
      <c r="G1153" t="s">
        <v>366</v>
      </c>
      <c r="H1153" t="s">
        <v>21</v>
      </c>
      <c r="I1153">
        <v>91733</v>
      </c>
    </row>
    <row r="1154" spans="1:9" x14ac:dyDescent="0.3">
      <c r="A1154">
        <v>1153</v>
      </c>
      <c r="B1154" t="s">
        <v>4330</v>
      </c>
      <c r="C1154" t="s">
        <v>684</v>
      </c>
      <c r="D1154" t="s">
        <v>11</v>
      </c>
      <c r="E1154" t="s">
        <v>4331</v>
      </c>
      <c r="F1154" t="s">
        <v>4332</v>
      </c>
      <c r="G1154" t="s">
        <v>309</v>
      </c>
      <c r="H1154" t="s">
        <v>21</v>
      </c>
      <c r="I1154">
        <v>94070</v>
      </c>
    </row>
    <row r="1155" spans="1:9" x14ac:dyDescent="0.3">
      <c r="A1155">
        <v>1154</v>
      </c>
      <c r="B1155" t="s">
        <v>1306</v>
      </c>
      <c r="C1155" t="s">
        <v>162</v>
      </c>
      <c r="D1155" t="s">
        <v>11</v>
      </c>
      <c r="E1155" t="s">
        <v>4333</v>
      </c>
      <c r="F1155" t="s">
        <v>4334</v>
      </c>
      <c r="G1155" t="s">
        <v>2381</v>
      </c>
      <c r="H1155" t="s">
        <v>15</v>
      </c>
      <c r="I1155">
        <v>13021</v>
      </c>
    </row>
    <row r="1156" spans="1:9" x14ac:dyDescent="0.3">
      <c r="A1156">
        <v>1155</v>
      </c>
      <c r="B1156" t="s">
        <v>4335</v>
      </c>
      <c r="C1156" t="s">
        <v>408</v>
      </c>
      <c r="D1156" t="s">
        <v>11</v>
      </c>
      <c r="E1156" t="s">
        <v>4336</v>
      </c>
      <c r="F1156" t="s">
        <v>4337</v>
      </c>
      <c r="G1156" t="s">
        <v>4338</v>
      </c>
      <c r="H1156" t="s">
        <v>15</v>
      </c>
      <c r="I1156">
        <v>11691</v>
      </c>
    </row>
    <row r="1157" spans="1:9" x14ac:dyDescent="0.3">
      <c r="A1157">
        <v>1156</v>
      </c>
      <c r="B1157" t="s">
        <v>3040</v>
      </c>
      <c r="C1157" t="s">
        <v>3076</v>
      </c>
      <c r="D1157" t="s">
        <v>11</v>
      </c>
      <c r="E1157" t="s">
        <v>4339</v>
      </c>
      <c r="F1157" t="s">
        <v>4340</v>
      </c>
      <c r="G1157" t="s">
        <v>596</v>
      </c>
      <c r="H1157" t="s">
        <v>15</v>
      </c>
      <c r="I1157">
        <v>11414</v>
      </c>
    </row>
    <row r="1158" spans="1:9" x14ac:dyDescent="0.3">
      <c r="A1158">
        <v>1157</v>
      </c>
      <c r="B1158" t="s">
        <v>4341</v>
      </c>
      <c r="C1158" t="s">
        <v>1218</v>
      </c>
      <c r="D1158" t="s">
        <v>4342</v>
      </c>
      <c r="E1158" t="s">
        <v>4343</v>
      </c>
      <c r="F1158" t="s">
        <v>4344</v>
      </c>
      <c r="G1158" t="s">
        <v>48</v>
      </c>
      <c r="H1158" t="s">
        <v>15</v>
      </c>
      <c r="I1158">
        <v>14215</v>
      </c>
    </row>
    <row r="1159" spans="1:9" x14ac:dyDescent="0.3">
      <c r="A1159">
        <v>1158</v>
      </c>
      <c r="B1159" t="s">
        <v>4345</v>
      </c>
      <c r="C1159" t="s">
        <v>2142</v>
      </c>
      <c r="D1159" t="s">
        <v>11</v>
      </c>
      <c r="E1159" t="s">
        <v>4346</v>
      </c>
      <c r="F1159" t="s">
        <v>4347</v>
      </c>
      <c r="G1159" t="s">
        <v>106</v>
      </c>
      <c r="H1159" t="s">
        <v>15</v>
      </c>
      <c r="I1159">
        <v>14424</v>
      </c>
    </row>
    <row r="1160" spans="1:9" x14ac:dyDescent="0.3">
      <c r="A1160">
        <v>1159</v>
      </c>
      <c r="B1160" t="s">
        <v>4348</v>
      </c>
      <c r="C1160" t="s">
        <v>363</v>
      </c>
      <c r="D1160" t="s">
        <v>11</v>
      </c>
      <c r="E1160" t="s">
        <v>4349</v>
      </c>
      <c r="F1160" t="s">
        <v>4350</v>
      </c>
      <c r="G1160" t="s">
        <v>510</v>
      </c>
      <c r="H1160" t="s">
        <v>15</v>
      </c>
      <c r="I1160">
        <v>11791</v>
      </c>
    </row>
    <row r="1161" spans="1:9" x14ac:dyDescent="0.3">
      <c r="A1161">
        <v>1160</v>
      </c>
      <c r="B1161" t="s">
        <v>1964</v>
      </c>
      <c r="C1161" t="s">
        <v>4351</v>
      </c>
      <c r="D1161" t="s">
        <v>11</v>
      </c>
      <c r="E1161" t="s">
        <v>4352</v>
      </c>
      <c r="F1161" t="s">
        <v>4353</v>
      </c>
      <c r="G1161" t="s">
        <v>570</v>
      </c>
      <c r="H1161" t="s">
        <v>80</v>
      </c>
      <c r="I1161">
        <v>76039</v>
      </c>
    </row>
    <row r="1162" spans="1:9" x14ac:dyDescent="0.3">
      <c r="A1162">
        <v>1161</v>
      </c>
      <c r="B1162" t="s">
        <v>4354</v>
      </c>
      <c r="C1162" t="s">
        <v>780</v>
      </c>
      <c r="D1162" t="s">
        <v>11</v>
      </c>
      <c r="E1162" t="s">
        <v>4355</v>
      </c>
      <c r="F1162" t="s">
        <v>4356</v>
      </c>
      <c r="G1162" t="s">
        <v>1585</v>
      </c>
      <c r="H1162" t="s">
        <v>15</v>
      </c>
      <c r="I1162">
        <v>11580</v>
      </c>
    </row>
    <row r="1163" spans="1:9" x14ac:dyDescent="0.3">
      <c r="A1163">
        <v>1162</v>
      </c>
      <c r="B1163" t="s">
        <v>4357</v>
      </c>
      <c r="C1163" t="s">
        <v>4358</v>
      </c>
      <c r="D1163" t="s">
        <v>11</v>
      </c>
      <c r="E1163" t="s">
        <v>4359</v>
      </c>
      <c r="F1163" t="s">
        <v>4360</v>
      </c>
      <c r="G1163" t="s">
        <v>1597</v>
      </c>
      <c r="H1163" t="s">
        <v>15</v>
      </c>
      <c r="I1163">
        <v>14850</v>
      </c>
    </row>
    <row r="1164" spans="1:9" x14ac:dyDescent="0.3">
      <c r="A1164">
        <v>1163</v>
      </c>
      <c r="B1164" t="s">
        <v>4361</v>
      </c>
      <c r="C1164" t="s">
        <v>44</v>
      </c>
      <c r="D1164" t="s">
        <v>11</v>
      </c>
      <c r="E1164" t="s">
        <v>4362</v>
      </c>
      <c r="F1164" t="s">
        <v>4363</v>
      </c>
      <c r="G1164" t="s">
        <v>1041</v>
      </c>
      <c r="H1164" t="s">
        <v>21</v>
      </c>
      <c r="I1164">
        <v>90260</v>
      </c>
    </row>
    <row r="1165" spans="1:9" x14ac:dyDescent="0.3">
      <c r="A1165">
        <v>1164</v>
      </c>
      <c r="B1165" t="s">
        <v>4364</v>
      </c>
      <c r="C1165" t="s">
        <v>4365</v>
      </c>
      <c r="D1165" t="s">
        <v>11</v>
      </c>
      <c r="E1165" t="s">
        <v>4366</v>
      </c>
      <c r="F1165" t="s">
        <v>4367</v>
      </c>
      <c r="G1165" t="s">
        <v>101</v>
      </c>
      <c r="H1165" t="s">
        <v>15</v>
      </c>
      <c r="I1165">
        <v>10583</v>
      </c>
    </row>
    <row r="1166" spans="1:9" x14ac:dyDescent="0.3">
      <c r="A1166">
        <v>1165</v>
      </c>
      <c r="B1166" t="s">
        <v>4368</v>
      </c>
      <c r="C1166" t="s">
        <v>4369</v>
      </c>
      <c r="D1166" t="s">
        <v>4370</v>
      </c>
      <c r="E1166" t="s">
        <v>4371</v>
      </c>
      <c r="F1166" t="s">
        <v>4372</v>
      </c>
      <c r="G1166" t="s">
        <v>2154</v>
      </c>
      <c r="H1166" t="s">
        <v>80</v>
      </c>
      <c r="I1166">
        <v>76110</v>
      </c>
    </row>
    <row r="1167" spans="1:9" x14ac:dyDescent="0.3">
      <c r="A1167">
        <v>1166</v>
      </c>
      <c r="B1167" t="s">
        <v>4373</v>
      </c>
      <c r="C1167" t="s">
        <v>142</v>
      </c>
      <c r="D1167" t="s">
        <v>11</v>
      </c>
      <c r="E1167" t="s">
        <v>4374</v>
      </c>
      <c r="F1167" t="s">
        <v>4375</v>
      </c>
      <c r="G1167" t="s">
        <v>745</v>
      </c>
      <c r="H1167" t="s">
        <v>15</v>
      </c>
      <c r="I1167">
        <v>11706</v>
      </c>
    </row>
    <row r="1168" spans="1:9" x14ac:dyDescent="0.3">
      <c r="A1168">
        <v>1167</v>
      </c>
      <c r="B1168" t="s">
        <v>2789</v>
      </c>
      <c r="C1168" t="s">
        <v>228</v>
      </c>
      <c r="D1168" t="s">
        <v>11</v>
      </c>
      <c r="E1168" t="s">
        <v>4376</v>
      </c>
      <c r="F1168" t="s">
        <v>4377</v>
      </c>
      <c r="G1168" t="s">
        <v>1968</v>
      </c>
      <c r="H1168" t="s">
        <v>15</v>
      </c>
      <c r="I1168">
        <v>10954</v>
      </c>
    </row>
    <row r="1169" spans="1:9" x14ac:dyDescent="0.3">
      <c r="A1169">
        <v>1168</v>
      </c>
      <c r="B1169" t="s">
        <v>4378</v>
      </c>
      <c r="C1169" t="s">
        <v>2320</v>
      </c>
      <c r="D1169" t="s">
        <v>11</v>
      </c>
      <c r="E1169" t="s">
        <v>4379</v>
      </c>
      <c r="F1169" t="s">
        <v>4380</v>
      </c>
      <c r="G1169" t="s">
        <v>151</v>
      </c>
      <c r="H1169" t="s">
        <v>15</v>
      </c>
      <c r="I1169">
        <v>11104</v>
      </c>
    </row>
    <row r="1170" spans="1:9" x14ac:dyDescent="0.3">
      <c r="A1170">
        <v>1169</v>
      </c>
      <c r="B1170" t="s">
        <v>4381</v>
      </c>
      <c r="C1170" t="s">
        <v>408</v>
      </c>
      <c r="D1170" t="s">
        <v>11</v>
      </c>
      <c r="E1170" t="s">
        <v>4382</v>
      </c>
      <c r="F1170" t="s">
        <v>4383</v>
      </c>
      <c r="G1170" t="s">
        <v>673</v>
      </c>
      <c r="H1170" t="s">
        <v>15</v>
      </c>
      <c r="I1170">
        <v>10977</v>
      </c>
    </row>
    <row r="1171" spans="1:9" x14ac:dyDescent="0.3">
      <c r="A1171">
        <v>1170</v>
      </c>
      <c r="B1171" t="s">
        <v>4384</v>
      </c>
      <c r="C1171" t="s">
        <v>2853</v>
      </c>
      <c r="D1171" t="s">
        <v>11</v>
      </c>
      <c r="E1171" t="s">
        <v>4385</v>
      </c>
      <c r="F1171" t="s">
        <v>4386</v>
      </c>
      <c r="G1171" t="s">
        <v>226</v>
      </c>
      <c r="H1171" t="s">
        <v>15</v>
      </c>
      <c r="I1171">
        <v>11418</v>
      </c>
    </row>
    <row r="1172" spans="1:9" x14ac:dyDescent="0.3">
      <c r="A1172">
        <v>1171</v>
      </c>
      <c r="B1172" t="s">
        <v>4387</v>
      </c>
      <c r="C1172" t="s">
        <v>1662</v>
      </c>
      <c r="D1172" t="s">
        <v>11</v>
      </c>
      <c r="E1172" t="s">
        <v>4388</v>
      </c>
      <c r="F1172" t="s">
        <v>4389</v>
      </c>
      <c r="G1172" t="s">
        <v>333</v>
      </c>
      <c r="H1172" t="s">
        <v>15</v>
      </c>
      <c r="I1172">
        <v>13440</v>
      </c>
    </row>
    <row r="1173" spans="1:9" x14ac:dyDescent="0.3">
      <c r="A1173">
        <v>1172</v>
      </c>
      <c r="B1173" t="s">
        <v>4390</v>
      </c>
      <c r="C1173" t="s">
        <v>3240</v>
      </c>
      <c r="D1173" t="s">
        <v>11</v>
      </c>
      <c r="E1173" t="s">
        <v>4391</v>
      </c>
      <c r="F1173" t="s">
        <v>4392</v>
      </c>
      <c r="G1173" t="s">
        <v>579</v>
      </c>
      <c r="H1173" t="s">
        <v>15</v>
      </c>
      <c r="I1173">
        <v>14534</v>
      </c>
    </row>
    <row r="1174" spans="1:9" x14ac:dyDescent="0.3">
      <c r="A1174">
        <v>1173</v>
      </c>
      <c r="B1174" t="s">
        <v>4393</v>
      </c>
      <c r="C1174" t="s">
        <v>3010</v>
      </c>
      <c r="D1174" t="s">
        <v>11</v>
      </c>
      <c r="E1174" t="s">
        <v>4394</v>
      </c>
      <c r="F1174" t="s">
        <v>4395</v>
      </c>
      <c r="G1174" t="s">
        <v>1202</v>
      </c>
      <c r="H1174" t="s">
        <v>15</v>
      </c>
      <c r="I1174">
        <v>11530</v>
      </c>
    </row>
    <row r="1175" spans="1:9" x14ac:dyDescent="0.3">
      <c r="A1175">
        <v>1174</v>
      </c>
      <c r="B1175" t="s">
        <v>4396</v>
      </c>
      <c r="C1175" t="s">
        <v>1460</v>
      </c>
      <c r="D1175" t="s">
        <v>4397</v>
      </c>
      <c r="E1175" t="s">
        <v>4398</v>
      </c>
      <c r="F1175" t="s">
        <v>4399</v>
      </c>
      <c r="G1175" t="s">
        <v>1888</v>
      </c>
      <c r="H1175" t="s">
        <v>15</v>
      </c>
      <c r="I1175">
        <v>10701</v>
      </c>
    </row>
    <row r="1176" spans="1:9" x14ac:dyDescent="0.3">
      <c r="A1176">
        <v>1175</v>
      </c>
      <c r="B1176" t="s">
        <v>4400</v>
      </c>
      <c r="C1176" t="s">
        <v>1380</v>
      </c>
      <c r="D1176" t="s">
        <v>11</v>
      </c>
      <c r="E1176" t="s">
        <v>4401</v>
      </c>
      <c r="F1176" t="s">
        <v>4402</v>
      </c>
      <c r="G1176" t="s">
        <v>1576</v>
      </c>
      <c r="H1176" t="s">
        <v>21</v>
      </c>
      <c r="I1176">
        <v>91768</v>
      </c>
    </row>
    <row r="1177" spans="1:9" x14ac:dyDescent="0.3">
      <c r="A1177">
        <v>1176</v>
      </c>
      <c r="B1177" t="s">
        <v>2134</v>
      </c>
      <c r="C1177" t="s">
        <v>2375</v>
      </c>
      <c r="D1177" t="s">
        <v>11</v>
      </c>
      <c r="E1177" t="s">
        <v>4403</v>
      </c>
      <c r="F1177" t="s">
        <v>4404</v>
      </c>
      <c r="G1177" t="s">
        <v>221</v>
      </c>
      <c r="H1177" t="s">
        <v>15</v>
      </c>
      <c r="I1177">
        <v>12804</v>
      </c>
    </row>
    <row r="1178" spans="1:9" x14ac:dyDescent="0.3">
      <c r="A1178">
        <v>1177</v>
      </c>
      <c r="B1178" t="s">
        <v>4405</v>
      </c>
      <c r="C1178" t="s">
        <v>1002</v>
      </c>
      <c r="D1178" t="s">
        <v>11</v>
      </c>
      <c r="E1178" t="s">
        <v>4406</v>
      </c>
      <c r="F1178" t="s">
        <v>4407</v>
      </c>
      <c r="G1178" t="s">
        <v>1281</v>
      </c>
      <c r="H1178" t="s">
        <v>15</v>
      </c>
      <c r="I1178">
        <v>12601</v>
      </c>
    </row>
    <row r="1179" spans="1:9" x14ac:dyDescent="0.3">
      <c r="A1179">
        <v>1178</v>
      </c>
      <c r="B1179" t="s">
        <v>4408</v>
      </c>
      <c r="C1179" t="s">
        <v>3686</v>
      </c>
      <c r="D1179" t="s">
        <v>4409</v>
      </c>
      <c r="E1179" t="s">
        <v>4410</v>
      </c>
      <c r="F1179" t="s">
        <v>4411</v>
      </c>
      <c r="G1179" t="s">
        <v>810</v>
      </c>
      <c r="H1179" t="s">
        <v>21</v>
      </c>
      <c r="I1179">
        <v>93035</v>
      </c>
    </row>
    <row r="1180" spans="1:9" x14ac:dyDescent="0.3">
      <c r="A1180">
        <v>1179</v>
      </c>
      <c r="B1180" t="s">
        <v>4412</v>
      </c>
      <c r="C1180" t="s">
        <v>2960</v>
      </c>
      <c r="D1180" t="s">
        <v>11</v>
      </c>
      <c r="E1180" t="s">
        <v>4413</v>
      </c>
      <c r="F1180" t="s">
        <v>4414</v>
      </c>
      <c r="G1180" t="s">
        <v>962</v>
      </c>
      <c r="H1180" t="s">
        <v>15</v>
      </c>
      <c r="I1180">
        <v>11201</v>
      </c>
    </row>
    <row r="1181" spans="1:9" x14ac:dyDescent="0.3">
      <c r="A1181">
        <v>1180</v>
      </c>
      <c r="B1181" t="s">
        <v>4415</v>
      </c>
      <c r="C1181" t="s">
        <v>3131</v>
      </c>
      <c r="D1181" t="s">
        <v>11</v>
      </c>
      <c r="E1181" t="s">
        <v>4416</v>
      </c>
      <c r="F1181" t="s">
        <v>4417</v>
      </c>
      <c r="G1181" t="s">
        <v>460</v>
      </c>
      <c r="H1181" t="s">
        <v>15</v>
      </c>
      <c r="I1181">
        <v>11735</v>
      </c>
    </row>
    <row r="1182" spans="1:9" x14ac:dyDescent="0.3">
      <c r="A1182">
        <v>1181</v>
      </c>
      <c r="B1182" t="s">
        <v>4418</v>
      </c>
      <c r="C1182" t="s">
        <v>4419</v>
      </c>
      <c r="D1182" t="s">
        <v>11</v>
      </c>
      <c r="E1182" t="s">
        <v>4420</v>
      </c>
      <c r="F1182" t="s">
        <v>4421</v>
      </c>
      <c r="G1182" t="s">
        <v>962</v>
      </c>
      <c r="H1182" t="s">
        <v>15</v>
      </c>
      <c r="I1182">
        <v>11201</v>
      </c>
    </row>
    <row r="1183" spans="1:9" x14ac:dyDescent="0.3">
      <c r="A1183">
        <v>1182</v>
      </c>
      <c r="B1183" t="s">
        <v>3828</v>
      </c>
      <c r="C1183" t="s">
        <v>3807</v>
      </c>
      <c r="D1183" t="s">
        <v>11</v>
      </c>
      <c r="E1183" t="s">
        <v>4422</v>
      </c>
      <c r="F1183" t="s">
        <v>4423</v>
      </c>
      <c r="G1183" t="s">
        <v>1253</v>
      </c>
      <c r="H1183" t="s">
        <v>15</v>
      </c>
      <c r="I1183">
        <v>11779</v>
      </c>
    </row>
    <row r="1184" spans="1:9" x14ac:dyDescent="0.3">
      <c r="A1184">
        <v>1183</v>
      </c>
      <c r="B1184" t="s">
        <v>1327</v>
      </c>
      <c r="C1184" t="s">
        <v>3240</v>
      </c>
      <c r="D1184" t="s">
        <v>11</v>
      </c>
      <c r="E1184" t="s">
        <v>4424</v>
      </c>
      <c r="F1184" t="s">
        <v>4425</v>
      </c>
      <c r="G1184" t="s">
        <v>267</v>
      </c>
      <c r="H1184" t="s">
        <v>15</v>
      </c>
      <c r="I1184">
        <v>11566</v>
      </c>
    </row>
    <row r="1185" spans="1:9" x14ac:dyDescent="0.3">
      <c r="A1185">
        <v>1184</v>
      </c>
      <c r="B1185" t="s">
        <v>4426</v>
      </c>
      <c r="C1185" t="s">
        <v>897</v>
      </c>
      <c r="D1185" t="s">
        <v>11</v>
      </c>
      <c r="E1185" t="s">
        <v>4427</v>
      </c>
      <c r="F1185" t="s">
        <v>4428</v>
      </c>
      <c r="G1185" t="s">
        <v>673</v>
      </c>
      <c r="H1185" t="s">
        <v>15</v>
      </c>
      <c r="I1185">
        <v>10977</v>
      </c>
    </row>
    <row r="1186" spans="1:9" x14ac:dyDescent="0.3">
      <c r="A1186">
        <v>1185</v>
      </c>
      <c r="B1186" t="s">
        <v>4429</v>
      </c>
      <c r="C1186" t="s">
        <v>4430</v>
      </c>
      <c r="D1186" t="s">
        <v>11</v>
      </c>
      <c r="E1186" t="s">
        <v>4431</v>
      </c>
      <c r="F1186" t="s">
        <v>4432</v>
      </c>
      <c r="G1186" t="s">
        <v>2552</v>
      </c>
      <c r="H1186" t="s">
        <v>15</v>
      </c>
      <c r="I1186">
        <v>12065</v>
      </c>
    </row>
    <row r="1187" spans="1:9" x14ac:dyDescent="0.3">
      <c r="A1187">
        <v>1186</v>
      </c>
      <c r="B1187" t="s">
        <v>4433</v>
      </c>
      <c r="C1187" t="s">
        <v>1051</v>
      </c>
      <c r="D1187" t="s">
        <v>11</v>
      </c>
      <c r="E1187" t="s">
        <v>4434</v>
      </c>
      <c r="F1187" t="s">
        <v>4435</v>
      </c>
      <c r="G1187" t="s">
        <v>309</v>
      </c>
      <c r="H1187" t="s">
        <v>21</v>
      </c>
      <c r="I1187">
        <v>94070</v>
      </c>
    </row>
    <row r="1188" spans="1:9" x14ac:dyDescent="0.3">
      <c r="A1188">
        <v>1187</v>
      </c>
      <c r="B1188" t="s">
        <v>4436</v>
      </c>
      <c r="C1188" t="s">
        <v>4437</v>
      </c>
      <c r="D1188" t="s">
        <v>11</v>
      </c>
      <c r="E1188" t="s">
        <v>4438</v>
      </c>
      <c r="F1188" t="s">
        <v>4439</v>
      </c>
      <c r="G1188" t="s">
        <v>1669</v>
      </c>
      <c r="H1188" t="s">
        <v>15</v>
      </c>
      <c r="I1188">
        <v>11354</v>
      </c>
    </row>
    <row r="1189" spans="1:9" x14ac:dyDescent="0.3">
      <c r="A1189">
        <v>1188</v>
      </c>
      <c r="B1189" t="s">
        <v>4440</v>
      </c>
      <c r="C1189" t="s">
        <v>4441</v>
      </c>
      <c r="D1189" t="s">
        <v>4442</v>
      </c>
      <c r="E1189" t="s">
        <v>4443</v>
      </c>
      <c r="F1189" t="s">
        <v>4444</v>
      </c>
      <c r="G1189" t="s">
        <v>1888</v>
      </c>
      <c r="H1189" t="s">
        <v>15</v>
      </c>
      <c r="I1189">
        <v>10701</v>
      </c>
    </row>
    <row r="1190" spans="1:9" x14ac:dyDescent="0.3">
      <c r="A1190">
        <v>1189</v>
      </c>
      <c r="B1190" t="s">
        <v>2362</v>
      </c>
      <c r="C1190" t="s">
        <v>503</v>
      </c>
      <c r="D1190" t="s">
        <v>11</v>
      </c>
      <c r="E1190" t="s">
        <v>4445</v>
      </c>
      <c r="F1190" t="s">
        <v>4446</v>
      </c>
      <c r="G1190" t="s">
        <v>31</v>
      </c>
      <c r="H1190" t="s">
        <v>15</v>
      </c>
      <c r="I1190">
        <v>11553</v>
      </c>
    </row>
    <row r="1191" spans="1:9" x14ac:dyDescent="0.3">
      <c r="A1191">
        <v>1190</v>
      </c>
      <c r="B1191" t="s">
        <v>4447</v>
      </c>
      <c r="C1191" t="s">
        <v>847</v>
      </c>
      <c r="D1191" t="s">
        <v>11</v>
      </c>
      <c r="E1191" t="s">
        <v>4448</v>
      </c>
      <c r="F1191" t="s">
        <v>4449</v>
      </c>
      <c r="G1191" t="s">
        <v>384</v>
      </c>
      <c r="H1191" t="s">
        <v>15</v>
      </c>
      <c r="I1191">
        <v>11776</v>
      </c>
    </row>
    <row r="1192" spans="1:9" x14ac:dyDescent="0.3">
      <c r="A1192">
        <v>1191</v>
      </c>
      <c r="B1192" t="s">
        <v>4450</v>
      </c>
      <c r="C1192" t="s">
        <v>23</v>
      </c>
      <c r="D1192" t="s">
        <v>4451</v>
      </c>
      <c r="E1192" t="s">
        <v>4452</v>
      </c>
      <c r="F1192" t="s">
        <v>4453</v>
      </c>
      <c r="G1192" t="s">
        <v>1917</v>
      </c>
      <c r="H1192" t="s">
        <v>15</v>
      </c>
      <c r="I1192">
        <v>14606</v>
      </c>
    </row>
    <row r="1193" spans="1:9" x14ac:dyDescent="0.3">
      <c r="A1193">
        <v>1192</v>
      </c>
      <c r="B1193" t="s">
        <v>4454</v>
      </c>
      <c r="C1193" t="s">
        <v>4455</v>
      </c>
      <c r="D1193" t="s">
        <v>11</v>
      </c>
      <c r="E1193" t="s">
        <v>4456</v>
      </c>
      <c r="F1193" t="s">
        <v>4457</v>
      </c>
      <c r="G1193" t="s">
        <v>328</v>
      </c>
      <c r="H1193" t="s">
        <v>80</v>
      </c>
      <c r="I1193">
        <v>75115</v>
      </c>
    </row>
    <row r="1194" spans="1:9" x14ac:dyDescent="0.3">
      <c r="A1194">
        <v>1193</v>
      </c>
      <c r="B1194" t="s">
        <v>3436</v>
      </c>
      <c r="C1194" t="s">
        <v>1002</v>
      </c>
      <c r="D1194" t="s">
        <v>11</v>
      </c>
      <c r="E1194" t="s">
        <v>4458</v>
      </c>
      <c r="F1194" t="s">
        <v>4459</v>
      </c>
      <c r="G1194" t="s">
        <v>800</v>
      </c>
      <c r="H1194" t="s">
        <v>15</v>
      </c>
      <c r="I1194">
        <v>11420</v>
      </c>
    </row>
    <row r="1195" spans="1:9" x14ac:dyDescent="0.3">
      <c r="A1195">
        <v>1194</v>
      </c>
      <c r="B1195" t="s">
        <v>4460</v>
      </c>
      <c r="C1195" t="s">
        <v>4461</v>
      </c>
      <c r="D1195" t="s">
        <v>11</v>
      </c>
      <c r="E1195" t="s">
        <v>4462</v>
      </c>
      <c r="F1195" t="s">
        <v>4463</v>
      </c>
      <c r="G1195" t="s">
        <v>579</v>
      </c>
      <c r="H1195" t="s">
        <v>15</v>
      </c>
      <c r="I1195">
        <v>14534</v>
      </c>
    </row>
    <row r="1196" spans="1:9" x14ac:dyDescent="0.3">
      <c r="A1196">
        <v>1195</v>
      </c>
      <c r="B1196" t="s">
        <v>4464</v>
      </c>
      <c r="C1196" t="s">
        <v>386</v>
      </c>
      <c r="D1196" t="s">
        <v>4465</v>
      </c>
      <c r="E1196" t="s">
        <v>4466</v>
      </c>
      <c r="F1196" t="s">
        <v>4467</v>
      </c>
      <c r="G1196" t="s">
        <v>48</v>
      </c>
      <c r="H1196" t="s">
        <v>15</v>
      </c>
      <c r="I1196">
        <v>14215</v>
      </c>
    </row>
    <row r="1197" spans="1:9" x14ac:dyDescent="0.3">
      <c r="A1197">
        <v>1196</v>
      </c>
      <c r="B1197" t="s">
        <v>4468</v>
      </c>
      <c r="C1197" t="s">
        <v>1850</v>
      </c>
      <c r="D1197" t="s">
        <v>11</v>
      </c>
      <c r="E1197" t="s">
        <v>4469</v>
      </c>
      <c r="F1197" t="s">
        <v>4470</v>
      </c>
      <c r="G1197" t="s">
        <v>1036</v>
      </c>
      <c r="H1197" t="s">
        <v>15</v>
      </c>
      <c r="I1197">
        <v>11772</v>
      </c>
    </row>
    <row r="1198" spans="1:9" x14ac:dyDescent="0.3">
      <c r="A1198">
        <v>1197</v>
      </c>
      <c r="B1198" t="s">
        <v>4471</v>
      </c>
      <c r="C1198" t="s">
        <v>2236</v>
      </c>
      <c r="D1198" t="s">
        <v>11</v>
      </c>
      <c r="E1198" t="s">
        <v>4472</v>
      </c>
      <c r="F1198" t="s">
        <v>4473</v>
      </c>
      <c r="G1198" t="s">
        <v>58</v>
      </c>
      <c r="H1198" t="s">
        <v>15</v>
      </c>
      <c r="I1198">
        <v>11050</v>
      </c>
    </row>
    <row r="1199" spans="1:9" x14ac:dyDescent="0.3">
      <c r="A1199">
        <v>1198</v>
      </c>
      <c r="B1199" t="s">
        <v>4474</v>
      </c>
      <c r="C1199" t="s">
        <v>4461</v>
      </c>
      <c r="D1199" t="s">
        <v>11</v>
      </c>
      <c r="E1199" t="s">
        <v>4475</v>
      </c>
      <c r="F1199" t="s">
        <v>4476</v>
      </c>
      <c r="G1199" t="s">
        <v>962</v>
      </c>
      <c r="H1199" t="s">
        <v>15</v>
      </c>
      <c r="I1199">
        <v>11201</v>
      </c>
    </row>
    <row r="1200" spans="1:9" x14ac:dyDescent="0.3">
      <c r="A1200">
        <v>1199</v>
      </c>
      <c r="B1200" t="s">
        <v>4477</v>
      </c>
      <c r="C1200" t="s">
        <v>1006</v>
      </c>
      <c r="D1200" t="s">
        <v>11</v>
      </c>
      <c r="E1200" t="s">
        <v>4478</v>
      </c>
      <c r="F1200" t="s">
        <v>4479</v>
      </c>
      <c r="G1200" t="s">
        <v>375</v>
      </c>
      <c r="H1200" t="s">
        <v>15</v>
      </c>
      <c r="I1200">
        <v>14120</v>
      </c>
    </row>
    <row r="1201" spans="1:9" x14ac:dyDescent="0.3">
      <c r="A1201">
        <v>1200</v>
      </c>
      <c r="B1201" t="s">
        <v>4480</v>
      </c>
      <c r="C1201" t="s">
        <v>3399</v>
      </c>
      <c r="D1201" t="s">
        <v>11</v>
      </c>
      <c r="E1201" t="s">
        <v>4481</v>
      </c>
      <c r="F1201" t="s">
        <v>4482</v>
      </c>
      <c r="G1201" t="s">
        <v>58</v>
      </c>
      <c r="H1201" t="s">
        <v>15</v>
      </c>
      <c r="I1201">
        <v>11050</v>
      </c>
    </row>
    <row r="1202" spans="1:9" x14ac:dyDescent="0.3">
      <c r="A1202">
        <v>1201</v>
      </c>
      <c r="B1202" t="s">
        <v>4483</v>
      </c>
      <c r="C1202" t="s">
        <v>3356</v>
      </c>
      <c r="D1202" t="s">
        <v>11</v>
      </c>
      <c r="E1202" t="s">
        <v>4484</v>
      </c>
      <c r="F1202" t="s">
        <v>4485</v>
      </c>
      <c r="G1202" t="s">
        <v>695</v>
      </c>
      <c r="H1202" t="s">
        <v>15</v>
      </c>
      <c r="I1202">
        <v>10573</v>
      </c>
    </row>
    <row r="1203" spans="1:9" x14ac:dyDescent="0.3">
      <c r="A1203">
        <v>1202</v>
      </c>
      <c r="B1203" t="s">
        <v>4486</v>
      </c>
      <c r="C1203" t="s">
        <v>3277</v>
      </c>
      <c r="D1203" t="s">
        <v>11</v>
      </c>
      <c r="E1203" t="s">
        <v>4487</v>
      </c>
      <c r="F1203" t="s">
        <v>4488</v>
      </c>
      <c r="G1203" t="s">
        <v>755</v>
      </c>
      <c r="H1203" t="s">
        <v>21</v>
      </c>
      <c r="I1203">
        <v>92220</v>
      </c>
    </row>
    <row r="1204" spans="1:9" x14ac:dyDescent="0.3">
      <c r="A1204">
        <v>1203</v>
      </c>
      <c r="B1204" t="s">
        <v>371</v>
      </c>
      <c r="C1204" t="s">
        <v>1599</v>
      </c>
      <c r="D1204" t="s">
        <v>11</v>
      </c>
      <c r="E1204" t="s">
        <v>4489</v>
      </c>
      <c r="F1204" t="s">
        <v>4490</v>
      </c>
      <c r="G1204" t="s">
        <v>328</v>
      </c>
      <c r="H1204" t="s">
        <v>80</v>
      </c>
      <c r="I1204">
        <v>75115</v>
      </c>
    </row>
    <row r="1205" spans="1:9" x14ac:dyDescent="0.3">
      <c r="A1205">
        <v>1204</v>
      </c>
      <c r="B1205" t="s">
        <v>4491</v>
      </c>
      <c r="C1205" t="s">
        <v>477</v>
      </c>
      <c r="D1205" t="s">
        <v>11</v>
      </c>
      <c r="E1205" t="s">
        <v>4492</v>
      </c>
      <c r="F1205" t="s">
        <v>4493</v>
      </c>
      <c r="G1205" t="s">
        <v>475</v>
      </c>
      <c r="H1205" t="s">
        <v>15</v>
      </c>
      <c r="I1205">
        <v>12866</v>
      </c>
    </row>
    <row r="1206" spans="1:9" x14ac:dyDescent="0.3">
      <c r="A1206">
        <v>1205</v>
      </c>
      <c r="B1206" t="s">
        <v>4494</v>
      </c>
      <c r="C1206" t="s">
        <v>2290</v>
      </c>
      <c r="D1206" t="s">
        <v>11</v>
      </c>
      <c r="E1206" t="s">
        <v>4495</v>
      </c>
      <c r="F1206" t="s">
        <v>4496</v>
      </c>
      <c r="G1206" t="s">
        <v>1505</v>
      </c>
      <c r="H1206" t="s">
        <v>15</v>
      </c>
      <c r="I1206">
        <v>10550</v>
      </c>
    </row>
    <row r="1207" spans="1:9" x14ac:dyDescent="0.3">
      <c r="A1207">
        <v>1206</v>
      </c>
      <c r="B1207" t="s">
        <v>4497</v>
      </c>
      <c r="C1207" t="s">
        <v>3736</v>
      </c>
      <c r="D1207" t="s">
        <v>11</v>
      </c>
      <c r="E1207" t="s">
        <v>4498</v>
      </c>
      <c r="F1207" t="s">
        <v>4499</v>
      </c>
      <c r="G1207" t="s">
        <v>130</v>
      </c>
      <c r="H1207" t="s">
        <v>15</v>
      </c>
      <c r="I1207">
        <v>11423</v>
      </c>
    </row>
    <row r="1208" spans="1:9" x14ac:dyDescent="0.3">
      <c r="A1208">
        <v>1207</v>
      </c>
      <c r="B1208" t="s">
        <v>4500</v>
      </c>
      <c r="C1208" t="s">
        <v>1219</v>
      </c>
      <c r="D1208" t="s">
        <v>4501</v>
      </c>
      <c r="E1208" t="s">
        <v>4502</v>
      </c>
      <c r="F1208" t="s">
        <v>4503</v>
      </c>
      <c r="G1208" t="s">
        <v>1059</v>
      </c>
      <c r="H1208" t="s">
        <v>15</v>
      </c>
      <c r="I1208">
        <v>11717</v>
      </c>
    </row>
    <row r="1209" spans="1:9" x14ac:dyDescent="0.3">
      <c r="A1209">
        <v>1208</v>
      </c>
      <c r="B1209" t="s">
        <v>4504</v>
      </c>
      <c r="C1209" t="s">
        <v>4505</v>
      </c>
      <c r="D1209" t="s">
        <v>11</v>
      </c>
      <c r="E1209" t="s">
        <v>4506</v>
      </c>
      <c r="F1209" t="s">
        <v>4507</v>
      </c>
      <c r="G1209" t="s">
        <v>1762</v>
      </c>
      <c r="H1209" t="s">
        <v>15</v>
      </c>
      <c r="I1209">
        <v>10512</v>
      </c>
    </row>
    <row r="1210" spans="1:9" x14ac:dyDescent="0.3">
      <c r="A1210">
        <v>1209</v>
      </c>
      <c r="B1210" t="s">
        <v>4303</v>
      </c>
      <c r="C1210" t="s">
        <v>3767</v>
      </c>
      <c r="D1210" t="s">
        <v>11</v>
      </c>
      <c r="E1210" t="s">
        <v>4508</v>
      </c>
      <c r="F1210" t="s">
        <v>4509</v>
      </c>
      <c r="G1210" t="s">
        <v>722</v>
      </c>
      <c r="H1210" t="s">
        <v>15</v>
      </c>
      <c r="I1210">
        <v>11743</v>
      </c>
    </row>
    <row r="1211" spans="1:9" x14ac:dyDescent="0.3">
      <c r="A1211">
        <v>1210</v>
      </c>
      <c r="B1211" t="s">
        <v>4510</v>
      </c>
      <c r="C1211" t="s">
        <v>1456</v>
      </c>
      <c r="D1211" t="s">
        <v>11</v>
      </c>
      <c r="E1211" t="s">
        <v>4511</v>
      </c>
      <c r="F1211" t="s">
        <v>4512</v>
      </c>
      <c r="G1211" t="s">
        <v>783</v>
      </c>
      <c r="H1211" t="s">
        <v>15</v>
      </c>
      <c r="I1211">
        <v>11377</v>
      </c>
    </row>
    <row r="1212" spans="1:9" x14ac:dyDescent="0.3">
      <c r="A1212">
        <v>1211</v>
      </c>
      <c r="B1212" t="s">
        <v>4513</v>
      </c>
      <c r="C1212" t="s">
        <v>2832</v>
      </c>
      <c r="D1212" t="s">
        <v>11</v>
      </c>
      <c r="E1212" t="s">
        <v>4514</v>
      </c>
      <c r="F1212" t="s">
        <v>4515</v>
      </c>
      <c r="G1212" t="s">
        <v>1129</v>
      </c>
      <c r="H1212" t="s">
        <v>15</v>
      </c>
      <c r="I1212">
        <v>14304</v>
      </c>
    </row>
    <row r="1213" spans="1:9" x14ac:dyDescent="0.3">
      <c r="A1213">
        <v>1212</v>
      </c>
      <c r="B1213" t="s">
        <v>4516</v>
      </c>
      <c r="C1213" t="s">
        <v>4517</v>
      </c>
      <c r="D1213" t="s">
        <v>11</v>
      </c>
      <c r="E1213" t="s">
        <v>4518</v>
      </c>
      <c r="F1213" t="s">
        <v>4519</v>
      </c>
      <c r="G1213" t="s">
        <v>425</v>
      </c>
      <c r="H1213" t="s">
        <v>15</v>
      </c>
      <c r="I1213">
        <v>11746</v>
      </c>
    </row>
    <row r="1214" spans="1:9" x14ac:dyDescent="0.3">
      <c r="A1214">
        <v>1213</v>
      </c>
      <c r="B1214" t="s">
        <v>279</v>
      </c>
      <c r="C1214" t="s">
        <v>1568</v>
      </c>
      <c r="D1214" t="s">
        <v>11</v>
      </c>
      <c r="E1214" t="s">
        <v>4520</v>
      </c>
      <c r="F1214" t="s">
        <v>4521</v>
      </c>
      <c r="G1214" t="s">
        <v>314</v>
      </c>
      <c r="H1214" t="s">
        <v>80</v>
      </c>
      <c r="I1214">
        <v>76901</v>
      </c>
    </row>
    <row r="1215" spans="1:9" x14ac:dyDescent="0.3">
      <c r="A1215">
        <v>1214</v>
      </c>
      <c r="B1215" t="s">
        <v>4522</v>
      </c>
      <c r="C1215" t="s">
        <v>4523</v>
      </c>
      <c r="D1215" t="s">
        <v>11</v>
      </c>
      <c r="E1215" t="s">
        <v>4524</v>
      </c>
      <c r="F1215" t="s">
        <v>4525</v>
      </c>
      <c r="G1215" t="s">
        <v>818</v>
      </c>
      <c r="H1215" t="s">
        <v>21</v>
      </c>
      <c r="I1215">
        <v>95050</v>
      </c>
    </row>
    <row r="1216" spans="1:9" x14ac:dyDescent="0.3">
      <c r="A1216">
        <v>1215</v>
      </c>
      <c r="B1216" t="s">
        <v>4526</v>
      </c>
      <c r="C1216" t="s">
        <v>98</v>
      </c>
      <c r="D1216" t="s">
        <v>11</v>
      </c>
      <c r="E1216" t="s">
        <v>4527</v>
      </c>
      <c r="F1216" t="s">
        <v>4528</v>
      </c>
      <c r="G1216" t="s">
        <v>304</v>
      </c>
      <c r="H1216" t="s">
        <v>15</v>
      </c>
      <c r="I1216">
        <v>11570</v>
      </c>
    </row>
    <row r="1217" spans="1:9" x14ac:dyDescent="0.3">
      <c r="A1217">
        <v>1216</v>
      </c>
      <c r="B1217" t="s">
        <v>4529</v>
      </c>
      <c r="C1217" t="s">
        <v>4530</v>
      </c>
      <c r="D1217" t="s">
        <v>11</v>
      </c>
      <c r="E1217" t="s">
        <v>4531</v>
      </c>
      <c r="F1217" t="s">
        <v>4532</v>
      </c>
      <c r="G1217" t="s">
        <v>1180</v>
      </c>
      <c r="H1217" t="s">
        <v>21</v>
      </c>
      <c r="I1217">
        <v>94566</v>
      </c>
    </row>
    <row r="1218" spans="1:9" x14ac:dyDescent="0.3">
      <c r="A1218">
        <v>1217</v>
      </c>
      <c r="B1218" t="s">
        <v>4533</v>
      </c>
      <c r="C1218" t="s">
        <v>3043</v>
      </c>
      <c r="D1218" t="s">
        <v>4534</v>
      </c>
      <c r="E1218" t="s">
        <v>4535</v>
      </c>
      <c r="F1218" t="s">
        <v>4536</v>
      </c>
      <c r="G1218" t="s">
        <v>1888</v>
      </c>
      <c r="H1218" t="s">
        <v>15</v>
      </c>
      <c r="I1218">
        <v>10701</v>
      </c>
    </row>
    <row r="1219" spans="1:9" x14ac:dyDescent="0.3">
      <c r="A1219">
        <v>1218</v>
      </c>
      <c r="B1219" t="s">
        <v>4537</v>
      </c>
      <c r="C1219" t="s">
        <v>747</v>
      </c>
      <c r="D1219" t="s">
        <v>4538</v>
      </c>
      <c r="E1219" t="s">
        <v>4539</v>
      </c>
      <c r="F1219" t="s">
        <v>4540</v>
      </c>
      <c r="G1219" t="s">
        <v>171</v>
      </c>
      <c r="H1219" t="s">
        <v>21</v>
      </c>
      <c r="I1219">
        <v>94603</v>
      </c>
    </row>
    <row r="1220" spans="1:9" x14ac:dyDescent="0.3">
      <c r="A1220">
        <v>1219</v>
      </c>
      <c r="B1220" t="s">
        <v>4541</v>
      </c>
      <c r="C1220" t="s">
        <v>2454</v>
      </c>
      <c r="D1220" t="s">
        <v>11</v>
      </c>
      <c r="E1220" t="s">
        <v>4542</v>
      </c>
      <c r="F1220" t="s">
        <v>4543</v>
      </c>
      <c r="G1220" t="s">
        <v>1750</v>
      </c>
      <c r="H1220" t="s">
        <v>15</v>
      </c>
      <c r="I1220">
        <v>11967</v>
      </c>
    </row>
    <row r="1221" spans="1:9" x14ac:dyDescent="0.3">
      <c r="A1221">
        <v>1220</v>
      </c>
      <c r="B1221" t="s">
        <v>835</v>
      </c>
      <c r="C1221" t="s">
        <v>1353</v>
      </c>
      <c r="D1221" t="s">
        <v>11</v>
      </c>
      <c r="E1221" t="s">
        <v>4544</v>
      </c>
      <c r="F1221" t="s">
        <v>4545</v>
      </c>
      <c r="G1221" t="s">
        <v>425</v>
      </c>
      <c r="H1221" t="s">
        <v>15</v>
      </c>
      <c r="I1221">
        <v>11746</v>
      </c>
    </row>
    <row r="1222" spans="1:9" x14ac:dyDescent="0.3">
      <c r="A1222">
        <v>1221</v>
      </c>
      <c r="B1222" t="s">
        <v>4546</v>
      </c>
      <c r="C1222" t="s">
        <v>4547</v>
      </c>
      <c r="D1222" t="s">
        <v>11</v>
      </c>
      <c r="E1222" t="s">
        <v>4548</v>
      </c>
      <c r="F1222" t="s">
        <v>4549</v>
      </c>
      <c r="G1222" t="s">
        <v>877</v>
      </c>
      <c r="H1222" t="s">
        <v>21</v>
      </c>
      <c r="I1222">
        <v>92307</v>
      </c>
    </row>
    <row r="1223" spans="1:9" x14ac:dyDescent="0.3">
      <c r="A1223">
        <v>1222</v>
      </c>
      <c r="B1223" t="s">
        <v>4550</v>
      </c>
      <c r="C1223" t="s">
        <v>4551</v>
      </c>
      <c r="D1223" t="s">
        <v>11</v>
      </c>
      <c r="E1223" t="s">
        <v>4552</v>
      </c>
      <c r="F1223" t="s">
        <v>4553</v>
      </c>
      <c r="G1223" t="s">
        <v>1669</v>
      </c>
      <c r="H1223" t="s">
        <v>15</v>
      </c>
      <c r="I1223">
        <v>11354</v>
      </c>
    </row>
    <row r="1224" spans="1:9" x14ac:dyDescent="0.3">
      <c r="A1224">
        <v>1223</v>
      </c>
      <c r="B1224" t="s">
        <v>4554</v>
      </c>
      <c r="C1224" t="s">
        <v>427</v>
      </c>
      <c r="D1224" t="s">
        <v>11</v>
      </c>
      <c r="E1224" t="s">
        <v>4555</v>
      </c>
      <c r="F1224" t="s">
        <v>4556</v>
      </c>
      <c r="G1224" t="s">
        <v>929</v>
      </c>
      <c r="H1224" t="s">
        <v>15</v>
      </c>
      <c r="I1224">
        <v>12553</v>
      </c>
    </row>
    <row r="1225" spans="1:9" x14ac:dyDescent="0.3">
      <c r="A1225">
        <v>1224</v>
      </c>
      <c r="B1225" t="s">
        <v>4557</v>
      </c>
      <c r="C1225" t="s">
        <v>4558</v>
      </c>
      <c r="D1225" t="s">
        <v>11</v>
      </c>
      <c r="E1225" t="s">
        <v>4559</v>
      </c>
      <c r="F1225" t="s">
        <v>4560</v>
      </c>
      <c r="G1225" t="s">
        <v>1787</v>
      </c>
      <c r="H1225" t="s">
        <v>80</v>
      </c>
      <c r="I1225">
        <v>78552</v>
      </c>
    </row>
    <row r="1226" spans="1:9" x14ac:dyDescent="0.3">
      <c r="A1226">
        <v>1225</v>
      </c>
      <c r="B1226" t="s">
        <v>1203</v>
      </c>
      <c r="C1226" t="s">
        <v>3716</v>
      </c>
      <c r="D1226" t="s">
        <v>11</v>
      </c>
      <c r="E1226" t="s">
        <v>4561</v>
      </c>
      <c r="F1226" t="s">
        <v>4562</v>
      </c>
      <c r="G1226" t="s">
        <v>1695</v>
      </c>
      <c r="H1226" t="s">
        <v>21</v>
      </c>
      <c r="I1226">
        <v>93635</v>
      </c>
    </row>
    <row r="1227" spans="1:9" x14ac:dyDescent="0.3">
      <c r="A1227">
        <v>1226</v>
      </c>
      <c r="B1227" t="s">
        <v>4563</v>
      </c>
      <c r="C1227" t="s">
        <v>253</v>
      </c>
      <c r="D1227" t="s">
        <v>11</v>
      </c>
      <c r="E1227" t="s">
        <v>4564</v>
      </c>
      <c r="F1227" t="s">
        <v>4565</v>
      </c>
      <c r="G1227" t="s">
        <v>125</v>
      </c>
      <c r="H1227" t="s">
        <v>15</v>
      </c>
      <c r="I1227">
        <v>11731</v>
      </c>
    </row>
    <row r="1228" spans="1:9" x14ac:dyDescent="0.3">
      <c r="A1228">
        <v>1227</v>
      </c>
      <c r="B1228" t="s">
        <v>4566</v>
      </c>
      <c r="C1228" t="s">
        <v>1830</v>
      </c>
      <c r="D1228" t="s">
        <v>4567</v>
      </c>
      <c r="E1228" t="s">
        <v>4568</v>
      </c>
      <c r="F1228" t="s">
        <v>4569</v>
      </c>
      <c r="G1228" t="s">
        <v>466</v>
      </c>
      <c r="H1228" t="s">
        <v>15</v>
      </c>
      <c r="I1228">
        <v>12180</v>
      </c>
    </row>
    <row r="1229" spans="1:9" x14ac:dyDescent="0.3">
      <c r="A1229">
        <v>1228</v>
      </c>
      <c r="B1229" t="s">
        <v>2579</v>
      </c>
      <c r="C1229" t="s">
        <v>1705</v>
      </c>
      <c r="D1229" t="s">
        <v>4570</v>
      </c>
      <c r="E1229" t="s">
        <v>4571</v>
      </c>
      <c r="F1229" t="s">
        <v>4572</v>
      </c>
      <c r="G1229" t="s">
        <v>171</v>
      </c>
      <c r="H1229" t="s">
        <v>21</v>
      </c>
      <c r="I1229">
        <v>94603</v>
      </c>
    </row>
    <row r="1230" spans="1:9" x14ac:dyDescent="0.3">
      <c r="A1230">
        <v>1229</v>
      </c>
      <c r="B1230" t="s">
        <v>4573</v>
      </c>
      <c r="C1230" t="s">
        <v>4574</v>
      </c>
      <c r="D1230" t="s">
        <v>11</v>
      </c>
      <c r="E1230" t="s">
        <v>4575</v>
      </c>
      <c r="F1230" t="s">
        <v>4576</v>
      </c>
      <c r="G1230" t="s">
        <v>1627</v>
      </c>
      <c r="H1230" t="s">
        <v>15</v>
      </c>
      <c r="I1230">
        <v>12590</v>
      </c>
    </row>
    <row r="1231" spans="1:9" x14ac:dyDescent="0.3">
      <c r="A1231">
        <v>1230</v>
      </c>
      <c r="B1231" t="s">
        <v>4577</v>
      </c>
      <c r="C1231" t="s">
        <v>785</v>
      </c>
      <c r="D1231" t="s">
        <v>11</v>
      </c>
      <c r="E1231" t="s">
        <v>4578</v>
      </c>
      <c r="F1231" t="s">
        <v>4579</v>
      </c>
      <c r="G1231" t="s">
        <v>328</v>
      </c>
      <c r="H1231" t="s">
        <v>80</v>
      </c>
      <c r="I1231">
        <v>75115</v>
      </c>
    </row>
    <row r="1232" spans="1:9" x14ac:dyDescent="0.3">
      <c r="A1232">
        <v>1231</v>
      </c>
      <c r="B1232" t="s">
        <v>2222</v>
      </c>
      <c r="C1232" t="s">
        <v>330</v>
      </c>
      <c r="D1232" t="s">
        <v>11</v>
      </c>
      <c r="E1232" t="s">
        <v>4580</v>
      </c>
      <c r="F1232" t="s">
        <v>4581</v>
      </c>
      <c r="G1232" t="s">
        <v>20</v>
      </c>
      <c r="H1232" t="s">
        <v>21</v>
      </c>
      <c r="I1232">
        <v>95008</v>
      </c>
    </row>
    <row r="1233" spans="1:9" x14ac:dyDescent="0.3">
      <c r="A1233">
        <v>1232</v>
      </c>
      <c r="B1233" t="s">
        <v>4582</v>
      </c>
      <c r="C1233" t="s">
        <v>4035</v>
      </c>
      <c r="D1233" t="s">
        <v>11</v>
      </c>
      <c r="E1233" t="s">
        <v>4583</v>
      </c>
      <c r="F1233" t="s">
        <v>4584</v>
      </c>
      <c r="G1233" t="s">
        <v>242</v>
      </c>
      <c r="H1233" t="s">
        <v>15</v>
      </c>
      <c r="I1233">
        <v>11714</v>
      </c>
    </row>
    <row r="1234" spans="1:9" x14ac:dyDescent="0.3">
      <c r="A1234">
        <v>1233</v>
      </c>
      <c r="B1234" t="s">
        <v>2079</v>
      </c>
      <c r="C1234" t="s">
        <v>897</v>
      </c>
      <c r="D1234" t="s">
        <v>11</v>
      </c>
      <c r="E1234" t="s">
        <v>4585</v>
      </c>
      <c r="F1234" t="s">
        <v>4586</v>
      </c>
      <c r="G1234" t="s">
        <v>1911</v>
      </c>
      <c r="H1234" t="s">
        <v>21</v>
      </c>
      <c r="I1234">
        <v>92083</v>
      </c>
    </row>
    <row r="1235" spans="1:9" x14ac:dyDescent="0.3">
      <c r="A1235">
        <v>1234</v>
      </c>
      <c r="B1235" t="s">
        <v>2193</v>
      </c>
      <c r="C1235" t="s">
        <v>244</v>
      </c>
      <c r="D1235" t="s">
        <v>11</v>
      </c>
      <c r="E1235" t="s">
        <v>4587</v>
      </c>
      <c r="F1235" t="s">
        <v>4588</v>
      </c>
      <c r="G1235" t="s">
        <v>156</v>
      </c>
      <c r="H1235" t="s">
        <v>15</v>
      </c>
      <c r="I1235">
        <v>10562</v>
      </c>
    </row>
    <row r="1236" spans="1:9" x14ac:dyDescent="0.3">
      <c r="A1236">
        <v>1235</v>
      </c>
      <c r="B1236" t="s">
        <v>4589</v>
      </c>
      <c r="C1236" t="s">
        <v>806</v>
      </c>
      <c r="D1236" t="s">
        <v>11</v>
      </c>
      <c r="E1236" t="s">
        <v>4590</v>
      </c>
      <c r="F1236" t="s">
        <v>4591</v>
      </c>
      <c r="G1236" t="s">
        <v>2890</v>
      </c>
      <c r="H1236" t="s">
        <v>15</v>
      </c>
      <c r="I1236">
        <v>13760</v>
      </c>
    </row>
    <row r="1237" spans="1:9" x14ac:dyDescent="0.3">
      <c r="A1237">
        <v>1236</v>
      </c>
      <c r="B1237" t="s">
        <v>4592</v>
      </c>
      <c r="C1237" t="s">
        <v>3499</v>
      </c>
      <c r="D1237" t="s">
        <v>11</v>
      </c>
      <c r="E1237" t="s">
        <v>4593</v>
      </c>
      <c r="F1237" t="s">
        <v>4594</v>
      </c>
      <c r="G1237" t="s">
        <v>1505</v>
      </c>
      <c r="H1237" t="s">
        <v>15</v>
      </c>
      <c r="I1237">
        <v>10550</v>
      </c>
    </row>
    <row r="1238" spans="1:9" x14ac:dyDescent="0.3">
      <c r="A1238">
        <v>1237</v>
      </c>
      <c r="B1238" t="s">
        <v>1788</v>
      </c>
      <c r="C1238" t="s">
        <v>1978</v>
      </c>
      <c r="D1238" t="s">
        <v>11</v>
      </c>
      <c r="E1238" t="s">
        <v>4595</v>
      </c>
      <c r="F1238" t="s">
        <v>4596</v>
      </c>
      <c r="G1238" t="s">
        <v>242</v>
      </c>
      <c r="H1238" t="s">
        <v>15</v>
      </c>
      <c r="I1238">
        <v>11714</v>
      </c>
    </row>
    <row r="1239" spans="1:9" x14ac:dyDescent="0.3">
      <c r="A1239">
        <v>1238</v>
      </c>
      <c r="B1239" t="s">
        <v>3140</v>
      </c>
      <c r="C1239" t="s">
        <v>223</v>
      </c>
      <c r="D1239" t="s">
        <v>11</v>
      </c>
      <c r="E1239" t="s">
        <v>4597</v>
      </c>
      <c r="F1239" t="s">
        <v>4598</v>
      </c>
      <c r="G1239" t="s">
        <v>1787</v>
      </c>
      <c r="H1239" t="s">
        <v>80</v>
      </c>
      <c r="I1239">
        <v>78552</v>
      </c>
    </row>
    <row r="1240" spans="1:9" x14ac:dyDescent="0.3">
      <c r="A1240">
        <v>1239</v>
      </c>
      <c r="B1240" t="s">
        <v>4599</v>
      </c>
      <c r="C1240" t="s">
        <v>3144</v>
      </c>
      <c r="D1240" t="s">
        <v>11</v>
      </c>
      <c r="E1240" t="s">
        <v>4600</v>
      </c>
      <c r="F1240" t="s">
        <v>4601</v>
      </c>
      <c r="G1240" t="s">
        <v>420</v>
      </c>
      <c r="H1240" t="s">
        <v>15</v>
      </c>
      <c r="I1240">
        <v>11757</v>
      </c>
    </row>
    <row r="1241" spans="1:9" x14ac:dyDescent="0.3">
      <c r="A1241">
        <v>1240</v>
      </c>
      <c r="B1241" t="s">
        <v>4602</v>
      </c>
      <c r="C1241" t="s">
        <v>2759</v>
      </c>
      <c r="D1241" t="s">
        <v>11</v>
      </c>
      <c r="E1241" t="s">
        <v>4603</v>
      </c>
      <c r="F1241" t="s">
        <v>4604</v>
      </c>
      <c r="G1241" t="s">
        <v>435</v>
      </c>
      <c r="H1241" t="s">
        <v>21</v>
      </c>
      <c r="I1241">
        <v>91010</v>
      </c>
    </row>
    <row r="1242" spans="1:9" x14ac:dyDescent="0.3">
      <c r="A1242">
        <v>1241</v>
      </c>
      <c r="B1242" t="s">
        <v>3483</v>
      </c>
      <c r="C1242" t="s">
        <v>4605</v>
      </c>
      <c r="D1242" t="s">
        <v>11</v>
      </c>
      <c r="E1242" t="s">
        <v>4606</v>
      </c>
      <c r="F1242" t="s">
        <v>4607</v>
      </c>
      <c r="G1242" t="s">
        <v>333</v>
      </c>
      <c r="H1242" t="s">
        <v>15</v>
      </c>
      <c r="I1242">
        <v>13440</v>
      </c>
    </row>
    <row r="1243" spans="1:9" x14ac:dyDescent="0.3">
      <c r="A1243">
        <v>1242</v>
      </c>
      <c r="B1243" t="s">
        <v>4608</v>
      </c>
      <c r="C1243" t="s">
        <v>4609</v>
      </c>
      <c r="D1243" t="s">
        <v>11</v>
      </c>
      <c r="E1243" t="s">
        <v>4610</v>
      </c>
      <c r="F1243" t="s">
        <v>4611</v>
      </c>
      <c r="G1243" t="s">
        <v>449</v>
      </c>
      <c r="H1243" t="s">
        <v>15</v>
      </c>
      <c r="I1243">
        <v>11010</v>
      </c>
    </row>
    <row r="1244" spans="1:9" x14ac:dyDescent="0.3">
      <c r="A1244">
        <v>1243</v>
      </c>
      <c r="B1244" t="s">
        <v>4612</v>
      </c>
      <c r="C1244" t="s">
        <v>1477</v>
      </c>
      <c r="D1244" t="s">
        <v>11</v>
      </c>
      <c r="E1244" t="s">
        <v>4613</v>
      </c>
      <c r="F1244" t="s">
        <v>4614</v>
      </c>
      <c r="G1244" t="s">
        <v>533</v>
      </c>
      <c r="H1244" t="s">
        <v>15</v>
      </c>
      <c r="I1244">
        <v>11001</v>
      </c>
    </row>
    <row r="1245" spans="1:9" x14ac:dyDescent="0.3">
      <c r="A1245">
        <v>1244</v>
      </c>
      <c r="B1245" t="s">
        <v>4615</v>
      </c>
      <c r="C1245" t="s">
        <v>103</v>
      </c>
      <c r="D1245" t="s">
        <v>11</v>
      </c>
      <c r="E1245" t="s">
        <v>4616</v>
      </c>
      <c r="F1245" t="s">
        <v>4617</v>
      </c>
      <c r="G1245" t="s">
        <v>1731</v>
      </c>
      <c r="H1245" t="s">
        <v>15</v>
      </c>
      <c r="I1245">
        <v>14043</v>
      </c>
    </row>
    <row r="1246" spans="1:9" x14ac:dyDescent="0.3">
      <c r="A1246">
        <v>1245</v>
      </c>
      <c r="B1246" t="s">
        <v>4618</v>
      </c>
      <c r="C1246" t="s">
        <v>3787</v>
      </c>
      <c r="D1246" t="s">
        <v>4619</v>
      </c>
      <c r="E1246" t="s">
        <v>4620</v>
      </c>
      <c r="F1246" t="s">
        <v>4621</v>
      </c>
      <c r="G1246" t="s">
        <v>146</v>
      </c>
      <c r="H1246" t="s">
        <v>15</v>
      </c>
      <c r="I1246">
        <v>11561</v>
      </c>
    </row>
    <row r="1247" spans="1:9" x14ac:dyDescent="0.3">
      <c r="A1247">
        <v>1246</v>
      </c>
      <c r="B1247" t="s">
        <v>3876</v>
      </c>
      <c r="C1247" t="s">
        <v>1070</v>
      </c>
      <c r="D1247" t="s">
        <v>11</v>
      </c>
      <c r="E1247" t="s">
        <v>4622</v>
      </c>
      <c r="F1247" t="s">
        <v>4623</v>
      </c>
      <c r="G1247" t="s">
        <v>1227</v>
      </c>
      <c r="H1247" t="s">
        <v>15</v>
      </c>
      <c r="I1247">
        <v>12401</v>
      </c>
    </row>
    <row r="1248" spans="1:9" x14ac:dyDescent="0.3">
      <c r="A1248">
        <v>1247</v>
      </c>
      <c r="B1248" t="s">
        <v>4624</v>
      </c>
      <c r="C1248" t="s">
        <v>1940</v>
      </c>
      <c r="D1248" t="s">
        <v>11</v>
      </c>
      <c r="E1248" t="s">
        <v>4625</v>
      </c>
      <c r="F1248" t="s">
        <v>4626</v>
      </c>
      <c r="G1248" t="s">
        <v>663</v>
      </c>
      <c r="H1248" t="s">
        <v>15</v>
      </c>
      <c r="I1248">
        <v>11758</v>
      </c>
    </row>
    <row r="1249" spans="1:9" x14ac:dyDescent="0.3">
      <c r="A1249">
        <v>1248</v>
      </c>
      <c r="B1249" t="s">
        <v>4627</v>
      </c>
      <c r="C1249" t="s">
        <v>4628</v>
      </c>
      <c r="D1249" t="s">
        <v>11</v>
      </c>
      <c r="E1249" t="s">
        <v>4629</v>
      </c>
      <c r="F1249" t="s">
        <v>4630</v>
      </c>
      <c r="G1249" t="s">
        <v>384</v>
      </c>
      <c r="H1249" t="s">
        <v>15</v>
      </c>
      <c r="I1249">
        <v>11776</v>
      </c>
    </row>
    <row r="1250" spans="1:9" x14ac:dyDescent="0.3">
      <c r="A1250">
        <v>1249</v>
      </c>
      <c r="B1250" t="s">
        <v>4631</v>
      </c>
      <c r="C1250" t="s">
        <v>2464</v>
      </c>
      <c r="D1250" t="s">
        <v>11</v>
      </c>
      <c r="E1250" t="s">
        <v>4632</v>
      </c>
      <c r="F1250" t="s">
        <v>4633</v>
      </c>
      <c r="G1250" t="s">
        <v>970</v>
      </c>
      <c r="H1250" t="s">
        <v>21</v>
      </c>
      <c r="I1250">
        <v>93555</v>
      </c>
    </row>
    <row r="1251" spans="1:9" x14ac:dyDescent="0.3">
      <c r="A1251">
        <v>1250</v>
      </c>
      <c r="B1251" t="s">
        <v>4634</v>
      </c>
      <c r="C1251" t="s">
        <v>4635</v>
      </c>
      <c r="D1251" t="s">
        <v>11</v>
      </c>
      <c r="E1251" t="s">
        <v>4636</v>
      </c>
      <c r="F1251" t="s">
        <v>4637</v>
      </c>
      <c r="G1251" t="s">
        <v>1505</v>
      </c>
      <c r="H1251" t="s">
        <v>15</v>
      </c>
      <c r="I1251">
        <v>10550</v>
      </c>
    </row>
    <row r="1252" spans="1:9" x14ac:dyDescent="0.3">
      <c r="A1252">
        <v>1251</v>
      </c>
      <c r="B1252" t="s">
        <v>4638</v>
      </c>
      <c r="C1252" t="s">
        <v>1624</v>
      </c>
      <c r="D1252" t="s">
        <v>11</v>
      </c>
      <c r="E1252" t="s">
        <v>4639</v>
      </c>
      <c r="F1252" t="s">
        <v>4640</v>
      </c>
      <c r="G1252" t="s">
        <v>277</v>
      </c>
      <c r="H1252" t="s">
        <v>21</v>
      </c>
      <c r="I1252">
        <v>91740</v>
      </c>
    </row>
    <row r="1253" spans="1:9" x14ac:dyDescent="0.3">
      <c r="A1253">
        <v>1252</v>
      </c>
      <c r="B1253" t="s">
        <v>2386</v>
      </c>
      <c r="C1253" t="s">
        <v>1515</v>
      </c>
      <c r="D1253" t="s">
        <v>11</v>
      </c>
      <c r="E1253" t="s">
        <v>4641</v>
      </c>
      <c r="F1253" t="s">
        <v>4642</v>
      </c>
      <c r="G1253" t="s">
        <v>731</v>
      </c>
      <c r="H1253" t="s">
        <v>15</v>
      </c>
      <c r="I1253">
        <v>11803</v>
      </c>
    </row>
    <row r="1254" spans="1:9" x14ac:dyDescent="0.3">
      <c r="A1254">
        <v>1253</v>
      </c>
      <c r="B1254" t="s">
        <v>4643</v>
      </c>
      <c r="C1254" t="s">
        <v>1511</v>
      </c>
      <c r="D1254" t="s">
        <v>11</v>
      </c>
      <c r="E1254" t="s">
        <v>4644</v>
      </c>
      <c r="F1254" t="s">
        <v>4645</v>
      </c>
      <c r="G1254" t="s">
        <v>4338</v>
      </c>
      <c r="H1254" t="s">
        <v>15</v>
      </c>
      <c r="I1254">
        <v>11691</v>
      </c>
    </row>
    <row r="1255" spans="1:9" x14ac:dyDescent="0.3">
      <c r="A1255">
        <v>1254</v>
      </c>
      <c r="B1255" t="s">
        <v>4263</v>
      </c>
      <c r="C1255" t="s">
        <v>4320</v>
      </c>
      <c r="D1255" t="s">
        <v>11</v>
      </c>
      <c r="E1255" t="s">
        <v>4646</v>
      </c>
      <c r="F1255" t="s">
        <v>4647</v>
      </c>
      <c r="G1255" t="s">
        <v>1103</v>
      </c>
      <c r="H1255" t="s">
        <v>21</v>
      </c>
      <c r="I1255">
        <v>91387</v>
      </c>
    </row>
    <row r="1256" spans="1:9" x14ac:dyDescent="0.3">
      <c r="A1256">
        <v>1255</v>
      </c>
      <c r="B1256" t="s">
        <v>4648</v>
      </c>
      <c r="C1256" t="s">
        <v>608</v>
      </c>
      <c r="D1256" t="s">
        <v>11</v>
      </c>
      <c r="E1256" t="s">
        <v>4649</v>
      </c>
      <c r="F1256" t="s">
        <v>4650</v>
      </c>
      <c r="G1256" t="s">
        <v>1597</v>
      </c>
      <c r="H1256" t="s">
        <v>15</v>
      </c>
      <c r="I1256">
        <v>14850</v>
      </c>
    </row>
    <row r="1257" spans="1:9" x14ac:dyDescent="0.3">
      <c r="A1257">
        <v>1256</v>
      </c>
      <c r="B1257" t="s">
        <v>4651</v>
      </c>
      <c r="C1257" t="s">
        <v>1380</v>
      </c>
      <c r="D1257" t="s">
        <v>11</v>
      </c>
      <c r="E1257" t="s">
        <v>4652</v>
      </c>
      <c r="F1257" t="s">
        <v>4653</v>
      </c>
      <c r="G1257" t="s">
        <v>1253</v>
      </c>
      <c r="H1257" t="s">
        <v>15</v>
      </c>
      <c r="I1257">
        <v>11779</v>
      </c>
    </row>
    <row r="1258" spans="1:9" x14ac:dyDescent="0.3">
      <c r="A1258">
        <v>1257</v>
      </c>
      <c r="B1258" t="s">
        <v>4654</v>
      </c>
      <c r="C1258" t="s">
        <v>4655</v>
      </c>
      <c r="D1258" t="s">
        <v>11</v>
      </c>
      <c r="E1258" t="s">
        <v>4656</v>
      </c>
      <c r="F1258" t="s">
        <v>4657</v>
      </c>
      <c r="G1258" t="s">
        <v>864</v>
      </c>
      <c r="H1258" t="s">
        <v>15</v>
      </c>
      <c r="I1258">
        <v>14580</v>
      </c>
    </row>
    <row r="1259" spans="1:9" x14ac:dyDescent="0.3">
      <c r="A1259">
        <v>1258</v>
      </c>
      <c r="B1259" t="s">
        <v>17</v>
      </c>
      <c r="C1259" t="s">
        <v>4658</v>
      </c>
      <c r="D1259" t="s">
        <v>11</v>
      </c>
      <c r="E1259" t="s">
        <v>4659</v>
      </c>
      <c r="F1259" t="s">
        <v>4660</v>
      </c>
      <c r="G1259" t="s">
        <v>745</v>
      </c>
      <c r="H1259" t="s">
        <v>15</v>
      </c>
      <c r="I1259">
        <v>11706</v>
      </c>
    </row>
    <row r="1260" spans="1:9" x14ac:dyDescent="0.3">
      <c r="A1260">
        <v>1259</v>
      </c>
      <c r="B1260" t="s">
        <v>4661</v>
      </c>
      <c r="C1260" t="s">
        <v>1854</v>
      </c>
      <c r="D1260" t="s">
        <v>11</v>
      </c>
      <c r="E1260" t="s">
        <v>4662</v>
      </c>
      <c r="F1260" t="s">
        <v>4663</v>
      </c>
      <c r="G1260" t="s">
        <v>309</v>
      </c>
      <c r="H1260" t="s">
        <v>21</v>
      </c>
      <c r="I1260">
        <v>94070</v>
      </c>
    </row>
    <row r="1261" spans="1:9" x14ac:dyDescent="0.3">
      <c r="A1261">
        <v>1260</v>
      </c>
      <c r="B1261" t="s">
        <v>4664</v>
      </c>
      <c r="C1261" t="s">
        <v>4665</v>
      </c>
      <c r="D1261" t="s">
        <v>11</v>
      </c>
      <c r="E1261" t="s">
        <v>4666</v>
      </c>
      <c r="F1261" t="s">
        <v>4667</v>
      </c>
      <c r="G1261" t="s">
        <v>1434</v>
      </c>
      <c r="H1261" t="s">
        <v>15</v>
      </c>
      <c r="I1261">
        <v>12302</v>
      </c>
    </row>
    <row r="1262" spans="1:9" x14ac:dyDescent="0.3">
      <c r="A1262">
        <v>1261</v>
      </c>
      <c r="B1262" t="s">
        <v>4668</v>
      </c>
      <c r="C1262" t="s">
        <v>3050</v>
      </c>
      <c r="D1262" t="s">
        <v>11</v>
      </c>
      <c r="E1262" t="s">
        <v>4669</v>
      </c>
      <c r="F1262" t="s">
        <v>4670</v>
      </c>
      <c r="G1262" t="s">
        <v>1121</v>
      </c>
      <c r="H1262" t="s">
        <v>21</v>
      </c>
      <c r="I1262">
        <v>94806</v>
      </c>
    </row>
    <row r="1263" spans="1:9" x14ac:dyDescent="0.3">
      <c r="A1263">
        <v>1262</v>
      </c>
      <c r="B1263" t="s">
        <v>4671</v>
      </c>
      <c r="C1263" t="s">
        <v>44</v>
      </c>
      <c r="D1263" t="s">
        <v>11</v>
      </c>
      <c r="E1263" t="s">
        <v>4672</v>
      </c>
      <c r="F1263" t="s">
        <v>4673</v>
      </c>
      <c r="G1263" t="s">
        <v>1121</v>
      </c>
      <c r="H1263" t="s">
        <v>21</v>
      </c>
      <c r="I1263">
        <v>94806</v>
      </c>
    </row>
    <row r="1264" spans="1:9" x14ac:dyDescent="0.3">
      <c r="A1264">
        <v>1263</v>
      </c>
      <c r="B1264" t="s">
        <v>4674</v>
      </c>
      <c r="C1264" t="s">
        <v>4675</v>
      </c>
      <c r="D1264" t="s">
        <v>11</v>
      </c>
      <c r="E1264" t="s">
        <v>4676</v>
      </c>
      <c r="F1264" t="s">
        <v>4677</v>
      </c>
      <c r="G1264" t="s">
        <v>2492</v>
      </c>
      <c r="H1264" t="s">
        <v>15</v>
      </c>
      <c r="I1264">
        <v>11040</v>
      </c>
    </row>
    <row r="1265" spans="1:9" x14ac:dyDescent="0.3">
      <c r="A1265">
        <v>1264</v>
      </c>
      <c r="B1265" t="s">
        <v>2891</v>
      </c>
      <c r="C1265" t="s">
        <v>1177</v>
      </c>
      <c r="D1265" t="s">
        <v>4678</v>
      </c>
      <c r="E1265" t="s">
        <v>4679</v>
      </c>
      <c r="F1265" t="s">
        <v>4680</v>
      </c>
      <c r="G1265" t="s">
        <v>1059</v>
      </c>
      <c r="H1265" t="s">
        <v>15</v>
      </c>
      <c r="I1265">
        <v>11717</v>
      </c>
    </row>
    <row r="1266" spans="1:9" x14ac:dyDescent="0.3">
      <c r="A1266">
        <v>1265</v>
      </c>
      <c r="B1266" t="s">
        <v>4681</v>
      </c>
      <c r="C1266" t="s">
        <v>1802</v>
      </c>
      <c r="D1266" t="s">
        <v>11</v>
      </c>
      <c r="E1266" t="s">
        <v>4682</v>
      </c>
      <c r="F1266" t="s">
        <v>4683</v>
      </c>
      <c r="G1266" t="s">
        <v>2890</v>
      </c>
      <c r="H1266" t="s">
        <v>15</v>
      </c>
      <c r="I1266">
        <v>13760</v>
      </c>
    </row>
    <row r="1267" spans="1:9" x14ac:dyDescent="0.3">
      <c r="A1267">
        <v>1266</v>
      </c>
      <c r="B1267" t="s">
        <v>4684</v>
      </c>
      <c r="C1267" t="s">
        <v>4685</v>
      </c>
      <c r="D1267" t="s">
        <v>11</v>
      </c>
      <c r="E1267" t="s">
        <v>4686</v>
      </c>
      <c r="F1267" t="s">
        <v>4687</v>
      </c>
      <c r="G1267" t="s">
        <v>338</v>
      </c>
      <c r="H1267" t="s">
        <v>80</v>
      </c>
      <c r="I1267">
        <v>75043</v>
      </c>
    </row>
    <row r="1268" spans="1:9" x14ac:dyDescent="0.3">
      <c r="A1268">
        <v>1267</v>
      </c>
      <c r="B1268" t="s">
        <v>1898</v>
      </c>
      <c r="C1268" t="s">
        <v>1150</v>
      </c>
      <c r="D1268" t="s">
        <v>11</v>
      </c>
      <c r="E1268" t="s">
        <v>4688</v>
      </c>
      <c r="F1268" t="s">
        <v>4689</v>
      </c>
      <c r="G1268" t="s">
        <v>1253</v>
      </c>
      <c r="H1268" t="s">
        <v>15</v>
      </c>
      <c r="I1268">
        <v>11779</v>
      </c>
    </row>
    <row r="1269" spans="1:9" x14ac:dyDescent="0.3">
      <c r="A1269">
        <v>1268</v>
      </c>
      <c r="B1269" t="s">
        <v>4690</v>
      </c>
      <c r="C1269" t="s">
        <v>3030</v>
      </c>
      <c r="D1269" t="s">
        <v>11</v>
      </c>
      <c r="E1269" t="s">
        <v>4691</v>
      </c>
      <c r="F1269" t="s">
        <v>4692</v>
      </c>
      <c r="G1269" t="s">
        <v>1227</v>
      </c>
      <c r="H1269" t="s">
        <v>15</v>
      </c>
      <c r="I1269">
        <v>12401</v>
      </c>
    </row>
    <row r="1270" spans="1:9" x14ac:dyDescent="0.3">
      <c r="A1270">
        <v>1269</v>
      </c>
      <c r="B1270" t="s">
        <v>4693</v>
      </c>
      <c r="C1270" t="s">
        <v>377</v>
      </c>
      <c r="D1270" t="s">
        <v>11</v>
      </c>
      <c r="E1270" t="s">
        <v>4694</v>
      </c>
      <c r="F1270" t="s">
        <v>4695</v>
      </c>
      <c r="G1270" t="s">
        <v>58</v>
      </c>
      <c r="H1270" t="s">
        <v>15</v>
      </c>
      <c r="I1270">
        <v>11050</v>
      </c>
    </row>
    <row r="1271" spans="1:9" x14ac:dyDescent="0.3">
      <c r="A1271">
        <v>1270</v>
      </c>
      <c r="B1271" t="s">
        <v>3700</v>
      </c>
      <c r="C1271" t="s">
        <v>4144</v>
      </c>
      <c r="D1271" t="s">
        <v>11</v>
      </c>
      <c r="E1271" t="s">
        <v>4696</v>
      </c>
      <c r="F1271" t="s">
        <v>4697</v>
      </c>
      <c r="G1271" t="s">
        <v>14</v>
      </c>
      <c r="H1271" t="s">
        <v>15</v>
      </c>
      <c r="I1271">
        <v>14127</v>
      </c>
    </row>
    <row r="1272" spans="1:9" x14ac:dyDescent="0.3">
      <c r="A1272">
        <v>1271</v>
      </c>
      <c r="B1272" t="s">
        <v>3544</v>
      </c>
      <c r="C1272" t="s">
        <v>2853</v>
      </c>
      <c r="D1272" t="s">
        <v>11</v>
      </c>
      <c r="E1272" t="s">
        <v>4698</v>
      </c>
      <c r="F1272" t="s">
        <v>4699</v>
      </c>
      <c r="G1272" t="s">
        <v>1576</v>
      </c>
      <c r="H1272" t="s">
        <v>21</v>
      </c>
      <c r="I1272">
        <v>91768</v>
      </c>
    </row>
    <row r="1273" spans="1:9" x14ac:dyDescent="0.3">
      <c r="A1273">
        <v>1272</v>
      </c>
      <c r="B1273" t="s">
        <v>232</v>
      </c>
      <c r="C1273" t="s">
        <v>4700</v>
      </c>
      <c r="D1273" t="s">
        <v>11</v>
      </c>
      <c r="E1273" t="s">
        <v>4701</v>
      </c>
      <c r="F1273" t="s">
        <v>4702</v>
      </c>
      <c r="G1273" t="s">
        <v>176</v>
      </c>
      <c r="H1273" t="s">
        <v>21</v>
      </c>
      <c r="I1273">
        <v>92831</v>
      </c>
    </row>
    <row r="1274" spans="1:9" x14ac:dyDescent="0.3">
      <c r="A1274">
        <v>1273</v>
      </c>
      <c r="B1274" t="s">
        <v>4703</v>
      </c>
      <c r="C1274" t="s">
        <v>4704</v>
      </c>
      <c r="D1274" t="s">
        <v>11</v>
      </c>
      <c r="E1274" t="s">
        <v>4705</v>
      </c>
      <c r="F1274" t="s">
        <v>4706</v>
      </c>
      <c r="G1274" t="s">
        <v>430</v>
      </c>
      <c r="H1274" t="s">
        <v>15</v>
      </c>
      <c r="I1274">
        <v>13126</v>
      </c>
    </row>
    <row r="1275" spans="1:9" x14ac:dyDescent="0.3">
      <c r="A1275">
        <v>1274</v>
      </c>
      <c r="B1275" t="s">
        <v>4707</v>
      </c>
      <c r="C1275" t="s">
        <v>1037</v>
      </c>
      <c r="D1275" t="s">
        <v>11</v>
      </c>
      <c r="E1275" t="s">
        <v>4708</v>
      </c>
      <c r="F1275" t="s">
        <v>4709</v>
      </c>
      <c r="G1275" t="s">
        <v>615</v>
      </c>
      <c r="H1275" t="s">
        <v>15</v>
      </c>
      <c r="I1275">
        <v>12550</v>
      </c>
    </row>
    <row r="1276" spans="1:9" x14ac:dyDescent="0.3">
      <c r="A1276">
        <v>1275</v>
      </c>
      <c r="B1276" t="s">
        <v>4710</v>
      </c>
      <c r="C1276" t="s">
        <v>404</v>
      </c>
      <c r="D1276" t="s">
        <v>11</v>
      </c>
      <c r="E1276" t="s">
        <v>4711</v>
      </c>
      <c r="F1276" t="s">
        <v>4712</v>
      </c>
      <c r="G1276" t="s">
        <v>1695</v>
      </c>
      <c r="H1276" t="s">
        <v>21</v>
      </c>
      <c r="I1276">
        <v>93635</v>
      </c>
    </row>
    <row r="1277" spans="1:9" x14ac:dyDescent="0.3">
      <c r="A1277">
        <v>1276</v>
      </c>
      <c r="B1277" t="s">
        <v>4713</v>
      </c>
      <c r="C1277" t="s">
        <v>1331</v>
      </c>
      <c r="D1277" t="s">
        <v>11</v>
      </c>
      <c r="E1277" t="s">
        <v>4714</v>
      </c>
      <c r="F1277" t="s">
        <v>4715</v>
      </c>
      <c r="G1277" t="s">
        <v>877</v>
      </c>
      <c r="H1277" t="s">
        <v>21</v>
      </c>
      <c r="I1277">
        <v>92307</v>
      </c>
    </row>
    <row r="1278" spans="1:9" x14ac:dyDescent="0.3">
      <c r="A1278">
        <v>1277</v>
      </c>
      <c r="B1278" t="s">
        <v>4716</v>
      </c>
      <c r="C1278" t="s">
        <v>638</v>
      </c>
      <c r="D1278" t="s">
        <v>11</v>
      </c>
      <c r="E1278" t="s">
        <v>4717</v>
      </c>
      <c r="F1278" t="s">
        <v>4718</v>
      </c>
      <c r="G1278" t="s">
        <v>646</v>
      </c>
      <c r="H1278" t="s">
        <v>15</v>
      </c>
      <c r="I1278">
        <v>11727</v>
      </c>
    </row>
    <row r="1279" spans="1:9" x14ac:dyDescent="0.3">
      <c r="A1279">
        <v>1278</v>
      </c>
      <c r="B1279" t="s">
        <v>4719</v>
      </c>
      <c r="C1279" t="s">
        <v>1408</v>
      </c>
      <c r="D1279" t="s">
        <v>11</v>
      </c>
      <c r="E1279" t="s">
        <v>4720</v>
      </c>
      <c r="F1279" t="s">
        <v>4721</v>
      </c>
      <c r="G1279" t="s">
        <v>53</v>
      </c>
      <c r="H1279" t="s">
        <v>15</v>
      </c>
      <c r="I1279">
        <v>11372</v>
      </c>
    </row>
    <row r="1280" spans="1:9" x14ac:dyDescent="0.3">
      <c r="A1280">
        <v>1279</v>
      </c>
      <c r="B1280" t="s">
        <v>4722</v>
      </c>
      <c r="C1280" t="s">
        <v>1813</v>
      </c>
      <c r="D1280" t="s">
        <v>11</v>
      </c>
      <c r="E1280" t="s">
        <v>4723</v>
      </c>
      <c r="F1280" t="s">
        <v>4724</v>
      </c>
      <c r="G1280" t="s">
        <v>106</v>
      </c>
      <c r="H1280" t="s">
        <v>15</v>
      </c>
      <c r="I1280">
        <v>14424</v>
      </c>
    </row>
    <row r="1281" spans="1:9" x14ac:dyDescent="0.3">
      <c r="A1281">
        <v>1280</v>
      </c>
      <c r="B1281" t="s">
        <v>4725</v>
      </c>
      <c r="C1281" t="s">
        <v>2557</v>
      </c>
      <c r="D1281" t="s">
        <v>11</v>
      </c>
      <c r="E1281" t="s">
        <v>4726</v>
      </c>
      <c r="F1281" t="s">
        <v>4727</v>
      </c>
      <c r="G1281" t="s">
        <v>1627</v>
      </c>
      <c r="H1281" t="s">
        <v>15</v>
      </c>
      <c r="I1281">
        <v>12590</v>
      </c>
    </row>
    <row r="1282" spans="1:9" x14ac:dyDescent="0.3">
      <c r="A1282">
        <v>1281</v>
      </c>
      <c r="B1282" t="s">
        <v>4728</v>
      </c>
      <c r="C1282" t="s">
        <v>820</v>
      </c>
      <c r="D1282" t="s">
        <v>11</v>
      </c>
      <c r="E1282" t="s">
        <v>4729</v>
      </c>
      <c r="F1282" t="s">
        <v>4730</v>
      </c>
      <c r="G1282" t="s">
        <v>783</v>
      </c>
      <c r="H1282" t="s">
        <v>15</v>
      </c>
      <c r="I1282">
        <v>11377</v>
      </c>
    </row>
    <row r="1283" spans="1:9" x14ac:dyDescent="0.3">
      <c r="A1283">
        <v>1282</v>
      </c>
      <c r="B1283" t="s">
        <v>4731</v>
      </c>
      <c r="C1283" t="s">
        <v>1463</v>
      </c>
      <c r="D1283" t="s">
        <v>4732</v>
      </c>
      <c r="E1283" t="s">
        <v>4733</v>
      </c>
      <c r="F1283" t="s">
        <v>4734</v>
      </c>
      <c r="G1283" t="s">
        <v>2216</v>
      </c>
      <c r="H1283" t="s">
        <v>15</v>
      </c>
      <c r="I1283">
        <v>10956</v>
      </c>
    </row>
    <row r="1284" spans="1:9" x14ac:dyDescent="0.3">
      <c r="A1284">
        <v>1283</v>
      </c>
      <c r="B1284" t="s">
        <v>4735</v>
      </c>
      <c r="C1284" t="s">
        <v>1306</v>
      </c>
      <c r="D1284" t="s">
        <v>11</v>
      </c>
      <c r="E1284" t="s">
        <v>4736</v>
      </c>
      <c r="F1284" t="s">
        <v>4737</v>
      </c>
      <c r="G1284" t="s">
        <v>1245</v>
      </c>
      <c r="H1284" t="s">
        <v>15</v>
      </c>
      <c r="I1284">
        <v>12533</v>
      </c>
    </row>
    <row r="1285" spans="1:9" x14ac:dyDescent="0.3">
      <c r="A1285">
        <v>1284</v>
      </c>
      <c r="B1285" t="s">
        <v>4738</v>
      </c>
      <c r="C1285" t="s">
        <v>2866</v>
      </c>
      <c r="D1285" t="s">
        <v>11</v>
      </c>
      <c r="E1285" t="s">
        <v>4739</v>
      </c>
      <c r="F1285" t="s">
        <v>4740</v>
      </c>
      <c r="G1285" t="s">
        <v>962</v>
      </c>
      <c r="H1285" t="s">
        <v>15</v>
      </c>
      <c r="I1285">
        <v>11201</v>
      </c>
    </row>
    <row r="1286" spans="1:9" x14ac:dyDescent="0.3">
      <c r="A1286">
        <v>1285</v>
      </c>
      <c r="B1286" t="s">
        <v>4741</v>
      </c>
      <c r="C1286" t="s">
        <v>4081</v>
      </c>
      <c r="D1286" t="s">
        <v>11</v>
      </c>
      <c r="E1286" t="s">
        <v>4742</v>
      </c>
      <c r="F1286" t="s">
        <v>4743</v>
      </c>
      <c r="G1286" t="s">
        <v>277</v>
      </c>
      <c r="H1286" t="s">
        <v>21</v>
      </c>
      <c r="I1286">
        <v>91740</v>
      </c>
    </row>
    <row r="1287" spans="1:9" x14ac:dyDescent="0.3">
      <c r="A1287">
        <v>1286</v>
      </c>
      <c r="B1287" t="s">
        <v>4744</v>
      </c>
      <c r="C1287" t="s">
        <v>887</v>
      </c>
      <c r="D1287" t="s">
        <v>11</v>
      </c>
      <c r="E1287" t="s">
        <v>4745</v>
      </c>
      <c r="F1287" t="s">
        <v>4746</v>
      </c>
      <c r="G1287" t="s">
        <v>1180</v>
      </c>
      <c r="H1287" t="s">
        <v>21</v>
      </c>
      <c r="I1287">
        <v>94566</v>
      </c>
    </row>
    <row r="1288" spans="1:9" x14ac:dyDescent="0.3">
      <c r="A1288">
        <v>1287</v>
      </c>
      <c r="B1288" t="s">
        <v>4747</v>
      </c>
      <c r="C1288" t="s">
        <v>954</v>
      </c>
      <c r="D1288" t="s">
        <v>11</v>
      </c>
      <c r="E1288" t="s">
        <v>4748</v>
      </c>
      <c r="F1288" t="s">
        <v>4749</v>
      </c>
      <c r="G1288" t="s">
        <v>205</v>
      </c>
      <c r="H1288" t="s">
        <v>15</v>
      </c>
      <c r="I1288">
        <v>11102</v>
      </c>
    </row>
    <row r="1289" spans="1:9" x14ac:dyDescent="0.3">
      <c r="A1289">
        <v>1288</v>
      </c>
      <c r="B1289" t="s">
        <v>4750</v>
      </c>
      <c r="C1289" t="s">
        <v>2980</v>
      </c>
      <c r="D1289" t="s">
        <v>11</v>
      </c>
      <c r="E1289" t="s">
        <v>4751</v>
      </c>
      <c r="F1289" t="s">
        <v>4752</v>
      </c>
      <c r="G1289" t="s">
        <v>1041</v>
      </c>
      <c r="H1289" t="s">
        <v>21</v>
      </c>
      <c r="I1289">
        <v>90260</v>
      </c>
    </row>
    <row r="1290" spans="1:9" x14ac:dyDescent="0.3">
      <c r="A1290">
        <v>1289</v>
      </c>
      <c r="B1290" t="s">
        <v>4753</v>
      </c>
      <c r="C1290" t="s">
        <v>1380</v>
      </c>
      <c r="D1290" t="s">
        <v>11</v>
      </c>
      <c r="E1290" t="s">
        <v>4754</v>
      </c>
      <c r="F1290" t="s">
        <v>4755</v>
      </c>
      <c r="G1290" t="s">
        <v>242</v>
      </c>
      <c r="H1290" t="s">
        <v>15</v>
      </c>
      <c r="I1290">
        <v>11714</v>
      </c>
    </row>
    <row r="1291" spans="1:9" x14ac:dyDescent="0.3">
      <c r="A1291">
        <v>1290</v>
      </c>
      <c r="B1291" t="s">
        <v>4756</v>
      </c>
      <c r="C1291" t="s">
        <v>1895</v>
      </c>
      <c r="D1291" t="s">
        <v>11</v>
      </c>
      <c r="E1291" t="s">
        <v>4757</v>
      </c>
      <c r="F1291" t="s">
        <v>4758</v>
      </c>
      <c r="G1291" t="s">
        <v>2148</v>
      </c>
      <c r="H1291" t="s">
        <v>15</v>
      </c>
      <c r="I1291">
        <v>11419</v>
      </c>
    </row>
    <row r="1292" spans="1:9" x14ac:dyDescent="0.3">
      <c r="A1292">
        <v>1291</v>
      </c>
      <c r="B1292" t="s">
        <v>3837</v>
      </c>
      <c r="C1292" t="s">
        <v>512</v>
      </c>
      <c r="D1292" t="s">
        <v>11</v>
      </c>
      <c r="E1292" t="s">
        <v>4759</v>
      </c>
      <c r="F1292" t="s">
        <v>4760</v>
      </c>
      <c r="G1292" t="s">
        <v>68</v>
      </c>
      <c r="H1292" t="s">
        <v>15</v>
      </c>
      <c r="I1292">
        <v>10952</v>
      </c>
    </row>
    <row r="1293" spans="1:9" x14ac:dyDescent="0.3">
      <c r="A1293">
        <v>1292</v>
      </c>
      <c r="B1293" t="s">
        <v>4761</v>
      </c>
      <c r="C1293" t="s">
        <v>1965</v>
      </c>
      <c r="D1293" t="s">
        <v>11</v>
      </c>
      <c r="E1293" t="s">
        <v>4762</v>
      </c>
      <c r="F1293" t="s">
        <v>4763</v>
      </c>
      <c r="G1293" t="s">
        <v>251</v>
      </c>
      <c r="H1293" t="s">
        <v>21</v>
      </c>
      <c r="I1293">
        <v>94580</v>
      </c>
    </row>
    <row r="1294" spans="1:9" x14ac:dyDescent="0.3">
      <c r="A1294">
        <v>1293</v>
      </c>
      <c r="B1294" t="s">
        <v>4764</v>
      </c>
      <c r="C1294" t="s">
        <v>2170</v>
      </c>
      <c r="D1294" t="s">
        <v>11</v>
      </c>
      <c r="E1294" t="s">
        <v>4765</v>
      </c>
      <c r="F1294" t="s">
        <v>4766</v>
      </c>
      <c r="G1294" t="s">
        <v>533</v>
      </c>
      <c r="H1294" t="s">
        <v>15</v>
      </c>
      <c r="I1294">
        <v>11001</v>
      </c>
    </row>
    <row r="1295" spans="1:9" x14ac:dyDescent="0.3">
      <c r="A1295">
        <v>1294</v>
      </c>
      <c r="B1295" t="s">
        <v>4767</v>
      </c>
      <c r="C1295" t="s">
        <v>670</v>
      </c>
      <c r="D1295" t="s">
        <v>11</v>
      </c>
      <c r="E1295" t="s">
        <v>4768</v>
      </c>
      <c r="F1295" t="s">
        <v>4769</v>
      </c>
      <c r="G1295" t="s">
        <v>2267</v>
      </c>
      <c r="H1295" t="s">
        <v>21</v>
      </c>
      <c r="I1295">
        <v>91762</v>
      </c>
    </row>
    <row r="1296" spans="1:9" x14ac:dyDescent="0.3">
      <c r="A1296">
        <v>1295</v>
      </c>
      <c r="B1296" t="s">
        <v>4770</v>
      </c>
      <c r="C1296" t="s">
        <v>4771</v>
      </c>
      <c r="D1296" t="s">
        <v>11</v>
      </c>
      <c r="E1296" t="s">
        <v>4772</v>
      </c>
      <c r="F1296" t="s">
        <v>4773</v>
      </c>
      <c r="G1296" t="s">
        <v>375</v>
      </c>
      <c r="H1296" t="s">
        <v>15</v>
      </c>
      <c r="I1296">
        <v>14120</v>
      </c>
    </row>
    <row r="1297" spans="1:9" x14ac:dyDescent="0.3">
      <c r="A1297">
        <v>1296</v>
      </c>
      <c r="B1297" t="s">
        <v>2087</v>
      </c>
      <c r="C1297" t="s">
        <v>4774</v>
      </c>
      <c r="D1297" t="s">
        <v>11</v>
      </c>
      <c r="E1297" t="s">
        <v>4775</v>
      </c>
      <c r="F1297" t="s">
        <v>4776</v>
      </c>
      <c r="G1297" t="s">
        <v>682</v>
      </c>
      <c r="H1297" t="s">
        <v>15</v>
      </c>
      <c r="I1297">
        <v>11412</v>
      </c>
    </row>
    <row r="1298" spans="1:9" x14ac:dyDescent="0.3">
      <c r="A1298">
        <v>1297</v>
      </c>
      <c r="B1298" t="s">
        <v>4777</v>
      </c>
      <c r="C1298" t="s">
        <v>4778</v>
      </c>
      <c r="D1298" t="s">
        <v>11</v>
      </c>
      <c r="E1298" t="s">
        <v>4779</v>
      </c>
      <c r="F1298" t="s">
        <v>4780</v>
      </c>
      <c r="G1298" t="s">
        <v>1837</v>
      </c>
      <c r="H1298" t="s">
        <v>15</v>
      </c>
      <c r="I1298">
        <v>10801</v>
      </c>
    </row>
    <row r="1299" spans="1:9" x14ac:dyDescent="0.3">
      <c r="A1299">
        <v>1298</v>
      </c>
      <c r="B1299" t="s">
        <v>4781</v>
      </c>
      <c r="C1299" t="s">
        <v>959</v>
      </c>
      <c r="D1299" t="s">
        <v>11</v>
      </c>
      <c r="E1299" t="s">
        <v>4782</v>
      </c>
      <c r="F1299" t="s">
        <v>4783</v>
      </c>
      <c r="G1299" t="s">
        <v>1434</v>
      </c>
      <c r="H1299" t="s">
        <v>15</v>
      </c>
      <c r="I1299">
        <v>12302</v>
      </c>
    </row>
    <row r="1300" spans="1:9" x14ac:dyDescent="0.3">
      <c r="A1300">
        <v>1299</v>
      </c>
      <c r="B1300" t="s">
        <v>4784</v>
      </c>
      <c r="C1300" t="s">
        <v>1776</v>
      </c>
      <c r="D1300" t="s">
        <v>11</v>
      </c>
      <c r="E1300" t="s">
        <v>4785</v>
      </c>
      <c r="F1300" t="s">
        <v>4786</v>
      </c>
      <c r="G1300" t="s">
        <v>2536</v>
      </c>
      <c r="H1300" t="s">
        <v>15</v>
      </c>
      <c r="I1300">
        <v>10598</v>
      </c>
    </row>
    <row r="1301" spans="1:9" x14ac:dyDescent="0.3">
      <c r="A1301">
        <v>1300</v>
      </c>
      <c r="B1301" t="s">
        <v>4787</v>
      </c>
      <c r="C1301" t="s">
        <v>4537</v>
      </c>
      <c r="D1301" t="s">
        <v>11</v>
      </c>
      <c r="E1301" t="s">
        <v>4788</v>
      </c>
      <c r="F1301" t="s">
        <v>4789</v>
      </c>
      <c r="G1301" t="s">
        <v>2663</v>
      </c>
      <c r="H1301" t="s">
        <v>15</v>
      </c>
      <c r="I1301">
        <v>14701</v>
      </c>
    </row>
    <row r="1302" spans="1:9" x14ac:dyDescent="0.3">
      <c r="A1302">
        <v>1301</v>
      </c>
      <c r="B1302" t="s">
        <v>4790</v>
      </c>
      <c r="C1302" t="s">
        <v>4441</v>
      </c>
      <c r="D1302" t="s">
        <v>11</v>
      </c>
      <c r="E1302" t="s">
        <v>4791</v>
      </c>
      <c r="F1302" t="s">
        <v>4792</v>
      </c>
      <c r="G1302" t="s">
        <v>1041</v>
      </c>
      <c r="H1302" t="s">
        <v>21</v>
      </c>
      <c r="I1302">
        <v>90260</v>
      </c>
    </row>
    <row r="1303" spans="1:9" x14ac:dyDescent="0.3">
      <c r="A1303">
        <v>1302</v>
      </c>
      <c r="B1303" t="s">
        <v>4793</v>
      </c>
      <c r="C1303" t="s">
        <v>2173</v>
      </c>
      <c r="D1303" t="s">
        <v>11</v>
      </c>
      <c r="E1303" t="s">
        <v>4794</v>
      </c>
      <c r="F1303" t="s">
        <v>4795</v>
      </c>
      <c r="G1303" t="s">
        <v>125</v>
      </c>
      <c r="H1303" t="s">
        <v>15</v>
      </c>
      <c r="I1303">
        <v>11731</v>
      </c>
    </row>
    <row r="1304" spans="1:9" x14ac:dyDescent="0.3">
      <c r="A1304">
        <v>1303</v>
      </c>
      <c r="B1304" t="s">
        <v>4796</v>
      </c>
      <c r="C1304" t="s">
        <v>4797</v>
      </c>
      <c r="D1304" t="s">
        <v>11</v>
      </c>
      <c r="E1304" t="s">
        <v>4798</v>
      </c>
      <c r="F1304" t="s">
        <v>4799</v>
      </c>
      <c r="G1304" t="s">
        <v>783</v>
      </c>
      <c r="H1304" t="s">
        <v>15</v>
      </c>
      <c r="I1304">
        <v>11377</v>
      </c>
    </row>
    <row r="1305" spans="1:9" x14ac:dyDescent="0.3">
      <c r="A1305">
        <v>1304</v>
      </c>
      <c r="B1305" t="s">
        <v>4800</v>
      </c>
      <c r="C1305" t="s">
        <v>244</v>
      </c>
      <c r="D1305" t="s">
        <v>11</v>
      </c>
      <c r="E1305" t="s">
        <v>4801</v>
      </c>
      <c r="F1305" t="s">
        <v>4802</v>
      </c>
      <c r="G1305" t="s">
        <v>130</v>
      </c>
      <c r="H1305" t="s">
        <v>15</v>
      </c>
      <c r="I1305">
        <v>11423</v>
      </c>
    </row>
    <row r="1306" spans="1:9" x14ac:dyDescent="0.3">
      <c r="A1306">
        <v>1305</v>
      </c>
      <c r="B1306" t="s">
        <v>4803</v>
      </c>
      <c r="C1306" t="s">
        <v>355</v>
      </c>
      <c r="D1306" t="s">
        <v>4804</v>
      </c>
      <c r="E1306" t="s">
        <v>4805</v>
      </c>
      <c r="F1306" t="s">
        <v>4806</v>
      </c>
      <c r="G1306" t="s">
        <v>1917</v>
      </c>
      <c r="H1306" t="s">
        <v>15</v>
      </c>
      <c r="I1306">
        <v>14606</v>
      </c>
    </row>
    <row r="1307" spans="1:9" x14ac:dyDescent="0.3">
      <c r="A1307">
        <v>1306</v>
      </c>
      <c r="B1307" t="s">
        <v>4807</v>
      </c>
      <c r="C1307" t="s">
        <v>2973</v>
      </c>
      <c r="D1307" t="s">
        <v>11</v>
      </c>
      <c r="E1307" t="s">
        <v>4808</v>
      </c>
      <c r="F1307" t="s">
        <v>4809</v>
      </c>
      <c r="G1307" t="s">
        <v>864</v>
      </c>
      <c r="H1307" t="s">
        <v>15</v>
      </c>
      <c r="I1307">
        <v>14580</v>
      </c>
    </row>
    <row r="1308" spans="1:9" x14ac:dyDescent="0.3">
      <c r="A1308">
        <v>1307</v>
      </c>
      <c r="B1308" t="s">
        <v>4810</v>
      </c>
      <c r="C1308" t="s">
        <v>2682</v>
      </c>
      <c r="D1308" t="s">
        <v>11</v>
      </c>
      <c r="E1308" t="s">
        <v>4811</v>
      </c>
      <c r="F1308" t="s">
        <v>4812</v>
      </c>
      <c r="G1308" t="s">
        <v>1695</v>
      </c>
      <c r="H1308" t="s">
        <v>21</v>
      </c>
      <c r="I1308">
        <v>93635</v>
      </c>
    </row>
    <row r="1309" spans="1:9" x14ac:dyDescent="0.3">
      <c r="A1309">
        <v>1308</v>
      </c>
      <c r="B1309" t="s">
        <v>4813</v>
      </c>
      <c r="C1309" t="s">
        <v>499</v>
      </c>
      <c r="D1309" t="s">
        <v>11</v>
      </c>
      <c r="E1309" t="s">
        <v>4814</v>
      </c>
      <c r="F1309" t="s">
        <v>4815</v>
      </c>
      <c r="G1309" t="s">
        <v>366</v>
      </c>
      <c r="H1309" t="s">
        <v>21</v>
      </c>
      <c r="I1309">
        <v>91733</v>
      </c>
    </row>
    <row r="1310" spans="1:9" x14ac:dyDescent="0.3">
      <c r="A1310">
        <v>1309</v>
      </c>
      <c r="B1310" t="s">
        <v>4816</v>
      </c>
      <c r="C1310" t="s">
        <v>4817</v>
      </c>
      <c r="D1310" t="s">
        <v>11</v>
      </c>
      <c r="E1310" t="s">
        <v>4818</v>
      </c>
      <c r="F1310" t="s">
        <v>4819</v>
      </c>
      <c r="G1310" t="s">
        <v>1310</v>
      </c>
      <c r="H1310" t="s">
        <v>15</v>
      </c>
      <c r="I1310">
        <v>11720</v>
      </c>
    </row>
    <row r="1311" spans="1:9" x14ac:dyDescent="0.3">
      <c r="A1311">
        <v>1310</v>
      </c>
      <c r="B1311" t="s">
        <v>4820</v>
      </c>
      <c r="C1311" t="s">
        <v>399</v>
      </c>
      <c r="D1311" t="s">
        <v>11</v>
      </c>
      <c r="E1311" t="s">
        <v>4821</v>
      </c>
      <c r="F1311" t="s">
        <v>4822</v>
      </c>
      <c r="G1311" t="s">
        <v>1434</v>
      </c>
      <c r="H1311" t="s">
        <v>15</v>
      </c>
      <c r="I1311">
        <v>12302</v>
      </c>
    </row>
    <row r="1312" spans="1:9" x14ac:dyDescent="0.3">
      <c r="A1312">
        <v>1311</v>
      </c>
      <c r="B1312" t="s">
        <v>4774</v>
      </c>
      <c r="C1312" t="s">
        <v>3460</v>
      </c>
      <c r="D1312" t="s">
        <v>11</v>
      </c>
      <c r="E1312" t="s">
        <v>4823</v>
      </c>
      <c r="F1312" t="s">
        <v>4824</v>
      </c>
      <c r="G1312" t="s">
        <v>646</v>
      </c>
      <c r="H1312" t="s">
        <v>15</v>
      </c>
      <c r="I1312">
        <v>11727</v>
      </c>
    </row>
    <row r="1313" spans="1:9" x14ac:dyDescent="0.3">
      <c r="A1313">
        <v>1312</v>
      </c>
      <c r="B1313" t="s">
        <v>4825</v>
      </c>
      <c r="C1313" t="s">
        <v>4826</v>
      </c>
      <c r="D1313" t="s">
        <v>11</v>
      </c>
      <c r="E1313" t="s">
        <v>4827</v>
      </c>
      <c r="F1313" t="s">
        <v>4828</v>
      </c>
      <c r="G1313" t="s">
        <v>1253</v>
      </c>
      <c r="H1313" t="s">
        <v>15</v>
      </c>
      <c r="I1313">
        <v>11779</v>
      </c>
    </row>
    <row r="1314" spans="1:9" x14ac:dyDescent="0.3">
      <c r="A1314">
        <v>1313</v>
      </c>
      <c r="B1314" t="s">
        <v>4829</v>
      </c>
      <c r="C1314" t="s">
        <v>4830</v>
      </c>
      <c r="D1314" t="s">
        <v>11</v>
      </c>
      <c r="E1314" t="s">
        <v>4831</v>
      </c>
      <c r="F1314" t="s">
        <v>4832</v>
      </c>
      <c r="G1314" t="s">
        <v>435</v>
      </c>
      <c r="H1314" t="s">
        <v>21</v>
      </c>
      <c r="I1314">
        <v>91010</v>
      </c>
    </row>
    <row r="1315" spans="1:9" x14ac:dyDescent="0.3">
      <c r="A1315">
        <v>1314</v>
      </c>
      <c r="B1315" t="s">
        <v>4833</v>
      </c>
      <c r="C1315" t="s">
        <v>2710</v>
      </c>
      <c r="D1315" t="s">
        <v>11</v>
      </c>
      <c r="E1315" t="s">
        <v>4834</v>
      </c>
      <c r="F1315" t="s">
        <v>4835</v>
      </c>
      <c r="G1315" t="s">
        <v>2267</v>
      </c>
      <c r="H1315" t="s">
        <v>21</v>
      </c>
      <c r="I1315">
        <v>91762</v>
      </c>
    </row>
    <row r="1316" spans="1:9" x14ac:dyDescent="0.3">
      <c r="A1316">
        <v>1315</v>
      </c>
      <c r="B1316" t="s">
        <v>4836</v>
      </c>
      <c r="C1316" t="s">
        <v>794</v>
      </c>
      <c r="D1316" t="s">
        <v>11</v>
      </c>
      <c r="E1316" t="s">
        <v>4837</v>
      </c>
      <c r="F1316" t="s">
        <v>4838</v>
      </c>
      <c r="G1316" t="s">
        <v>1103</v>
      </c>
      <c r="H1316" t="s">
        <v>21</v>
      </c>
      <c r="I1316">
        <v>91387</v>
      </c>
    </row>
    <row r="1317" spans="1:9" x14ac:dyDescent="0.3">
      <c r="A1317">
        <v>1316</v>
      </c>
      <c r="B1317" t="s">
        <v>4839</v>
      </c>
      <c r="C1317" t="s">
        <v>4840</v>
      </c>
      <c r="D1317" t="s">
        <v>11</v>
      </c>
      <c r="E1317" t="s">
        <v>4841</v>
      </c>
      <c r="F1317" t="s">
        <v>4842</v>
      </c>
      <c r="G1317" t="s">
        <v>663</v>
      </c>
      <c r="H1317" t="s">
        <v>15</v>
      </c>
      <c r="I1317">
        <v>11758</v>
      </c>
    </row>
    <row r="1318" spans="1:9" x14ac:dyDescent="0.3">
      <c r="A1318">
        <v>1317</v>
      </c>
      <c r="B1318" t="s">
        <v>4843</v>
      </c>
      <c r="C1318" t="s">
        <v>4844</v>
      </c>
      <c r="D1318" t="s">
        <v>11</v>
      </c>
      <c r="E1318" t="s">
        <v>4845</v>
      </c>
      <c r="F1318" t="s">
        <v>4846</v>
      </c>
      <c r="G1318" t="s">
        <v>510</v>
      </c>
      <c r="H1318" t="s">
        <v>15</v>
      </c>
      <c r="I1318">
        <v>11791</v>
      </c>
    </row>
    <row r="1319" spans="1:9" x14ac:dyDescent="0.3">
      <c r="A1319">
        <v>1318</v>
      </c>
      <c r="B1319" t="s">
        <v>4847</v>
      </c>
      <c r="C1319" t="s">
        <v>4848</v>
      </c>
      <c r="D1319" t="s">
        <v>4849</v>
      </c>
      <c r="E1319" t="s">
        <v>4850</v>
      </c>
      <c r="F1319" t="s">
        <v>4851</v>
      </c>
      <c r="G1319" t="s">
        <v>2903</v>
      </c>
      <c r="H1319" t="s">
        <v>80</v>
      </c>
      <c r="I1319">
        <v>78213</v>
      </c>
    </row>
    <row r="1320" spans="1:9" x14ac:dyDescent="0.3">
      <c r="A1320">
        <v>1319</v>
      </c>
      <c r="B1320" t="s">
        <v>4852</v>
      </c>
      <c r="C1320" t="s">
        <v>4853</v>
      </c>
      <c r="D1320" t="s">
        <v>11</v>
      </c>
      <c r="E1320" t="s">
        <v>4854</v>
      </c>
      <c r="F1320" t="s">
        <v>4855</v>
      </c>
      <c r="G1320" t="s">
        <v>615</v>
      </c>
      <c r="H1320" t="s">
        <v>15</v>
      </c>
      <c r="I1320">
        <v>12550</v>
      </c>
    </row>
    <row r="1321" spans="1:9" x14ac:dyDescent="0.3">
      <c r="A1321">
        <v>1320</v>
      </c>
      <c r="B1321" t="s">
        <v>4856</v>
      </c>
      <c r="C1321" t="s">
        <v>892</v>
      </c>
      <c r="D1321" t="s">
        <v>11</v>
      </c>
      <c r="E1321" t="s">
        <v>4857</v>
      </c>
      <c r="F1321" t="s">
        <v>4858</v>
      </c>
      <c r="G1321" t="s">
        <v>615</v>
      </c>
      <c r="H1321" t="s">
        <v>15</v>
      </c>
      <c r="I1321">
        <v>12550</v>
      </c>
    </row>
    <row r="1322" spans="1:9" x14ac:dyDescent="0.3">
      <c r="A1322">
        <v>1321</v>
      </c>
      <c r="B1322" t="s">
        <v>4859</v>
      </c>
      <c r="C1322" t="s">
        <v>3099</v>
      </c>
      <c r="D1322" t="s">
        <v>11</v>
      </c>
      <c r="E1322" t="s">
        <v>4860</v>
      </c>
      <c r="F1322" t="s">
        <v>4861</v>
      </c>
      <c r="G1322" t="s">
        <v>750</v>
      </c>
      <c r="H1322" t="s">
        <v>15</v>
      </c>
      <c r="I1322">
        <v>11795</v>
      </c>
    </row>
    <row r="1323" spans="1:9" x14ac:dyDescent="0.3">
      <c r="A1323">
        <v>1322</v>
      </c>
      <c r="B1323" t="s">
        <v>4862</v>
      </c>
      <c r="C1323" t="s">
        <v>4863</v>
      </c>
      <c r="D1323" t="s">
        <v>11</v>
      </c>
      <c r="E1323" t="s">
        <v>4864</v>
      </c>
      <c r="F1323" t="s">
        <v>4865</v>
      </c>
      <c r="G1323" t="s">
        <v>449</v>
      </c>
      <c r="H1323" t="s">
        <v>15</v>
      </c>
      <c r="I1323">
        <v>11010</v>
      </c>
    </row>
    <row r="1324" spans="1:9" x14ac:dyDescent="0.3">
      <c r="A1324">
        <v>1323</v>
      </c>
      <c r="B1324" t="s">
        <v>4866</v>
      </c>
      <c r="C1324" t="s">
        <v>1365</v>
      </c>
      <c r="D1324" t="s">
        <v>11</v>
      </c>
      <c r="E1324" t="s">
        <v>4867</v>
      </c>
      <c r="F1324" t="s">
        <v>4868</v>
      </c>
      <c r="G1324" t="s">
        <v>2752</v>
      </c>
      <c r="H1324" t="s">
        <v>15</v>
      </c>
      <c r="I1324">
        <v>11704</v>
      </c>
    </row>
    <row r="1325" spans="1:9" x14ac:dyDescent="0.3">
      <c r="A1325">
        <v>1324</v>
      </c>
      <c r="B1325" t="s">
        <v>4869</v>
      </c>
      <c r="C1325" t="s">
        <v>3603</v>
      </c>
      <c r="D1325" t="s">
        <v>11</v>
      </c>
      <c r="E1325" t="s">
        <v>4870</v>
      </c>
      <c r="F1325" t="s">
        <v>4871</v>
      </c>
      <c r="G1325" t="s">
        <v>282</v>
      </c>
      <c r="H1325" t="s">
        <v>15</v>
      </c>
      <c r="I1325">
        <v>13501</v>
      </c>
    </row>
    <row r="1326" spans="1:9" x14ac:dyDescent="0.3">
      <c r="A1326">
        <v>1325</v>
      </c>
      <c r="B1326" t="s">
        <v>4872</v>
      </c>
      <c r="C1326" t="s">
        <v>1020</v>
      </c>
      <c r="D1326" t="s">
        <v>11</v>
      </c>
      <c r="E1326" t="s">
        <v>4873</v>
      </c>
      <c r="F1326" t="s">
        <v>4874</v>
      </c>
      <c r="G1326" t="s">
        <v>430</v>
      </c>
      <c r="H1326" t="s">
        <v>15</v>
      </c>
      <c r="I1326">
        <v>13126</v>
      </c>
    </row>
    <row r="1327" spans="1:9" x14ac:dyDescent="0.3">
      <c r="A1327">
        <v>1326</v>
      </c>
      <c r="B1327" t="s">
        <v>4875</v>
      </c>
      <c r="C1327" t="s">
        <v>1752</v>
      </c>
      <c r="D1327" t="s">
        <v>11</v>
      </c>
      <c r="E1327" t="s">
        <v>4876</v>
      </c>
      <c r="F1327" t="s">
        <v>4877</v>
      </c>
      <c r="G1327" t="s">
        <v>2381</v>
      </c>
      <c r="H1327" t="s">
        <v>15</v>
      </c>
      <c r="I1327">
        <v>13021</v>
      </c>
    </row>
    <row r="1328" spans="1:9" x14ac:dyDescent="0.3">
      <c r="A1328">
        <v>1327</v>
      </c>
      <c r="B1328" t="s">
        <v>4477</v>
      </c>
      <c r="C1328" t="s">
        <v>4878</v>
      </c>
      <c r="D1328" t="s">
        <v>11</v>
      </c>
      <c r="E1328" t="s">
        <v>4879</v>
      </c>
      <c r="F1328" t="s">
        <v>4880</v>
      </c>
      <c r="G1328" t="s">
        <v>63</v>
      </c>
      <c r="H1328" t="s">
        <v>15</v>
      </c>
      <c r="I1328">
        <v>10950</v>
      </c>
    </row>
    <row r="1329" spans="1:9" x14ac:dyDescent="0.3">
      <c r="A1329">
        <v>1328</v>
      </c>
      <c r="B1329" t="s">
        <v>4881</v>
      </c>
      <c r="C1329" t="s">
        <v>4882</v>
      </c>
      <c r="D1329" t="s">
        <v>11</v>
      </c>
      <c r="E1329" t="s">
        <v>4883</v>
      </c>
      <c r="F1329" t="s">
        <v>4884</v>
      </c>
      <c r="G1329" t="s">
        <v>1041</v>
      </c>
      <c r="H1329" t="s">
        <v>21</v>
      </c>
      <c r="I1329">
        <v>90260</v>
      </c>
    </row>
    <row r="1330" spans="1:9" x14ac:dyDescent="0.3">
      <c r="A1330">
        <v>1329</v>
      </c>
      <c r="B1330" t="s">
        <v>467</v>
      </c>
      <c r="C1330" t="s">
        <v>4885</v>
      </c>
      <c r="D1330" t="s">
        <v>11</v>
      </c>
      <c r="E1330" t="s">
        <v>4886</v>
      </c>
      <c r="F1330" t="s">
        <v>4887</v>
      </c>
      <c r="G1330" t="s">
        <v>130</v>
      </c>
      <c r="H1330" t="s">
        <v>15</v>
      </c>
      <c r="I1330">
        <v>11423</v>
      </c>
    </row>
    <row r="1331" spans="1:9" x14ac:dyDescent="0.3">
      <c r="A1331">
        <v>1330</v>
      </c>
      <c r="B1331" t="s">
        <v>4888</v>
      </c>
      <c r="C1331" t="s">
        <v>3682</v>
      </c>
      <c r="D1331" t="s">
        <v>11</v>
      </c>
      <c r="E1331" t="s">
        <v>4889</v>
      </c>
      <c r="F1331" t="s">
        <v>4890</v>
      </c>
      <c r="G1331" t="s">
        <v>309</v>
      </c>
      <c r="H1331" t="s">
        <v>21</v>
      </c>
      <c r="I1331">
        <v>94070</v>
      </c>
    </row>
    <row r="1332" spans="1:9" x14ac:dyDescent="0.3">
      <c r="A1332">
        <v>1331</v>
      </c>
      <c r="B1332" t="s">
        <v>4101</v>
      </c>
      <c r="C1332" t="s">
        <v>2478</v>
      </c>
      <c r="D1332" t="s">
        <v>11</v>
      </c>
      <c r="E1332" t="s">
        <v>4891</v>
      </c>
      <c r="F1332" t="s">
        <v>4892</v>
      </c>
      <c r="G1332" t="s">
        <v>615</v>
      </c>
      <c r="H1332" t="s">
        <v>15</v>
      </c>
      <c r="I1332">
        <v>12550</v>
      </c>
    </row>
    <row r="1333" spans="1:9" x14ac:dyDescent="0.3">
      <c r="A1333">
        <v>1332</v>
      </c>
      <c r="B1333" t="s">
        <v>3729</v>
      </c>
      <c r="C1333" t="s">
        <v>992</v>
      </c>
      <c r="D1333" t="s">
        <v>11</v>
      </c>
      <c r="E1333" t="s">
        <v>4893</v>
      </c>
      <c r="F1333" t="s">
        <v>4894</v>
      </c>
      <c r="G1333" t="s">
        <v>277</v>
      </c>
      <c r="H1333" t="s">
        <v>21</v>
      </c>
      <c r="I1333">
        <v>91740</v>
      </c>
    </row>
    <row r="1334" spans="1:9" x14ac:dyDescent="0.3">
      <c r="A1334">
        <v>1333</v>
      </c>
      <c r="B1334" t="s">
        <v>4836</v>
      </c>
      <c r="C1334" t="s">
        <v>4081</v>
      </c>
      <c r="D1334" t="s">
        <v>11</v>
      </c>
      <c r="E1334" t="s">
        <v>4895</v>
      </c>
      <c r="F1334" t="s">
        <v>4896</v>
      </c>
      <c r="G1334" t="s">
        <v>2221</v>
      </c>
      <c r="H1334" t="s">
        <v>21</v>
      </c>
      <c r="I1334">
        <v>90403</v>
      </c>
    </row>
    <row r="1335" spans="1:9" x14ac:dyDescent="0.3">
      <c r="A1335">
        <v>1334</v>
      </c>
      <c r="B1335" t="s">
        <v>2513</v>
      </c>
      <c r="C1335" t="s">
        <v>4897</v>
      </c>
      <c r="D1335" t="s">
        <v>11</v>
      </c>
      <c r="E1335" t="s">
        <v>4898</v>
      </c>
      <c r="F1335" t="s">
        <v>4899</v>
      </c>
      <c r="G1335" t="s">
        <v>615</v>
      </c>
      <c r="H1335" t="s">
        <v>15</v>
      </c>
      <c r="I1335">
        <v>12550</v>
      </c>
    </row>
    <row r="1336" spans="1:9" x14ac:dyDescent="0.3">
      <c r="A1336">
        <v>1335</v>
      </c>
      <c r="B1336" t="s">
        <v>4900</v>
      </c>
      <c r="C1336" t="s">
        <v>4574</v>
      </c>
      <c r="D1336" t="s">
        <v>11</v>
      </c>
      <c r="E1336" t="s">
        <v>4901</v>
      </c>
      <c r="F1336" t="s">
        <v>4902</v>
      </c>
      <c r="G1336" t="s">
        <v>1622</v>
      </c>
      <c r="H1336" t="s">
        <v>15</v>
      </c>
      <c r="I1336">
        <v>11422</v>
      </c>
    </row>
    <row r="1337" spans="1:9" x14ac:dyDescent="0.3">
      <c r="A1337">
        <v>1336</v>
      </c>
      <c r="B1337" t="s">
        <v>4903</v>
      </c>
      <c r="C1337" t="s">
        <v>340</v>
      </c>
      <c r="D1337" t="s">
        <v>11</v>
      </c>
      <c r="E1337" t="s">
        <v>4904</v>
      </c>
      <c r="F1337" t="s">
        <v>4905</v>
      </c>
      <c r="G1337" t="s">
        <v>929</v>
      </c>
      <c r="H1337" t="s">
        <v>15</v>
      </c>
      <c r="I1337">
        <v>12553</v>
      </c>
    </row>
    <row r="1338" spans="1:9" x14ac:dyDescent="0.3">
      <c r="A1338">
        <v>1337</v>
      </c>
      <c r="B1338" t="s">
        <v>705</v>
      </c>
      <c r="C1338" t="s">
        <v>2000</v>
      </c>
      <c r="D1338" t="s">
        <v>11</v>
      </c>
      <c r="E1338" t="s">
        <v>4906</v>
      </c>
      <c r="F1338" t="s">
        <v>4907</v>
      </c>
      <c r="G1338" t="s">
        <v>79</v>
      </c>
      <c r="H1338" t="s">
        <v>80</v>
      </c>
      <c r="I1338">
        <v>75604</v>
      </c>
    </row>
    <row r="1339" spans="1:9" x14ac:dyDescent="0.3">
      <c r="A1339">
        <v>1338</v>
      </c>
      <c r="B1339" t="s">
        <v>4908</v>
      </c>
      <c r="C1339" t="s">
        <v>4909</v>
      </c>
      <c r="D1339" t="s">
        <v>11</v>
      </c>
      <c r="E1339" t="s">
        <v>4910</v>
      </c>
      <c r="F1339" t="s">
        <v>4911</v>
      </c>
      <c r="G1339" t="s">
        <v>1253</v>
      </c>
      <c r="H1339" t="s">
        <v>15</v>
      </c>
      <c r="I1339">
        <v>11779</v>
      </c>
    </row>
    <row r="1340" spans="1:9" x14ac:dyDescent="0.3">
      <c r="A1340">
        <v>1339</v>
      </c>
      <c r="B1340" t="s">
        <v>4912</v>
      </c>
      <c r="C1340" t="s">
        <v>950</v>
      </c>
      <c r="D1340" t="s">
        <v>4913</v>
      </c>
      <c r="E1340" t="s">
        <v>4914</v>
      </c>
      <c r="F1340" t="s">
        <v>4915</v>
      </c>
      <c r="G1340" t="s">
        <v>1018</v>
      </c>
      <c r="H1340" t="s">
        <v>15</v>
      </c>
      <c r="I1340">
        <v>11572</v>
      </c>
    </row>
    <row r="1341" spans="1:9" x14ac:dyDescent="0.3">
      <c r="A1341">
        <v>1340</v>
      </c>
      <c r="B1341" t="s">
        <v>4916</v>
      </c>
      <c r="C1341" t="s">
        <v>4917</v>
      </c>
      <c r="D1341" t="s">
        <v>11</v>
      </c>
      <c r="E1341" t="s">
        <v>4918</v>
      </c>
      <c r="F1341" t="s">
        <v>4919</v>
      </c>
      <c r="G1341" t="s">
        <v>1000</v>
      </c>
      <c r="H1341" t="s">
        <v>15</v>
      </c>
      <c r="I1341">
        <v>11357</v>
      </c>
    </row>
    <row r="1342" spans="1:9" x14ac:dyDescent="0.3">
      <c r="A1342">
        <v>1341</v>
      </c>
      <c r="B1342" t="s">
        <v>4920</v>
      </c>
      <c r="C1342" t="s">
        <v>3188</v>
      </c>
      <c r="D1342" t="s">
        <v>11</v>
      </c>
      <c r="E1342" t="s">
        <v>4921</v>
      </c>
      <c r="F1342" t="s">
        <v>4922</v>
      </c>
      <c r="G1342" t="s">
        <v>1202</v>
      </c>
      <c r="H1342" t="s">
        <v>15</v>
      </c>
      <c r="I1342">
        <v>11530</v>
      </c>
    </row>
    <row r="1343" spans="1:9" x14ac:dyDescent="0.3">
      <c r="A1343">
        <v>1342</v>
      </c>
      <c r="B1343" t="s">
        <v>4923</v>
      </c>
      <c r="C1343" t="s">
        <v>1038</v>
      </c>
      <c r="D1343" t="s">
        <v>11</v>
      </c>
      <c r="E1343" t="s">
        <v>4924</v>
      </c>
      <c r="F1343" t="s">
        <v>4925</v>
      </c>
      <c r="G1343" t="s">
        <v>2003</v>
      </c>
      <c r="H1343" t="s">
        <v>15</v>
      </c>
      <c r="I1343">
        <v>11520</v>
      </c>
    </row>
    <row r="1344" spans="1:9" x14ac:dyDescent="0.3">
      <c r="A1344">
        <v>1343</v>
      </c>
      <c r="B1344" t="s">
        <v>4926</v>
      </c>
      <c r="C1344" t="s">
        <v>752</v>
      </c>
      <c r="D1344" t="s">
        <v>11</v>
      </c>
      <c r="E1344" t="s">
        <v>4927</v>
      </c>
      <c r="F1344" t="s">
        <v>4928</v>
      </c>
      <c r="G1344" t="s">
        <v>444</v>
      </c>
      <c r="H1344" t="s">
        <v>21</v>
      </c>
      <c r="I1344">
        <v>91784</v>
      </c>
    </row>
    <row r="1345" spans="1:9" x14ac:dyDescent="0.3">
      <c r="A1345">
        <v>1344</v>
      </c>
      <c r="B1345" t="s">
        <v>4929</v>
      </c>
      <c r="C1345" t="s">
        <v>4930</v>
      </c>
      <c r="D1345" t="s">
        <v>11</v>
      </c>
      <c r="E1345" t="s">
        <v>4931</v>
      </c>
      <c r="F1345" t="s">
        <v>4932</v>
      </c>
      <c r="G1345" t="s">
        <v>596</v>
      </c>
      <c r="H1345" t="s">
        <v>15</v>
      </c>
      <c r="I1345">
        <v>11414</v>
      </c>
    </row>
    <row r="1346" spans="1:9" x14ac:dyDescent="0.3">
      <c r="A1346">
        <v>1345</v>
      </c>
      <c r="B1346" t="s">
        <v>4933</v>
      </c>
      <c r="C1346" t="s">
        <v>316</v>
      </c>
      <c r="D1346" t="s">
        <v>11</v>
      </c>
      <c r="E1346" t="s">
        <v>4934</v>
      </c>
      <c r="F1346" t="s">
        <v>4935</v>
      </c>
      <c r="G1346" t="s">
        <v>1669</v>
      </c>
      <c r="H1346" t="s">
        <v>15</v>
      </c>
      <c r="I1346">
        <v>11354</v>
      </c>
    </row>
    <row r="1347" spans="1:9" x14ac:dyDescent="0.3">
      <c r="A1347">
        <v>1346</v>
      </c>
      <c r="B1347" t="s">
        <v>4936</v>
      </c>
      <c r="C1347" t="s">
        <v>864</v>
      </c>
      <c r="D1347" t="s">
        <v>4937</v>
      </c>
      <c r="E1347" t="s">
        <v>4938</v>
      </c>
      <c r="F1347" t="s">
        <v>4939</v>
      </c>
      <c r="G1347" t="s">
        <v>2410</v>
      </c>
      <c r="H1347" t="s">
        <v>21</v>
      </c>
      <c r="I1347">
        <v>90008</v>
      </c>
    </row>
    <row r="1348" spans="1:9" x14ac:dyDescent="0.3">
      <c r="A1348">
        <v>1347</v>
      </c>
      <c r="B1348" t="s">
        <v>4940</v>
      </c>
      <c r="C1348" t="s">
        <v>892</v>
      </c>
      <c r="D1348" t="s">
        <v>11</v>
      </c>
      <c r="E1348" t="s">
        <v>4941</v>
      </c>
      <c r="F1348" t="s">
        <v>4942</v>
      </c>
      <c r="G1348" t="s">
        <v>475</v>
      </c>
      <c r="H1348" t="s">
        <v>15</v>
      </c>
      <c r="I1348">
        <v>12866</v>
      </c>
    </row>
    <row r="1349" spans="1:9" x14ac:dyDescent="0.3">
      <c r="A1349">
        <v>1348</v>
      </c>
      <c r="B1349" t="s">
        <v>3057</v>
      </c>
      <c r="C1349" t="s">
        <v>1752</v>
      </c>
      <c r="D1349" t="s">
        <v>11</v>
      </c>
      <c r="E1349" t="s">
        <v>4943</v>
      </c>
      <c r="F1349" t="s">
        <v>4944</v>
      </c>
      <c r="G1349" t="s">
        <v>267</v>
      </c>
      <c r="H1349" t="s">
        <v>15</v>
      </c>
      <c r="I1349">
        <v>11566</v>
      </c>
    </row>
    <row r="1350" spans="1:9" x14ac:dyDescent="0.3">
      <c r="A1350">
        <v>1349</v>
      </c>
      <c r="B1350" t="s">
        <v>4945</v>
      </c>
      <c r="C1350" t="s">
        <v>1970</v>
      </c>
      <c r="D1350" t="s">
        <v>11</v>
      </c>
      <c r="E1350" t="s">
        <v>4946</v>
      </c>
      <c r="F1350" t="s">
        <v>4947</v>
      </c>
      <c r="G1350" t="s">
        <v>216</v>
      </c>
      <c r="H1350" t="s">
        <v>21</v>
      </c>
      <c r="I1350">
        <v>91316</v>
      </c>
    </row>
    <row r="1351" spans="1:9" x14ac:dyDescent="0.3">
      <c r="A1351">
        <v>1350</v>
      </c>
      <c r="B1351" t="s">
        <v>1349</v>
      </c>
      <c r="C1351" t="s">
        <v>4948</v>
      </c>
      <c r="D1351" t="s">
        <v>11</v>
      </c>
      <c r="E1351" t="s">
        <v>4949</v>
      </c>
      <c r="F1351" t="s">
        <v>4950</v>
      </c>
      <c r="G1351" t="s">
        <v>1622</v>
      </c>
      <c r="H1351" t="s">
        <v>15</v>
      </c>
      <c r="I1351">
        <v>11422</v>
      </c>
    </row>
    <row r="1352" spans="1:9" x14ac:dyDescent="0.3">
      <c r="A1352">
        <v>1351</v>
      </c>
      <c r="B1352" t="s">
        <v>4951</v>
      </c>
      <c r="C1352" t="s">
        <v>4952</v>
      </c>
      <c r="D1352" t="s">
        <v>11</v>
      </c>
      <c r="E1352" t="s">
        <v>4953</v>
      </c>
      <c r="F1352" t="s">
        <v>4954</v>
      </c>
      <c r="G1352" t="s">
        <v>2663</v>
      </c>
      <c r="H1352" t="s">
        <v>15</v>
      </c>
      <c r="I1352">
        <v>14701</v>
      </c>
    </row>
    <row r="1353" spans="1:9" x14ac:dyDescent="0.3">
      <c r="A1353">
        <v>1352</v>
      </c>
      <c r="B1353" t="s">
        <v>2799</v>
      </c>
      <c r="C1353" t="s">
        <v>3003</v>
      </c>
      <c r="D1353" t="s">
        <v>11</v>
      </c>
      <c r="E1353" t="s">
        <v>4955</v>
      </c>
      <c r="F1353" t="s">
        <v>4956</v>
      </c>
      <c r="G1353" t="s">
        <v>444</v>
      </c>
      <c r="H1353" t="s">
        <v>21</v>
      </c>
      <c r="I1353">
        <v>91784</v>
      </c>
    </row>
    <row r="1354" spans="1:9" x14ac:dyDescent="0.3">
      <c r="A1354">
        <v>1353</v>
      </c>
      <c r="B1354" t="s">
        <v>3060</v>
      </c>
      <c r="C1354" t="s">
        <v>2339</v>
      </c>
      <c r="D1354" t="s">
        <v>11</v>
      </c>
      <c r="E1354" t="s">
        <v>4957</v>
      </c>
      <c r="F1354" t="s">
        <v>4958</v>
      </c>
      <c r="G1354" t="s">
        <v>366</v>
      </c>
      <c r="H1354" t="s">
        <v>21</v>
      </c>
      <c r="I1354">
        <v>91733</v>
      </c>
    </row>
    <row r="1355" spans="1:9" x14ac:dyDescent="0.3">
      <c r="A1355">
        <v>1354</v>
      </c>
      <c r="B1355" t="s">
        <v>4959</v>
      </c>
      <c r="C1355" t="s">
        <v>1360</v>
      </c>
      <c r="D1355" t="s">
        <v>11</v>
      </c>
      <c r="E1355" t="s">
        <v>4960</v>
      </c>
      <c r="F1355" t="s">
        <v>4961</v>
      </c>
      <c r="G1355" t="s">
        <v>1434</v>
      </c>
      <c r="H1355" t="s">
        <v>15</v>
      </c>
      <c r="I1355">
        <v>12302</v>
      </c>
    </row>
    <row r="1356" spans="1:9" x14ac:dyDescent="0.3">
      <c r="A1356">
        <v>1355</v>
      </c>
      <c r="B1356" t="s">
        <v>2285</v>
      </c>
      <c r="C1356" t="s">
        <v>768</v>
      </c>
      <c r="D1356" t="s">
        <v>11</v>
      </c>
      <c r="E1356" t="s">
        <v>4962</v>
      </c>
      <c r="F1356" t="s">
        <v>4963</v>
      </c>
      <c r="G1356" t="s">
        <v>1293</v>
      </c>
      <c r="H1356" t="s">
        <v>15</v>
      </c>
      <c r="I1356">
        <v>11756</v>
      </c>
    </row>
    <row r="1357" spans="1:9" x14ac:dyDescent="0.3">
      <c r="A1357">
        <v>1356</v>
      </c>
      <c r="B1357" t="s">
        <v>4964</v>
      </c>
      <c r="C1357" t="s">
        <v>4965</v>
      </c>
      <c r="D1357" t="s">
        <v>11</v>
      </c>
      <c r="E1357" t="s">
        <v>4966</v>
      </c>
      <c r="F1357" t="s">
        <v>4967</v>
      </c>
      <c r="G1357" t="s">
        <v>1036</v>
      </c>
      <c r="H1357" t="s">
        <v>15</v>
      </c>
      <c r="I1357">
        <v>11772</v>
      </c>
    </row>
    <row r="1358" spans="1:9" x14ac:dyDescent="0.3">
      <c r="A1358">
        <v>1357</v>
      </c>
      <c r="B1358" t="s">
        <v>4888</v>
      </c>
      <c r="C1358" t="s">
        <v>3158</v>
      </c>
      <c r="D1358" t="s">
        <v>4968</v>
      </c>
      <c r="E1358" t="s">
        <v>4969</v>
      </c>
      <c r="F1358" t="s">
        <v>4970</v>
      </c>
      <c r="G1358" t="s">
        <v>588</v>
      </c>
      <c r="H1358" t="s">
        <v>21</v>
      </c>
      <c r="I1358">
        <v>93706</v>
      </c>
    </row>
    <row r="1359" spans="1:9" x14ac:dyDescent="0.3">
      <c r="A1359">
        <v>1358</v>
      </c>
      <c r="B1359" t="s">
        <v>187</v>
      </c>
      <c r="C1359" t="s">
        <v>1452</v>
      </c>
      <c r="D1359" t="s">
        <v>11</v>
      </c>
      <c r="E1359" t="s">
        <v>4971</v>
      </c>
      <c r="F1359" t="s">
        <v>4972</v>
      </c>
      <c r="G1359" t="s">
        <v>14</v>
      </c>
      <c r="H1359" t="s">
        <v>15</v>
      </c>
      <c r="I1359">
        <v>14127</v>
      </c>
    </row>
    <row r="1360" spans="1:9" x14ac:dyDescent="0.3">
      <c r="A1360">
        <v>1359</v>
      </c>
      <c r="B1360" t="s">
        <v>1766</v>
      </c>
      <c r="C1360" t="s">
        <v>4609</v>
      </c>
      <c r="D1360" t="s">
        <v>11</v>
      </c>
      <c r="E1360" t="s">
        <v>4973</v>
      </c>
      <c r="F1360" t="s">
        <v>4974</v>
      </c>
      <c r="G1360" t="s">
        <v>1293</v>
      </c>
      <c r="H1360" t="s">
        <v>15</v>
      </c>
      <c r="I1360">
        <v>11756</v>
      </c>
    </row>
    <row r="1361" spans="1:9" x14ac:dyDescent="0.3">
      <c r="A1361">
        <v>1360</v>
      </c>
      <c r="B1361" t="s">
        <v>4975</v>
      </c>
      <c r="C1361" t="s">
        <v>2087</v>
      </c>
      <c r="D1361" t="s">
        <v>11</v>
      </c>
      <c r="E1361" t="s">
        <v>4976</v>
      </c>
      <c r="F1361" t="s">
        <v>4977</v>
      </c>
      <c r="G1361" t="s">
        <v>444</v>
      </c>
      <c r="H1361" t="s">
        <v>21</v>
      </c>
      <c r="I1361">
        <v>91784</v>
      </c>
    </row>
    <row r="1362" spans="1:9" x14ac:dyDescent="0.3">
      <c r="A1362">
        <v>1361</v>
      </c>
      <c r="B1362" t="s">
        <v>4978</v>
      </c>
      <c r="C1362" t="s">
        <v>503</v>
      </c>
      <c r="D1362" t="s">
        <v>11</v>
      </c>
      <c r="E1362" t="s">
        <v>4979</v>
      </c>
      <c r="F1362" t="s">
        <v>4980</v>
      </c>
      <c r="G1362" t="s">
        <v>4981</v>
      </c>
      <c r="H1362" t="s">
        <v>15</v>
      </c>
      <c r="I1362">
        <v>11590</v>
      </c>
    </row>
    <row r="1363" spans="1:9" x14ac:dyDescent="0.3">
      <c r="A1363">
        <v>1362</v>
      </c>
      <c r="B1363" t="s">
        <v>4982</v>
      </c>
      <c r="C1363" t="s">
        <v>3872</v>
      </c>
      <c r="D1363" t="s">
        <v>11</v>
      </c>
      <c r="E1363" t="s">
        <v>4983</v>
      </c>
      <c r="F1363" t="s">
        <v>4984</v>
      </c>
      <c r="G1363" t="s">
        <v>14</v>
      </c>
      <c r="H1363" t="s">
        <v>15</v>
      </c>
      <c r="I1363">
        <v>14127</v>
      </c>
    </row>
    <row r="1364" spans="1:9" x14ac:dyDescent="0.3">
      <c r="A1364">
        <v>1363</v>
      </c>
      <c r="B1364" t="s">
        <v>4985</v>
      </c>
      <c r="C1364" t="s">
        <v>4986</v>
      </c>
      <c r="D1364" t="s">
        <v>4987</v>
      </c>
      <c r="E1364" t="s">
        <v>4988</v>
      </c>
      <c r="F1364" t="s">
        <v>4989</v>
      </c>
      <c r="G1364" t="s">
        <v>232</v>
      </c>
      <c r="H1364" t="s">
        <v>80</v>
      </c>
      <c r="I1364">
        <v>77016</v>
      </c>
    </row>
    <row r="1365" spans="1:9" x14ac:dyDescent="0.3">
      <c r="A1365">
        <v>1364</v>
      </c>
      <c r="B1365" t="s">
        <v>4990</v>
      </c>
      <c r="C1365" t="s">
        <v>3144</v>
      </c>
      <c r="D1365" t="s">
        <v>11</v>
      </c>
      <c r="E1365" t="s">
        <v>4991</v>
      </c>
      <c r="F1365" t="s">
        <v>4992</v>
      </c>
      <c r="G1365" t="s">
        <v>938</v>
      </c>
      <c r="H1365" t="s">
        <v>15</v>
      </c>
      <c r="I1365">
        <v>12020</v>
      </c>
    </row>
    <row r="1366" spans="1:9" x14ac:dyDescent="0.3">
      <c r="A1366">
        <v>1365</v>
      </c>
      <c r="B1366" t="s">
        <v>3887</v>
      </c>
      <c r="C1366" t="s">
        <v>82</v>
      </c>
      <c r="D1366" t="s">
        <v>11</v>
      </c>
      <c r="E1366" t="s">
        <v>4993</v>
      </c>
      <c r="F1366" t="s">
        <v>4994</v>
      </c>
      <c r="G1366" t="s">
        <v>221</v>
      </c>
      <c r="H1366" t="s">
        <v>15</v>
      </c>
      <c r="I1366">
        <v>12804</v>
      </c>
    </row>
    <row r="1367" spans="1:9" x14ac:dyDescent="0.3">
      <c r="A1367">
        <v>1366</v>
      </c>
      <c r="B1367" t="s">
        <v>2688</v>
      </c>
      <c r="C1367" t="s">
        <v>2586</v>
      </c>
      <c r="D1367" t="s">
        <v>11</v>
      </c>
      <c r="E1367" t="s">
        <v>4995</v>
      </c>
      <c r="F1367" t="s">
        <v>4996</v>
      </c>
      <c r="G1367" t="s">
        <v>20</v>
      </c>
      <c r="H1367" t="s">
        <v>21</v>
      </c>
      <c r="I1367">
        <v>95008</v>
      </c>
    </row>
    <row r="1368" spans="1:9" x14ac:dyDescent="0.3">
      <c r="A1368">
        <v>1367</v>
      </c>
      <c r="B1368" t="s">
        <v>4997</v>
      </c>
      <c r="C1368" t="s">
        <v>2969</v>
      </c>
      <c r="D1368" t="s">
        <v>11</v>
      </c>
      <c r="E1368" t="s">
        <v>4998</v>
      </c>
      <c r="F1368" t="s">
        <v>4999</v>
      </c>
      <c r="G1368" t="s">
        <v>20</v>
      </c>
      <c r="H1368" t="s">
        <v>21</v>
      </c>
      <c r="I1368">
        <v>95008</v>
      </c>
    </row>
    <row r="1369" spans="1:9" x14ac:dyDescent="0.3">
      <c r="A1369">
        <v>1368</v>
      </c>
      <c r="B1369" t="s">
        <v>5000</v>
      </c>
      <c r="C1369" t="s">
        <v>5001</v>
      </c>
      <c r="D1369" t="s">
        <v>11</v>
      </c>
      <c r="E1369" t="s">
        <v>5002</v>
      </c>
      <c r="F1369" t="s">
        <v>5003</v>
      </c>
      <c r="G1369" t="s">
        <v>938</v>
      </c>
      <c r="H1369" t="s">
        <v>15</v>
      </c>
      <c r="I1369">
        <v>12020</v>
      </c>
    </row>
    <row r="1370" spans="1:9" x14ac:dyDescent="0.3">
      <c r="A1370">
        <v>1369</v>
      </c>
      <c r="B1370" t="s">
        <v>5004</v>
      </c>
      <c r="C1370" t="s">
        <v>1806</v>
      </c>
      <c r="D1370" t="s">
        <v>11</v>
      </c>
      <c r="E1370" t="s">
        <v>5005</v>
      </c>
      <c r="F1370" t="s">
        <v>5006</v>
      </c>
      <c r="G1370" t="s">
        <v>1750</v>
      </c>
      <c r="H1370" t="s">
        <v>15</v>
      </c>
      <c r="I1370">
        <v>11967</v>
      </c>
    </row>
    <row r="1371" spans="1:9" x14ac:dyDescent="0.3">
      <c r="A1371">
        <v>1370</v>
      </c>
      <c r="B1371" t="s">
        <v>5007</v>
      </c>
      <c r="C1371" t="s">
        <v>1599</v>
      </c>
      <c r="D1371" t="s">
        <v>5008</v>
      </c>
      <c r="E1371" t="s">
        <v>5009</v>
      </c>
      <c r="F1371" t="s">
        <v>5010</v>
      </c>
      <c r="G1371" t="s">
        <v>539</v>
      </c>
      <c r="H1371" t="s">
        <v>21</v>
      </c>
      <c r="I1371">
        <v>95127</v>
      </c>
    </row>
    <row r="1372" spans="1:9" x14ac:dyDescent="0.3">
      <c r="A1372">
        <v>1371</v>
      </c>
      <c r="B1372" t="s">
        <v>5011</v>
      </c>
      <c r="C1372" t="s">
        <v>1055</v>
      </c>
      <c r="D1372" t="s">
        <v>11</v>
      </c>
      <c r="E1372" t="s">
        <v>5012</v>
      </c>
      <c r="F1372" t="s">
        <v>5013</v>
      </c>
      <c r="G1372" t="s">
        <v>2492</v>
      </c>
      <c r="H1372" t="s">
        <v>15</v>
      </c>
      <c r="I1372">
        <v>11040</v>
      </c>
    </row>
    <row r="1373" spans="1:9" x14ac:dyDescent="0.3">
      <c r="A1373">
        <v>1372</v>
      </c>
      <c r="B1373" t="s">
        <v>5014</v>
      </c>
      <c r="C1373" t="s">
        <v>3468</v>
      </c>
      <c r="D1373" t="s">
        <v>11</v>
      </c>
      <c r="E1373" t="s">
        <v>5015</v>
      </c>
      <c r="F1373" t="s">
        <v>5016</v>
      </c>
      <c r="G1373" t="s">
        <v>800</v>
      </c>
      <c r="H1373" t="s">
        <v>15</v>
      </c>
      <c r="I1373">
        <v>11420</v>
      </c>
    </row>
    <row r="1374" spans="1:9" x14ac:dyDescent="0.3">
      <c r="A1374">
        <v>1373</v>
      </c>
      <c r="B1374" t="s">
        <v>5017</v>
      </c>
      <c r="C1374" t="s">
        <v>733</v>
      </c>
      <c r="D1374" t="s">
        <v>11</v>
      </c>
      <c r="E1374" t="s">
        <v>5018</v>
      </c>
      <c r="F1374" t="s">
        <v>5019</v>
      </c>
      <c r="G1374" t="s">
        <v>2752</v>
      </c>
      <c r="H1374" t="s">
        <v>15</v>
      </c>
      <c r="I1374">
        <v>11704</v>
      </c>
    </row>
    <row r="1375" spans="1:9" x14ac:dyDescent="0.3">
      <c r="A1375">
        <v>1374</v>
      </c>
      <c r="B1375" t="s">
        <v>5020</v>
      </c>
      <c r="C1375" t="s">
        <v>580</v>
      </c>
      <c r="D1375" t="s">
        <v>11</v>
      </c>
      <c r="E1375" t="s">
        <v>5021</v>
      </c>
      <c r="F1375" t="s">
        <v>5022</v>
      </c>
      <c r="G1375" t="s">
        <v>277</v>
      </c>
      <c r="H1375" t="s">
        <v>21</v>
      </c>
      <c r="I1375">
        <v>91740</v>
      </c>
    </row>
    <row r="1376" spans="1:9" x14ac:dyDescent="0.3">
      <c r="A1376">
        <v>1375</v>
      </c>
      <c r="B1376" t="s">
        <v>5023</v>
      </c>
      <c r="C1376" t="s">
        <v>1167</v>
      </c>
      <c r="D1376" t="s">
        <v>11</v>
      </c>
      <c r="E1376" t="s">
        <v>5024</v>
      </c>
      <c r="F1376" t="s">
        <v>5025</v>
      </c>
      <c r="G1376" t="s">
        <v>957</v>
      </c>
      <c r="H1376" t="s">
        <v>15</v>
      </c>
      <c r="I1376">
        <v>11432</v>
      </c>
    </row>
    <row r="1377" spans="1:9" x14ac:dyDescent="0.3">
      <c r="A1377">
        <v>1376</v>
      </c>
      <c r="B1377" t="s">
        <v>5026</v>
      </c>
      <c r="C1377" t="s">
        <v>832</v>
      </c>
      <c r="D1377" t="s">
        <v>11</v>
      </c>
      <c r="E1377" t="s">
        <v>5027</v>
      </c>
      <c r="F1377" t="s">
        <v>5028</v>
      </c>
      <c r="G1377" t="s">
        <v>58</v>
      </c>
      <c r="H1377" t="s">
        <v>15</v>
      </c>
      <c r="I1377">
        <v>11050</v>
      </c>
    </row>
    <row r="1378" spans="1:9" x14ac:dyDescent="0.3">
      <c r="A1378">
        <v>1377</v>
      </c>
      <c r="B1378" t="s">
        <v>5029</v>
      </c>
      <c r="C1378" t="s">
        <v>3112</v>
      </c>
      <c r="D1378" t="s">
        <v>5030</v>
      </c>
      <c r="E1378" t="s">
        <v>5031</v>
      </c>
      <c r="F1378" t="s">
        <v>5032</v>
      </c>
      <c r="G1378" t="s">
        <v>1917</v>
      </c>
      <c r="H1378" t="s">
        <v>15</v>
      </c>
      <c r="I1378">
        <v>14606</v>
      </c>
    </row>
    <row r="1379" spans="1:9" x14ac:dyDescent="0.3">
      <c r="A1379">
        <v>1378</v>
      </c>
      <c r="B1379" t="s">
        <v>5033</v>
      </c>
      <c r="C1379" t="s">
        <v>1559</v>
      </c>
      <c r="D1379" t="s">
        <v>5034</v>
      </c>
      <c r="E1379" t="s">
        <v>5035</v>
      </c>
      <c r="F1379" t="s">
        <v>5036</v>
      </c>
      <c r="G1379" t="s">
        <v>588</v>
      </c>
      <c r="H1379" t="s">
        <v>21</v>
      </c>
      <c r="I1379">
        <v>93706</v>
      </c>
    </row>
    <row r="1380" spans="1:9" x14ac:dyDescent="0.3">
      <c r="A1380">
        <v>1379</v>
      </c>
      <c r="B1380" t="s">
        <v>904</v>
      </c>
      <c r="C1380" t="s">
        <v>2334</v>
      </c>
      <c r="D1380" t="s">
        <v>11</v>
      </c>
      <c r="E1380" t="s">
        <v>5037</v>
      </c>
      <c r="F1380" t="s">
        <v>5038</v>
      </c>
      <c r="G1380" t="s">
        <v>151</v>
      </c>
      <c r="H1380" t="s">
        <v>15</v>
      </c>
      <c r="I1380">
        <v>11104</v>
      </c>
    </row>
    <row r="1381" spans="1:9" x14ac:dyDescent="0.3">
      <c r="A1381">
        <v>1380</v>
      </c>
      <c r="B1381" t="s">
        <v>1413</v>
      </c>
      <c r="C1381" t="s">
        <v>4574</v>
      </c>
      <c r="D1381" t="s">
        <v>11</v>
      </c>
      <c r="E1381" t="s">
        <v>5039</v>
      </c>
      <c r="F1381" t="s">
        <v>5040</v>
      </c>
      <c r="G1381" t="s">
        <v>31</v>
      </c>
      <c r="H1381" t="s">
        <v>15</v>
      </c>
      <c r="I1381">
        <v>11553</v>
      </c>
    </row>
    <row r="1382" spans="1:9" x14ac:dyDescent="0.3">
      <c r="A1382">
        <v>1381</v>
      </c>
      <c r="B1382" t="s">
        <v>5041</v>
      </c>
      <c r="C1382" t="s">
        <v>5042</v>
      </c>
      <c r="D1382" t="s">
        <v>11</v>
      </c>
      <c r="E1382" t="s">
        <v>5043</v>
      </c>
      <c r="F1382" t="s">
        <v>5044</v>
      </c>
      <c r="G1382" t="s">
        <v>435</v>
      </c>
      <c r="H1382" t="s">
        <v>21</v>
      </c>
      <c r="I1382">
        <v>91010</v>
      </c>
    </row>
    <row r="1383" spans="1:9" x14ac:dyDescent="0.3">
      <c r="A1383">
        <v>1382</v>
      </c>
      <c r="B1383" t="s">
        <v>5045</v>
      </c>
      <c r="C1383" t="s">
        <v>3181</v>
      </c>
      <c r="D1383" t="s">
        <v>11</v>
      </c>
      <c r="E1383" t="s">
        <v>5046</v>
      </c>
      <c r="F1383" t="s">
        <v>5047</v>
      </c>
      <c r="G1383" t="s">
        <v>1787</v>
      </c>
      <c r="H1383" t="s">
        <v>80</v>
      </c>
      <c r="I1383">
        <v>78552</v>
      </c>
    </row>
    <row r="1384" spans="1:9" x14ac:dyDescent="0.3">
      <c r="A1384">
        <v>1383</v>
      </c>
      <c r="B1384" t="s">
        <v>5048</v>
      </c>
      <c r="C1384" t="s">
        <v>432</v>
      </c>
      <c r="D1384" t="s">
        <v>5049</v>
      </c>
      <c r="E1384" t="s">
        <v>5050</v>
      </c>
      <c r="F1384" t="s">
        <v>5051</v>
      </c>
      <c r="G1384" t="s">
        <v>1955</v>
      </c>
      <c r="H1384" t="s">
        <v>21</v>
      </c>
      <c r="I1384">
        <v>93306</v>
      </c>
    </row>
    <row r="1385" spans="1:9" x14ac:dyDescent="0.3">
      <c r="A1385">
        <v>1384</v>
      </c>
      <c r="B1385" t="s">
        <v>2296</v>
      </c>
      <c r="C1385" t="s">
        <v>5052</v>
      </c>
      <c r="D1385" t="s">
        <v>11</v>
      </c>
      <c r="E1385" t="s">
        <v>5053</v>
      </c>
      <c r="F1385" t="s">
        <v>5054</v>
      </c>
      <c r="G1385" t="s">
        <v>309</v>
      </c>
      <c r="H1385" t="s">
        <v>21</v>
      </c>
      <c r="I1385">
        <v>94070</v>
      </c>
    </row>
    <row r="1386" spans="1:9" x14ac:dyDescent="0.3">
      <c r="A1386">
        <v>1385</v>
      </c>
      <c r="B1386" t="s">
        <v>5055</v>
      </c>
      <c r="C1386" t="s">
        <v>2342</v>
      </c>
      <c r="D1386" t="s">
        <v>11</v>
      </c>
      <c r="E1386" t="s">
        <v>5056</v>
      </c>
      <c r="F1386" t="s">
        <v>5057</v>
      </c>
      <c r="G1386" t="s">
        <v>106</v>
      </c>
      <c r="H1386" t="s">
        <v>15</v>
      </c>
      <c r="I1386">
        <v>14424</v>
      </c>
    </row>
    <row r="1387" spans="1:9" x14ac:dyDescent="0.3">
      <c r="A1387">
        <v>1386</v>
      </c>
      <c r="B1387" t="s">
        <v>252</v>
      </c>
      <c r="C1387" t="s">
        <v>643</v>
      </c>
      <c r="D1387" t="s">
        <v>5058</v>
      </c>
      <c r="E1387" t="s">
        <v>5059</v>
      </c>
      <c r="F1387" t="s">
        <v>5060</v>
      </c>
      <c r="G1387" t="s">
        <v>455</v>
      </c>
      <c r="H1387" t="s">
        <v>21</v>
      </c>
      <c r="I1387">
        <v>92111</v>
      </c>
    </row>
    <row r="1388" spans="1:9" x14ac:dyDescent="0.3">
      <c r="A1388">
        <v>1387</v>
      </c>
      <c r="B1388" t="s">
        <v>5061</v>
      </c>
      <c r="C1388" t="s">
        <v>5062</v>
      </c>
      <c r="D1388" t="s">
        <v>11</v>
      </c>
      <c r="E1388" t="s">
        <v>5063</v>
      </c>
      <c r="F1388" t="s">
        <v>5064</v>
      </c>
      <c r="G1388" t="s">
        <v>106</v>
      </c>
      <c r="H1388" t="s">
        <v>15</v>
      </c>
      <c r="I1388">
        <v>14424</v>
      </c>
    </row>
    <row r="1389" spans="1:9" x14ac:dyDescent="0.3">
      <c r="A1389">
        <v>1388</v>
      </c>
      <c r="B1389" t="s">
        <v>4638</v>
      </c>
      <c r="C1389" t="s">
        <v>953</v>
      </c>
      <c r="D1389" t="s">
        <v>11</v>
      </c>
      <c r="E1389" t="s">
        <v>5065</v>
      </c>
      <c r="F1389" t="s">
        <v>5066</v>
      </c>
      <c r="G1389" t="s">
        <v>1085</v>
      </c>
      <c r="H1389" t="s">
        <v>15</v>
      </c>
      <c r="I1389">
        <v>11554</v>
      </c>
    </row>
    <row r="1390" spans="1:9" x14ac:dyDescent="0.3">
      <c r="A1390">
        <v>1389</v>
      </c>
      <c r="B1390" t="s">
        <v>5067</v>
      </c>
      <c r="C1390" t="s">
        <v>2853</v>
      </c>
      <c r="D1390" t="s">
        <v>11</v>
      </c>
      <c r="E1390" t="s">
        <v>5068</v>
      </c>
      <c r="F1390" t="s">
        <v>5069</v>
      </c>
      <c r="G1390" t="s">
        <v>695</v>
      </c>
      <c r="H1390" t="s">
        <v>15</v>
      </c>
      <c r="I1390">
        <v>10573</v>
      </c>
    </row>
    <row r="1391" spans="1:9" x14ac:dyDescent="0.3">
      <c r="A1391">
        <v>1390</v>
      </c>
      <c r="B1391" t="s">
        <v>54</v>
      </c>
      <c r="C1391" t="s">
        <v>1212</v>
      </c>
      <c r="D1391" t="s">
        <v>11</v>
      </c>
      <c r="E1391" t="s">
        <v>5070</v>
      </c>
      <c r="F1391" t="s">
        <v>5071</v>
      </c>
      <c r="G1391" t="s">
        <v>480</v>
      </c>
      <c r="H1391" t="s">
        <v>15</v>
      </c>
      <c r="I1391">
        <v>11361</v>
      </c>
    </row>
    <row r="1392" spans="1:9" x14ac:dyDescent="0.3">
      <c r="A1392">
        <v>1391</v>
      </c>
      <c r="B1392" t="s">
        <v>5072</v>
      </c>
      <c r="C1392" t="s">
        <v>1274</v>
      </c>
      <c r="D1392" t="s">
        <v>11</v>
      </c>
      <c r="E1392" t="s">
        <v>5073</v>
      </c>
      <c r="F1392" t="s">
        <v>5074</v>
      </c>
      <c r="G1392" t="s">
        <v>533</v>
      </c>
      <c r="H1392" t="s">
        <v>15</v>
      </c>
      <c r="I1392">
        <v>11001</v>
      </c>
    </row>
    <row r="1393" spans="1:9" x14ac:dyDescent="0.3">
      <c r="A1393">
        <v>1392</v>
      </c>
      <c r="B1393" t="s">
        <v>5075</v>
      </c>
      <c r="C1393" t="s">
        <v>5076</v>
      </c>
      <c r="D1393" t="s">
        <v>11</v>
      </c>
      <c r="E1393" t="s">
        <v>5077</v>
      </c>
      <c r="F1393" t="s">
        <v>5078</v>
      </c>
      <c r="G1393" t="s">
        <v>42</v>
      </c>
      <c r="H1393" t="s">
        <v>15</v>
      </c>
      <c r="I1393">
        <v>14450</v>
      </c>
    </row>
    <row r="1394" spans="1:9" x14ac:dyDescent="0.3">
      <c r="A1394">
        <v>1393</v>
      </c>
      <c r="B1394" t="s">
        <v>5079</v>
      </c>
      <c r="C1394" t="s">
        <v>1104</v>
      </c>
      <c r="D1394" t="s">
        <v>11</v>
      </c>
      <c r="E1394" t="s">
        <v>5080</v>
      </c>
      <c r="F1394" t="s">
        <v>5081</v>
      </c>
      <c r="G1394" t="s">
        <v>957</v>
      </c>
      <c r="H1394" t="s">
        <v>15</v>
      </c>
      <c r="I1394">
        <v>11432</v>
      </c>
    </row>
    <row r="1395" spans="1:9" x14ac:dyDescent="0.3">
      <c r="A1395">
        <v>1394</v>
      </c>
      <c r="B1395" t="s">
        <v>2948</v>
      </c>
      <c r="C1395" t="s">
        <v>1511</v>
      </c>
      <c r="D1395" t="s">
        <v>11</v>
      </c>
      <c r="E1395" t="s">
        <v>5082</v>
      </c>
      <c r="F1395" t="s">
        <v>5083</v>
      </c>
      <c r="G1395" t="s">
        <v>323</v>
      </c>
      <c r="H1395" t="s">
        <v>15</v>
      </c>
      <c r="I1395">
        <v>11701</v>
      </c>
    </row>
    <row r="1396" spans="1:9" x14ac:dyDescent="0.3">
      <c r="A1396">
        <v>1395</v>
      </c>
      <c r="B1396" t="s">
        <v>5084</v>
      </c>
      <c r="C1396" t="s">
        <v>5085</v>
      </c>
      <c r="D1396" t="s">
        <v>11</v>
      </c>
      <c r="E1396" t="s">
        <v>5086</v>
      </c>
      <c r="F1396" t="s">
        <v>5087</v>
      </c>
      <c r="G1396" t="s">
        <v>519</v>
      </c>
      <c r="H1396" t="s">
        <v>15</v>
      </c>
      <c r="I1396">
        <v>11421</v>
      </c>
    </row>
    <row r="1397" spans="1:9" x14ac:dyDescent="0.3">
      <c r="A1397">
        <v>1396</v>
      </c>
      <c r="B1397" t="s">
        <v>5088</v>
      </c>
      <c r="C1397" t="s">
        <v>2650</v>
      </c>
      <c r="D1397" t="s">
        <v>5089</v>
      </c>
      <c r="E1397" t="s">
        <v>5090</v>
      </c>
      <c r="F1397" t="s">
        <v>5091</v>
      </c>
      <c r="G1397" t="s">
        <v>545</v>
      </c>
      <c r="H1397" t="s">
        <v>21</v>
      </c>
      <c r="I1397">
        <v>92806</v>
      </c>
    </row>
    <row r="1398" spans="1:9" x14ac:dyDescent="0.3">
      <c r="A1398">
        <v>1397</v>
      </c>
      <c r="B1398" t="s">
        <v>5092</v>
      </c>
      <c r="C1398" t="s">
        <v>4628</v>
      </c>
      <c r="D1398" t="s">
        <v>11</v>
      </c>
      <c r="E1398" t="s">
        <v>5093</v>
      </c>
      <c r="F1398" t="s">
        <v>5094</v>
      </c>
      <c r="G1398" t="s">
        <v>864</v>
      </c>
      <c r="H1398" t="s">
        <v>15</v>
      </c>
      <c r="I1398">
        <v>14580</v>
      </c>
    </row>
    <row r="1399" spans="1:9" x14ac:dyDescent="0.3">
      <c r="A1399">
        <v>1398</v>
      </c>
      <c r="B1399" t="s">
        <v>5095</v>
      </c>
      <c r="C1399" t="s">
        <v>2695</v>
      </c>
      <c r="D1399" t="s">
        <v>11</v>
      </c>
      <c r="E1399" t="s">
        <v>5096</v>
      </c>
      <c r="F1399" t="s">
        <v>5097</v>
      </c>
      <c r="G1399" t="s">
        <v>1245</v>
      </c>
      <c r="H1399" t="s">
        <v>15</v>
      </c>
      <c r="I1399">
        <v>12533</v>
      </c>
    </row>
    <row r="1400" spans="1:9" x14ac:dyDescent="0.3">
      <c r="A1400">
        <v>1399</v>
      </c>
      <c r="B1400" t="s">
        <v>5098</v>
      </c>
      <c r="C1400" t="s">
        <v>1270</v>
      </c>
      <c r="D1400" t="s">
        <v>11</v>
      </c>
      <c r="E1400" t="s">
        <v>5099</v>
      </c>
      <c r="F1400" t="s">
        <v>5100</v>
      </c>
      <c r="G1400" t="s">
        <v>106</v>
      </c>
      <c r="H1400" t="s">
        <v>15</v>
      </c>
      <c r="I1400">
        <v>14424</v>
      </c>
    </row>
    <row r="1401" spans="1:9" x14ac:dyDescent="0.3">
      <c r="A1401">
        <v>1400</v>
      </c>
      <c r="B1401" t="s">
        <v>5101</v>
      </c>
      <c r="C1401" t="s">
        <v>2877</v>
      </c>
      <c r="D1401" t="s">
        <v>11</v>
      </c>
      <c r="E1401" t="s">
        <v>5102</v>
      </c>
      <c r="F1401" t="s">
        <v>5103</v>
      </c>
      <c r="G1401" t="s">
        <v>519</v>
      </c>
      <c r="H1401" t="s">
        <v>15</v>
      </c>
      <c r="I1401">
        <v>11421</v>
      </c>
    </row>
    <row r="1402" spans="1:9" x14ac:dyDescent="0.3">
      <c r="A1402">
        <v>1401</v>
      </c>
      <c r="B1402" t="s">
        <v>5104</v>
      </c>
      <c r="C1402" t="s">
        <v>5105</v>
      </c>
      <c r="D1402" t="s">
        <v>11</v>
      </c>
      <c r="E1402" t="s">
        <v>5106</v>
      </c>
      <c r="F1402" t="s">
        <v>5107</v>
      </c>
      <c r="G1402" t="s">
        <v>272</v>
      </c>
      <c r="H1402" t="s">
        <v>15</v>
      </c>
      <c r="I1402">
        <v>11369</v>
      </c>
    </row>
    <row r="1403" spans="1:9" x14ac:dyDescent="0.3">
      <c r="A1403">
        <v>1402</v>
      </c>
      <c r="B1403" t="s">
        <v>5108</v>
      </c>
      <c r="C1403" t="s">
        <v>2080</v>
      </c>
      <c r="D1403" t="s">
        <v>11</v>
      </c>
      <c r="E1403" t="s">
        <v>5109</v>
      </c>
      <c r="F1403" t="s">
        <v>5110</v>
      </c>
      <c r="G1403" t="s">
        <v>1731</v>
      </c>
      <c r="H1403" t="s">
        <v>15</v>
      </c>
      <c r="I1403">
        <v>14043</v>
      </c>
    </row>
    <row r="1404" spans="1:9" x14ac:dyDescent="0.3">
      <c r="A1404">
        <v>1403</v>
      </c>
      <c r="B1404" t="s">
        <v>3417</v>
      </c>
      <c r="C1404" t="s">
        <v>2150</v>
      </c>
      <c r="D1404" t="s">
        <v>5111</v>
      </c>
      <c r="E1404" t="s">
        <v>5112</v>
      </c>
      <c r="F1404" t="s">
        <v>5113</v>
      </c>
      <c r="G1404" t="s">
        <v>466</v>
      </c>
      <c r="H1404" t="s">
        <v>15</v>
      </c>
      <c r="I1404">
        <v>12180</v>
      </c>
    </row>
    <row r="1405" spans="1:9" x14ac:dyDescent="0.3">
      <c r="A1405">
        <v>1404</v>
      </c>
      <c r="B1405" t="s">
        <v>5114</v>
      </c>
      <c r="C1405" t="s">
        <v>5115</v>
      </c>
      <c r="D1405" t="s">
        <v>11</v>
      </c>
      <c r="E1405" t="s">
        <v>5116</v>
      </c>
      <c r="F1405" t="s">
        <v>5117</v>
      </c>
      <c r="G1405" t="s">
        <v>300</v>
      </c>
      <c r="H1405" t="s">
        <v>15</v>
      </c>
      <c r="I1405">
        <v>11722</v>
      </c>
    </row>
    <row r="1406" spans="1:9" x14ac:dyDescent="0.3">
      <c r="A1406">
        <v>1405</v>
      </c>
      <c r="B1406" t="s">
        <v>5118</v>
      </c>
      <c r="C1406" t="s">
        <v>3373</v>
      </c>
      <c r="D1406" t="s">
        <v>11</v>
      </c>
      <c r="E1406" t="s">
        <v>5119</v>
      </c>
      <c r="F1406" t="s">
        <v>5120</v>
      </c>
      <c r="G1406" t="s">
        <v>1505</v>
      </c>
      <c r="H1406" t="s">
        <v>15</v>
      </c>
      <c r="I1406">
        <v>10550</v>
      </c>
    </row>
    <row r="1407" spans="1:9" x14ac:dyDescent="0.3">
      <c r="A1407">
        <v>1406</v>
      </c>
      <c r="B1407" t="s">
        <v>5121</v>
      </c>
      <c r="C1407" t="s">
        <v>2012</v>
      </c>
      <c r="D1407" t="s">
        <v>11</v>
      </c>
      <c r="E1407" t="s">
        <v>5122</v>
      </c>
      <c r="F1407" t="s">
        <v>5123</v>
      </c>
      <c r="G1407" t="s">
        <v>2492</v>
      </c>
      <c r="H1407" t="s">
        <v>15</v>
      </c>
      <c r="I1407">
        <v>11040</v>
      </c>
    </row>
    <row r="1408" spans="1:9" x14ac:dyDescent="0.3">
      <c r="A1408">
        <v>1407</v>
      </c>
      <c r="B1408" t="s">
        <v>5124</v>
      </c>
      <c r="C1408" t="s">
        <v>2774</v>
      </c>
      <c r="D1408" t="s">
        <v>11</v>
      </c>
      <c r="E1408" t="s">
        <v>5125</v>
      </c>
      <c r="F1408" t="s">
        <v>5126</v>
      </c>
      <c r="G1408" t="s">
        <v>1310</v>
      </c>
      <c r="H1408" t="s">
        <v>15</v>
      </c>
      <c r="I1408">
        <v>11720</v>
      </c>
    </row>
    <row r="1409" spans="1:9" x14ac:dyDescent="0.3">
      <c r="A1409">
        <v>1408</v>
      </c>
      <c r="B1409" t="s">
        <v>5127</v>
      </c>
      <c r="C1409" t="s">
        <v>2279</v>
      </c>
      <c r="D1409" t="s">
        <v>11</v>
      </c>
      <c r="E1409" t="s">
        <v>5128</v>
      </c>
      <c r="F1409" t="s">
        <v>5129</v>
      </c>
      <c r="G1409" t="s">
        <v>695</v>
      </c>
      <c r="H1409" t="s">
        <v>15</v>
      </c>
      <c r="I1409">
        <v>10573</v>
      </c>
    </row>
    <row r="1410" spans="1:9" x14ac:dyDescent="0.3">
      <c r="A1410">
        <v>1409</v>
      </c>
      <c r="B1410" t="s">
        <v>3018</v>
      </c>
      <c r="C1410" t="s">
        <v>1697</v>
      </c>
      <c r="D1410" t="s">
        <v>5130</v>
      </c>
      <c r="E1410" t="s">
        <v>5131</v>
      </c>
      <c r="F1410" t="s">
        <v>5132</v>
      </c>
      <c r="G1410" t="s">
        <v>48</v>
      </c>
      <c r="H1410" t="s">
        <v>15</v>
      </c>
      <c r="I1410">
        <v>14215</v>
      </c>
    </row>
    <row r="1411" spans="1:9" x14ac:dyDescent="0.3">
      <c r="A1411">
        <v>1410</v>
      </c>
      <c r="B1411" t="s">
        <v>5133</v>
      </c>
      <c r="C1411" t="s">
        <v>4897</v>
      </c>
      <c r="D1411" t="s">
        <v>5134</v>
      </c>
      <c r="E1411" t="s">
        <v>5135</v>
      </c>
      <c r="F1411" t="s">
        <v>5136</v>
      </c>
      <c r="G1411" t="s">
        <v>1888</v>
      </c>
      <c r="H1411" t="s">
        <v>15</v>
      </c>
      <c r="I1411">
        <v>10701</v>
      </c>
    </row>
    <row r="1412" spans="1:9" x14ac:dyDescent="0.3">
      <c r="A1412">
        <v>1411</v>
      </c>
      <c r="B1412" t="s">
        <v>5137</v>
      </c>
      <c r="C1412" t="s">
        <v>3682</v>
      </c>
      <c r="D1412" t="s">
        <v>11</v>
      </c>
      <c r="E1412" t="s">
        <v>5138</v>
      </c>
      <c r="F1412" t="s">
        <v>5139</v>
      </c>
      <c r="G1412" t="s">
        <v>2003</v>
      </c>
      <c r="H1412" t="s">
        <v>15</v>
      </c>
      <c r="I1412">
        <v>11520</v>
      </c>
    </row>
    <row r="1413" spans="1:9" x14ac:dyDescent="0.3">
      <c r="A1413">
        <v>1412</v>
      </c>
      <c r="B1413" t="s">
        <v>5140</v>
      </c>
      <c r="C1413" t="s">
        <v>316</v>
      </c>
      <c r="D1413" t="s">
        <v>11</v>
      </c>
      <c r="E1413" t="s">
        <v>5141</v>
      </c>
      <c r="F1413" t="s">
        <v>5142</v>
      </c>
      <c r="G1413" t="s">
        <v>920</v>
      </c>
      <c r="H1413" t="s">
        <v>15</v>
      </c>
      <c r="I1413">
        <v>11374</v>
      </c>
    </row>
    <row r="1414" spans="1:9" x14ac:dyDescent="0.3">
      <c r="A1414">
        <v>1413</v>
      </c>
      <c r="B1414" t="s">
        <v>3170</v>
      </c>
      <c r="C1414" t="s">
        <v>945</v>
      </c>
      <c r="D1414" t="s">
        <v>11</v>
      </c>
      <c r="E1414" t="s">
        <v>5143</v>
      </c>
      <c r="F1414" t="s">
        <v>5144</v>
      </c>
      <c r="G1414" t="s">
        <v>929</v>
      </c>
      <c r="H1414" t="s">
        <v>15</v>
      </c>
      <c r="I1414">
        <v>12553</v>
      </c>
    </row>
    <row r="1415" spans="1:9" x14ac:dyDescent="0.3">
      <c r="A1415">
        <v>1414</v>
      </c>
      <c r="B1415" t="s">
        <v>5145</v>
      </c>
      <c r="C1415" t="s">
        <v>5146</v>
      </c>
      <c r="D1415" t="s">
        <v>11</v>
      </c>
      <c r="E1415" t="s">
        <v>5147</v>
      </c>
      <c r="F1415" t="s">
        <v>5148</v>
      </c>
      <c r="G1415" t="s">
        <v>221</v>
      </c>
      <c r="H1415" t="s">
        <v>15</v>
      </c>
      <c r="I1415">
        <v>12804</v>
      </c>
    </row>
    <row r="1416" spans="1:9" x14ac:dyDescent="0.3">
      <c r="A1416">
        <v>1415</v>
      </c>
      <c r="B1416" t="s">
        <v>5149</v>
      </c>
      <c r="C1416" t="s">
        <v>3630</v>
      </c>
      <c r="D1416" t="s">
        <v>11</v>
      </c>
      <c r="E1416" t="s">
        <v>5150</v>
      </c>
      <c r="F1416" t="s">
        <v>5151</v>
      </c>
      <c r="G1416" t="s">
        <v>908</v>
      </c>
      <c r="H1416" t="s">
        <v>21</v>
      </c>
      <c r="I1416">
        <v>95060</v>
      </c>
    </row>
    <row r="1417" spans="1:9" x14ac:dyDescent="0.3">
      <c r="A1417">
        <v>1416</v>
      </c>
      <c r="B1417" t="s">
        <v>3003</v>
      </c>
      <c r="C1417" t="s">
        <v>350</v>
      </c>
      <c r="D1417" t="s">
        <v>11</v>
      </c>
      <c r="E1417" t="s">
        <v>5152</v>
      </c>
      <c r="F1417" t="s">
        <v>5153</v>
      </c>
      <c r="G1417" t="s">
        <v>205</v>
      </c>
      <c r="H1417" t="s">
        <v>15</v>
      </c>
      <c r="I1417">
        <v>11102</v>
      </c>
    </row>
    <row r="1418" spans="1:9" x14ac:dyDescent="0.3">
      <c r="A1418">
        <v>1417</v>
      </c>
      <c r="B1418" t="s">
        <v>5154</v>
      </c>
      <c r="C1418" t="s">
        <v>2286</v>
      </c>
      <c r="D1418" t="s">
        <v>11</v>
      </c>
      <c r="E1418" t="s">
        <v>5155</v>
      </c>
      <c r="F1418" t="s">
        <v>5156</v>
      </c>
      <c r="G1418" t="s">
        <v>85</v>
      </c>
      <c r="H1418" t="s">
        <v>80</v>
      </c>
      <c r="I1418">
        <v>75126</v>
      </c>
    </row>
    <row r="1419" spans="1:9" x14ac:dyDescent="0.3">
      <c r="A1419">
        <v>1418</v>
      </c>
      <c r="B1419" t="s">
        <v>5157</v>
      </c>
      <c r="C1419" t="s">
        <v>4273</v>
      </c>
      <c r="D1419" t="s">
        <v>5158</v>
      </c>
      <c r="E1419" t="s">
        <v>5159</v>
      </c>
      <c r="F1419" t="s">
        <v>5160</v>
      </c>
      <c r="G1419" t="s">
        <v>545</v>
      </c>
      <c r="H1419" t="s">
        <v>21</v>
      </c>
      <c r="I1419">
        <v>92806</v>
      </c>
    </row>
    <row r="1420" spans="1:9" x14ac:dyDescent="0.3">
      <c r="A1420">
        <v>1419</v>
      </c>
      <c r="B1420" t="s">
        <v>5133</v>
      </c>
      <c r="C1420" t="s">
        <v>1365</v>
      </c>
      <c r="D1420" t="s">
        <v>11</v>
      </c>
      <c r="E1420" t="s">
        <v>5161</v>
      </c>
      <c r="F1420" t="s">
        <v>5162</v>
      </c>
      <c r="G1420" t="s">
        <v>1180</v>
      </c>
      <c r="H1420" t="s">
        <v>21</v>
      </c>
      <c r="I1420">
        <v>94566</v>
      </c>
    </row>
    <row r="1421" spans="1:9" x14ac:dyDescent="0.3">
      <c r="A1421">
        <v>1420</v>
      </c>
      <c r="B1421" t="s">
        <v>5163</v>
      </c>
      <c r="C1421" t="s">
        <v>187</v>
      </c>
      <c r="D1421" t="s">
        <v>11</v>
      </c>
      <c r="E1421" t="s">
        <v>5164</v>
      </c>
      <c r="F1421" t="s">
        <v>5165</v>
      </c>
      <c r="G1421" t="s">
        <v>1505</v>
      </c>
      <c r="H1421" t="s">
        <v>15</v>
      </c>
      <c r="I1421">
        <v>10550</v>
      </c>
    </row>
    <row r="1422" spans="1:9" x14ac:dyDescent="0.3">
      <c r="A1422">
        <v>1421</v>
      </c>
      <c r="B1422" t="s">
        <v>5166</v>
      </c>
      <c r="C1422" t="s">
        <v>3174</v>
      </c>
      <c r="D1422" t="s">
        <v>11</v>
      </c>
      <c r="E1422" t="s">
        <v>5167</v>
      </c>
      <c r="F1422" t="s">
        <v>5168</v>
      </c>
      <c r="G1422" t="s">
        <v>90</v>
      </c>
      <c r="H1422" t="s">
        <v>15</v>
      </c>
      <c r="I1422">
        <v>12901</v>
      </c>
    </row>
    <row r="1423" spans="1:9" x14ac:dyDescent="0.3">
      <c r="A1423">
        <v>1422</v>
      </c>
      <c r="B1423" t="s">
        <v>5169</v>
      </c>
      <c r="C1423" t="s">
        <v>3112</v>
      </c>
      <c r="D1423" t="s">
        <v>11</v>
      </c>
      <c r="E1423" t="s">
        <v>5170</v>
      </c>
      <c r="F1423" t="s">
        <v>5171</v>
      </c>
      <c r="G1423" t="s">
        <v>709</v>
      </c>
      <c r="H1423" t="s">
        <v>15</v>
      </c>
      <c r="I1423">
        <v>11787</v>
      </c>
    </row>
    <row r="1424" spans="1:9" x14ac:dyDescent="0.3">
      <c r="A1424">
        <v>1423</v>
      </c>
      <c r="B1424" t="s">
        <v>5172</v>
      </c>
      <c r="C1424" t="s">
        <v>5173</v>
      </c>
      <c r="D1424" t="s">
        <v>5174</v>
      </c>
      <c r="E1424" t="s">
        <v>5175</v>
      </c>
      <c r="F1424" t="s">
        <v>5176</v>
      </c>
      <c r="G1424" t="s">
        <v>2154</v>
      </c>
      <c r="H1424" t="s">
        <v>80</v>
      </c>
      <c r="I1424">
        <v>76110</v>
      </c>
    </row>
    <row r="1425" spans="1:9" x14ac:dyDescent="0.3">
      <c r="A1425">
        <v>1424</v>
      </c>
      <c r="B1425" t="s">
        <v>5177</v>
      </c>
      <c r="C1425" t="s">
        <v>1563</v>
      </c>
      <c r="D1425" t="s">
        <v>11</v>
      </c>
      <c r="E1425" t="s">
        <v>5178</v>
      </c>
      <c r="F1425" t="s">
        <v>5179</v>
      </c>
      <c r="G1425" t="s">
        <v>68</v>
      </c>
      <c r="H1425" t="s">
        <v>15</v>
      </c>
      <c r="I1425">
        <v>10952</v>
      </c>
    </row>
    <row r="1426" spans="1:9" x14ac:dyDescent="0.3">
      <c r="A1426">
        <v>1425</v>
      </c>
      <c r="B1426" t="s">
        <v>1262</v>
      </c>
      <c r="C1426" t="s">
        <v>1404</v>
      </c>
      <c r="D1426" t="s">
        <v>11</v>
      </c>
      <c r="E1426" t="s">
        <v>5180</v>
      </c>
      <c r="F1426" t="s">
        <v>5181</v>
      </c>
      <c r="G1426" t="s">
        <v>1750</v>
      </c>
      <c r="H1426" t="s">
        <v>15</v>
      </c>
      <c r="I1426">
        <v>11967</v>
      </c>
    </row>
    <row r="1427" spans="1:9" x14ac:dyDescent="0.3">
      <c r="A1427">
        <v>1426</v>
      </c>
      <c r="B1427" t="s">
        <v>5182</v>
      </c>
      <c r="C1427" t="s">
        <v>1287</v>
      </c>
      <c r="D1427" t="s">
        <v>5183</v>
      </c>
      <c r="E1427" t="s">
        <v>5184</v>
      </c>
      <c r="F1427" t="s">
        <v>5185</v>
      </c>
      <c r="G1427" t="s">
        <v>602</v>
      </c>
      <c r="H1427" t="s">
        <v>80</v>
      </c>
      <c r="I1427">
        <v>78418</v>
      </c>
    </row>
    <row r="1428" spans="1:9" x14ac:dyDescent="0.3">
      <c r="A1428">
        <v>1427</v>
      </c>
      <c r="B1428" t="s">
        <v>5186</v>
      </c>
      <c r="C1428" t="s">
        <v>507</v>
      </c>
      <c r="D1428" t="s">
        <v>11</v>
      </c>
      <c r="E1428" t="s">
        <v>5187</v>
      </c>
      <c r="F1428" t="s">
        <v>5188</v>
      </c>
      <c r="G1428" t="s">
        <v>135</v>
      </c>
      <c r="H1428" t="s">
        <v>21</v>
      </c>
      <c r="I1428">
        <v>95301</v>
      </c>
    </row>
    <row r="1429" spans="1:9" x14ac:dyDescent="0.3">
      <c r="A1429">
        <v>1428</v>
      </c>
      <c r="B1429" t="s">
        <v>751</v>
      </c>
      <c r="C1429" t="s">
        <v>234</v>
      </c>
      <c r="D1429" t="s">
        <v>11</v>
      </c>
      <c r="E1429" t="s">
        <v>5189</v>
      </c>
      <c r="F1429" t="s">
        <v>5190</v>
      </c>
      <c r="G1429" t="s">
        <v>908</v>
      </c>
      <c r="H1429" t="s">
        <v>21</v>
      </c>
      <c r="I1429">
        <v>95060</v>
      </c>
    </row>
    <row r="1430" spans="1:9" x14ac:dyDescent="0.3">
      <c r="A1430">
        <v>1429</v>
      </c>
      <c r="B1430" t="s">
        <v>334</v>
      </c>
      <c r="C1430" t="s">
        <v>5191</v>
      </c>
      <c r="D1430" t="s">
        <v>11</v>
      </c>
      <c r="E1430" t="s">
        <v>5192</v>
      </c>
      <c r="F1430" t="s">
        <v>5193</v>
      </c>
      <c r="G1430" t="s">
        <v>1576</v>
      </c>
      <c r="H1430" t="s">
        <v>21</v>
      </c>
      <c r="I1430">
        <v>91768</v>
      </c>
    </row>
    <row r="1431" spans="1:9" x14ac:dyDescent="0.3">
      <c r="A1431">
        <v>1430</v>
      </c>
      <c r="B1431" t="s">
        <v>5194</v>
      </c>
      <c r="C1431" t="s">
        <v>3076</v>
      </c>
      <c r="D1431" t="s">
        <v>5195</v>
      </c>
      <c r="E1431" t="s">
        <v>5196</v>
      </c>
      <c r="F1431" t="s">
        <v>5197</v>
      </c>
      <c r="G1431" t="s">
        <v>1955</v>
      </c>
      <c r="H1431" t="s">
        <v>21</v>
      </c>
      <c r="I1431">
        <v>93306</v>
      </c>
    </row>
    <row r="1432" spans="1:9" x14ac:dyDescent="0.3">
      <c r="A1432">
        <v>1431</v>
      </c>
      <c r="B1432" t="s">
        <v>1254</v>
      </c>
      <c r="C1432" t="s">
        <v>3888</v>
      </c>
      <c r="D1432" t="s">
        <v>11</v>
      </c>
      <c r="E1432" t="s">
        <v>5198</v>
      </c>
      <c r="F1432" t="s">
        <v>5199</v>
      </c>
      <c r="G1432" t="s">
        <v>272</v>
      </c>
      <c r="H1432" t="s">
        <v>15</v>
      </c>
      <c r="I1432">
        <v>11369</v>
      </c>
    </row>
    <row r="1433" spans="1:9" x14ac:dyDescent="0.3">
      <c r="A1433">
        <v>1432</v>
      </c>
      <c r="B1433" t="s">
        <v>5200</v>
      </c>
      <c r="C1433" t="s">
        <v>1393</v>
      </c>
      <c r="D1433" t="s">
        <v>11</v>
      </c>
      <c r="E1433" t="s">
        <v>5201</v>
      </c>
      <c r="F1433" t="s">
        <v>5202</v>
      </c>
      <c r="G1433" t="s">
        <v>125</v>
      </c>
      <c r="H1433" t="s">
        <v>15</v>
      </c>
      <c r="I1433">
        <v>11731</v>
      </c>
    </row>
    <row r="1434" spans="1:9" x14ac:dyDescent="0.3">
      <c r="A1434">
        <v>1433</v>
      </c>
      <c r="B1434" t="s">
        <v>5203</v>
      </c>
      <c r="C1434" t="s">
        <v>5085</v>
      </c>
      <c r="D1434" t="s">
        <v>11</v>
      </c>
      <c r="E1434" t="s">
        <v>5204</v>
      </c>
      <c r="F1434" t="s">
        <v>5205</v>
      </c>
      <c r="G1434" t="s">
        <v>101</v>
      </c>
      <c r="H1434" t="s">
        <v>15</v>
      </c>
      <c r="I1434">
        <v>10583</v>
      </c>
    </row>
    <row r="1435" spans="1:9" x14ac:dyDescent="0.3">
      <c r="A1435">
        <v>1434</v>
      </c>
      <c r="B1435" t="s">
        <v>5206</v>
      </c>
      <c r="C1435" t="s">
        <v>2048</v>
      </c>
      <c r="D1435" t="s">
        <v>11</v>
      </c>
      <c r="E1435" t="s">
        <v>5207</v>
      </c>
      <c r="F1435" t="s">
        <v>5208</v>
      </c>
      <c r="G1435" t="s">
        <v>195</v>
      </c>
      <c r="H1435" t="s">
        <v>15</v>
      </c>
      <c r="I1435">
        <v>13090</v>
      </c>
    </row>
    <row r="1436" spans="1:9" x14ac:dyDescent="0.3">
      <c r="A1436">
        <v>1435</v>
      </c>
      <c r="B1436" t="s">
        <v>5209</v>
      </c>
      <c r="C1436" t="s">
        <v>2095</v>
      </c>
      <c r="D1436" t="s">
        <v>11</v>
      </c>
      <c r="E1436" t="s">
        <v>5210</v>
      </c>
      <c r="F1436" t="s">
        <v>5211</v>
      </c>
      <c r="G1436" t="s">
        <v>101</v>
      </c>
      <c r="H1436" t="s">
        <v>15</v>
      </c>
      <c r="I1436">
        <v>10583</v>
      </c>
    </row>
    <row r="1437" spans="1:9" x14ac:dyDescent="0.3">
      <c r="A1437">
        <v>1436</v>
      </c>
      <c r="B1437" t="s">
        <v>5212</v>
      </c>
      <c r="C1437" t="s">
        <v>4310</v>
      </c>
      <c r="D1437" t="s">
        <v>11</v>
      </c>
      <c r="E1437" t="s">
        <v>5213</v>
      </c>
      <c r="F1437" t="s">
        <v>5214</v>
      </c>
      <c r="G1437" t="s">
        <v>1222</v>
      </c>
      <c r="H1437" t="s">
        <v>15</v>
      </c>
      <c r="I1437">
        <v>11710</v>
      </c>
    </row>
    <row r="1438" spans="1:9" x14ac:dyDescent="0.3">
      <c r="A1438">
        <v>1437</v>
      </c>
      <c r="B1438" t="s">
        <v>5215</v>
      </c>
      <c r="C1438" t="s">
        <v>3748</v>
      </c>
      <c r="D1438" t="s">
        <v>11</v>
      </c>
      <c r="E1438" t="s">
        <v>5216</v>
      </c>
      <c r="F1438" t="s">
        <v>5217</v>
      </c>
      <c r="G1438" t="s">
        <v>304</v>
      </c>
      <c r="H1438" t="s">
        <v>15</v>
      </c>
      <c r="I1438">
        <v>11570</v>
      </c>
    </row>
    <row r="1439" spans="1:9" x14ac:dyDescent="0.3">
      <c r="A1439">
        <v>1438</v>
      </c>
      <c r="B1439" t="s">
        <v>866</v>
      </c>
      <c r="C1439" t="s">
        <v>2807</v>
      </c>
      <c r="D1439" t="s">
        <v>5218</v>
      </c>
      <c r="E1439" t="s">
        <v>5219</v>
      </c>
      <c r="F1439" t="s">
        <v>5220</v>
      </c>
      <c r="G1439" t="s">
        <v>539</v>
      </c>
      <c r="H1439" t="s">
        <v>21</v>
      </c>
      <c r="I1439">
        <v>95127</v>
      </c>
    </row>
    <row r="1440" spans="1:9" x14ac:dyDescent="0.3">
      <c r="A1440">
        <v>1439</v>
      </c>
      <c r="B1440" t="s">
        <v>5221</v>
      </c>
      <c r="C1440" t="s">
        <v>117</v>
      </c>
      <c r="D1440" t="s">
        <v>11</v>
      </c>
      <c r="E1440" t="s">
        <v>5222</v>
      </c>
      <c r="F1440" t="s">
        <v>5223</v>
      </c>
      <c r="G1440" t="s">
        <v>1837</v>
      </c>
      <c r="H1440" t="s">
        <v>15</v>
      </c>
      <c r="I1440">
        <v>10801</v>
      </c>
    </row>
    <row r="1441" spans="1:9" x14ac:dyDescent="0.3">
      <c r="A1441">
        <v>1440</v>
      </c>
      <c r="B1441" t="s">
        <v>5224</v>
      </c>
      <c r="C1441" t="s">
        <v>1515</v>
      </c>
      <c r="D1441" t="s">
        <v>11</v>
      </c>
      <c r="E1441" t="s">
        <v>5225</v>
      </c>
      <c r="F1441" t="s">
        <v>5226</v>
      </c>
      <c r="G1441" t="s">
        <v>4067</v>
      </c>
      <c r="H1441" t="s">
        <v>15</v>
      </c>
      <c r="I1441">
        <v>11364</v>
      </c>
    </row>
    <row r="1442" spans="1:9" x14ac:dyDescent="0.3">
      <c r="A1442">
        <v>1441</v>
      </c>
      <c r="B1442" t="s">
        <v>161</v>
      </c>
      <c r="C1442" t="s">
        <v>5227</v>
      </c>
      <c r="D1442" t="s">
        <v>11</v>
      </c>
      <c r="E1442" t="s">
        <v>5228</v>
      </c>
      <c r="F1442" t="s">
        <v>5229</v>
      </c>
      <c r="G1442" t="s">
        <v>700</v>
      </c>
      <c r="H1442" t="s">
        <v>15</v>
      </c>
      <c r="I1442">
        <v>10301</v>
      </c>
    </row>
    <row r="1443" spans="1:9" x14ac:dyDescent="0.3">
      <c r="A1443">
        <v>1442</v>
      </c>
      <c r="B1443" t="s">
        <v>5230</v>
      </c>
      <c r="C1443" t="s">
        <v>4817</v>
      </c>
      <c r="D1443" t="s">
        <v>11</v>
      </c>
      <c r="E1443" t="s">
        <v>5231</v>
      </c>
      <c r="F1443" t="s">
        <v>5232</v>
      </c>
      <c r="G1443" t="s">
        <v>962</v>
      </c>
      <c r="H1443" t="s">
        <v>15</v>
      </c>
      <c r="I1443">
        <v>11201</v>
      </c>
    </row>
    <row r="1444" spans="1:9" x14ac:dyDescent="0.3">
      <c r="A1444">
        <v>1443</v>
      </c>
      <c r="B1444" t="s">
        <v>3341</v>
      </c>
      <c r="C1444" t="s">
        <v>3158</v>
      </c>
      <c r="D1444" t="s">
        <v>11</v>
      </c>
      <c r="E1444" t="s">
        <v>5233</v>
      </c>
      <c r="F1444" t="s">
        <v>5234</v>
      </c>
      <c r="G1444" t="s">
        <v>300</v>
      </c>
      <c r="H1444" t="s">
        <v>15</v>
      </c>
      <c r="I1444">
        <v>11722</v>
      </c>
    </row>
    <row r="1445" spans="1:9" x14ac:dyDescent="0.3">
      <c r="A1445">
        <v>1444</v>
      </c>
      <c r="B1445" t="s">
        <v>3786</v>
      </c>
      <c r="C1445" t="s">
        <v>1055</v>
      </c>
      <c r="D1445" t="s">
        <v>11</v>
      </c>
      <c r="E1445" t="s">
        <v>5235</v>
      </c>
      <c r="F1445" t="s">
        <v>5236</v>
      </c>
      <c r="G1445" t="s">
        <v>106</v>
      </c>
      <c r="H1445" t="s">
        <v>15</v>
      </c>
      <c r="I1445">
        <v>14424</v>
      </c>
    </row>
    <row r="1446" spans="1:9" x14ac:dyDescent="0.3">
      <c r="A1446">
        <v>1445</v>
      </c>
      <c r="B1446" t="s">
        <v>5237</v>
      </c>
      <c r="C1446" t="s">
        <v>2261</v>
      </c>
      <c r="D1446" t="s">
        <v>11</v>
      </c>
      <c r="E1446" t="s">
        <v>5238</v>
      </c>
      <c r="F1446" t="s">
        <v>5239</v>
      </c>
      <c r="G1446" t="s">
        <v>251</v>
      </c>
      <c r="H1446" t="s">
        <v>21</v>
      </c>
      <c r="I1446">
        <v>94580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C5D75-4F2B-4BBA-9FCB-60A72F228135}">
  <dimension ref="D4:E12"/>
  <sheetViews>
    <sheetView workbookViewId="0">
      <selection activeCell="V15" sqref="V15"/>
    </sheetView>
  </sheetViews>
  <sheetFormatPr defaultRowHeight="14.4" x14ac:dyDescent="0.3"/>
  <cols>
    <col min="4" max="4" width="18.44140625" bestFit="1" customWidth="1"/>
    <col min="5" max="5" width="17.88671875" bestFit="1" customWidth="1"/>
  </cols>
  <sheetData>
    <row r="4" spans="4:5" x14ac:dyDescent="0.3">
      <c r="D4" s="2" t="s">
        <v>5626</v>
      </c>
      <c r="E4" t="s">
        <v>5628</v>
      </c>
    </row>
    <row r="5" spans="4:5" x14ac:dyDescent="0.3">
      <c r="D5" s="3" t="s">
        <v>5603</v>
      </c>
      <c r="E5">
        <v>113676.56999999988</v>
      </c>
    </row>
    <row r="6" spans="4:5" x14ac:dyDescent="0.3">
      <c r="D6" s="3" t="s">
        <v>5604</v>
      </c>
      <c r="E6">
        <v>162158.99</v>
      </c>
    </row>
    <row r="7" spans="4:5" x14ac:dyDescent="0.3">
      <c r="D7" s="3" t="s">
        <v>5605</v>
      </c>
      <c r="E7">
        <v>364313.51000000013</v>
      </c>
    </row>
    <row r="8" spans="4:5" x14ac:dyDescent="0.3">
      <c r="D8" s="3" t="s">
        <v>5606</v>
      </c>
      <c r="E8">
        <v>244907.36000000007</v>
      </c>
    </row>
    <row r="9" spans="4:5" x14ac:dyDescent="0.3">
      <c r="D9" s="3" t="s">
        <v>5607</v>
      </c>
      <c r="E9">
        <v>326652.23</v>
      </c>
    </row>
    <row r="10" spans="4:5" x14ac:dyDescent="0.3">
      <c r="D10" s="3" t="s">
        <v>5608</v>
      </c>
      <c r="E10">
        <v>1003159.2000000033</v>
      </c>
    </row>
    <row r="11" spans="4:5" x14ac:dyDescent="0.3">
      <c r="D11" s="3" t="s">
        <v>5609</v>
      </c>
      <c r="E11">
        <v>600589.78999999992</v>
      </c>
    </row>
    <row r="12" spans="4:5" x14ac:dyDescent="0.3">
      <c r="D12" s="3" t="s">
        <v>5627</v>
      </c>
      <c r="E12">
        <v>2815457.6499999771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EBDB3-E712-4805-8F86-847E262C2ABD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87B529D-FC34-4835-84E9-A7F1A947C7E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brands</vt:lpstr>
      <vt:lpstr>stocks</vt:lpstr>
      <vt:lpstr>staffs</vt:lpstr>
      <vt:lpstr>orders</vt:lpstr>
      <vt:lpstr>order_items</vt:lpstr>
      <vt:lpstr>categories</vt:lpstr>
      <vt:lpstr>pivot table</vt:lpstr>
      <vt:lpstr>Sheet1</vt:lpstr>
      <vt:lpstr>products</vt:lpstr>
      <vt:lpstr>stores</vt:lpstr>
      <vt:lpstr>customers</vt:lpstr>
      <vt:lpstr>pivottable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S0326035</dc:creator>
  <cp:lastModifiedBy>2951709_Mohammed shibil_ Chennai</cp:lastModifiedBy>
  <dcterms:created xsi:type="dcterms:W3CDTF">2026-08-30T11:31:58Z</dcterms:created>
  <dcterms:modified xsi:type="dcterms:W3CDTF">2026-09-16T07:25:22Z</dcterms:modified>
</cp:coreProperties>
</file>